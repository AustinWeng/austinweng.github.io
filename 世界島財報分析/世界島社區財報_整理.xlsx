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20" yWindow="660" windowWidth="28920" windowHeight="18980" tabRatio="600" firstSheet="6" activeTab="17" autoFilterDateGrouping="1"/>
  </bookViews>
  <sheets>
    <sheet xmlns:r="http://schemas.openxmlformats.org/officeDocument/2006/relationships" name="說明" sheetId="1" state="visible" r:id="rId1"/>
    <sheet xmlns:r="http://schemas.openxmlformats.org/officeDocument/2006/relationships" name="月度摘要" sheetId="2" state="visible" r:id="rId2"/>
    <sheet xmlns:r="http://schemas.openxmlformats.org/officeDocument/2006/relationships" name="支出分類矩陣" sheetId="3" state="visible" r:id="rId3"/>
    <sheet xmlns:r="http://schemas.openxmlformats.org/officeDocument/2006/relationships" name="收入明細" sheetId="4" state="visible" r:id="rId4"/>
    <sheet xmlns:r="http://schemas.openxmlformats.org/officeDocument/2006/relationships" name="支出明細" sheetId="5" state="visible" r:id="rId5"/>
    <sheet xmlns:r="http://schemas.openxmlformats.org/officeDocument/2006/relationships" name="收入分類矩陣" sheetId="6" state="visible" r:id="rId6"/>
    <sheet xmlns:r="http://schemas.openxmlformats.org/officeDocument/2006/relationships" name="議案-外牆修繕" sheetId="7" state="visible" r:id="rId7"/>
    <sheet xmlns:r="http://schemas.openxmlformats.org/officeDocument/2006/relationships" name="議案-納管" sheetId="8" state="visible" r:id="rId8"/>
    <sheet xmlns:r="http://schemas.openxmlformats.org/officeDocument/2006/relationships" name="議案-電梯" sheetId="9" state="visible" r:id="rId9"/>
    <sheet xmlns:r="http://schemas.openxmlformats.org/officeDocument/2006/relationships" name="帳戶餘額矩陣" sheetId="10" state="visible" r:id="rId10"/>
    <sheet xmlns:r="http://schemas.openxmlformats.org/officeDocument/2006/relationships" name="帳戶月度明細" sheetId="11" state="visible" r:id="rId11"/>
    <sheet xmlns:r="http://schemas.openxmlformats.org/officeDocument/2006/relationships" name="專款明細" sheetId="12" state="visible" r:id="rId12"/>
    <sheet xmlns:r="http://schemas.openxmlformats.org/officeDocument/2006/relationships" name="暫收款明細" sheetId="13" state="visible" r:id="rId13"/>
    <sheet xmlns:r="http://schemas.openxmlformats.org/officeDocument/2006/relationships" name="管理費未繳統計" sheetId="14" state="visible" r:id="rId14"/>
    <sheet xmlns:r="http://schemas.openxmlformats.org/officeDocument/2006/relationships" name="議案-主鋼索更換" sheetId="15" state="visible" r:id="rId15"/>
    <sheet xmlns:r="http://schemas.openxmlformats.org/officeDocument/2006/relationships" name="電梯專戶明細" sheetId="16" state="visible" r:id="rId16"/>
    <sheet xmlns:r="http://schemas.openxmlformats.org/officeDocument/2006/relationships" name="電梯專戶月度" sheetId="17" state="visible" r:id="rId17"/>
    <sheet xmlns:r="http://schemas.openxmlformats.org/officeDocument/2006/relationships" name="議案-游泳池" sheetId="18" state="visible" r:id="rId18"/>
    <sheet xmlns:r="http://schemas.openxmlformats.org/officeDocument/2006/relationships" name="公共電費" sheetId="19" state="visible" r:id="rId19"/>
  </sheets>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31">
    <font>
      <name val="Arial Unicode MS"/>
      <family val="2"/>
      <color theme="1"/>
      <sz val="11"/>
    </font>
    <font>
      <name val="Arial Unicode MS"/>
      <family val="2"/>
      <b val="1"/>
      <sz val="18"/>
    </font>
    <font>
      <name val="Arial Unicode MS"/>
      <family val="2"/>
      <b val="1"/>
      <sz val="11"/>
    </font>
    <font>
      <name val="PingFang TC"/>
      <charset val="136"/>
      <family val="2"/>
      <sz val="11"/>
    </font>
    <font>
      <name val="Arial Unicode MS"/>
      <family val="2"/>
      <sz val="11"/>
    </font>
    <font>
      <name val="PingFang TC"/>
      <charset val="136"/>
      <b val="1"/>
      <color rgb="FF2563EB"/>
      <sz val="11"/>
    </font>
    <font>
      <name val="Arial Unicode MS"/>
      <family val="2"/>
      <b val="1"/>
      <color rgb="FFDC2626"/>
      <sz val="11"/>
    </font>
    <font>
      <name val="Arial Unicode MS"/>
      <family val="2"/>
      <b val="1"/>
      <color rgb="FFFFFFFF"/>
      <sz val="11"/>
    </font>
    <font>
      <name val="Arial Unicode MS"/>
      <family val="2"/>
      <b val="1"/>
      <color rgb="FF0F172A"/>
      <sz val="11"/>
    </font>
    <font>
      <name val="PingFang TC"/>
      <charset val="136"/>
      <b val="1"/>
      <color rgb="FF0F172A"/>
      <sz val="11"/>
    </font>
    <font>
      <name val="PingFang TC"/>
      <charset val="136"/>
      <b val="1"/>
      <color rgb="FFFFFFFF"/>
      <sz val="11"/>
    </font>
    <font>
      <name val="Arial Unicode MS"/>
      <family val="2"/>
      <i val="1"/>
      <color rgb="FF64748B"/>
      <sz val="10"/>
    </font>
    <font>
      <name val="PingFang TC"/>
      <charset val="136"/>
      <i val="1"/>
      <color rgb="FF64748B"/>
      <sz val="10"/>
    </font>
    <font>
      <name val="Arial Unicode MS"/>
      <family val="2"/>
      <b val="1"/>
      <color rgb="FF0F172A"/>
      <sz val="16"/>
    </font>
    <font>
      <name val="Arial Unicode MS"/>
      <family val="2"/>
      <i val="1"/>
      <color rgb="FF64748B"/>
      <sz val="11"/>
    </font>
    <font>
      <name val="PingFang TC"/>
      <charset val="136"/>
      <b val="1"/>
      <sz val="11"/>
    </font>
    <font>
      <name val="PingFang TC"/>
      <charset val="136"/>
      <b val="1"/>
      <color rgb="FFDC2626"/>
      <sz val="14"/>
    </font>
    <font>
      <name val="PingFang TC"/>
      <charset val="136"/>
      <b val="1"/>
      <color rgb="FF16A34A"/>
      <sz val="12"/>
    </font>
    <font>
      <name val="Arial Unicode MS"/>
      <family val="2"/>
      <b val="1"/>
      <color rgb="FFFFFFFF"/>
      <sz val="14"/>
    </font>
    <font>
      <name val="Arial Unicode MS"/>
      <family val="2"/>
      <i val="1"/>
      <color rgb="FF6B7280"/>
      <sz val="11"/>
    </font>
    <font>
      <name val="Arial Unicode MS"/>
      <family val="2"/>
      <b val="1"/>
      <color rgb="FFB91C1C"/>
      <sz val="12"/>
    </font>
    <font>
      <name val="Calibri"/>
      <charset val="1"/>
      <family val="2"/>
      <color theme="1"/>
      <sz val="11"/>
    </font>
    <font>
      <name val="Cambria"/>
      <charset val="1"/>
      <b val="1"/>
      <color rgb="FFFFFFFF"/>
      <sz val="11"/>
    </font>
    <font>
      <name val="Arial Unicode MS"/>
      <family val="2"/>
      <b val="1"/>
      <sz val="12"/>
    </font>
    <font>
      <name val="Cambria"/>
      <charset val="1"/>
      <b val="1"/>
      <sz val="12"/>
    </font>
    <font>
      <name val="Cambria"/>
      <charset val="1"/>
      <b val="1"/>
      <sz val="11"/>
    </font>
    <font>
      <name val="Arial Unicode MS"/>
      <family val="2"/>
      <b val="1"/>
      <color rgb="FF005577"/>
      <sz val="14"/>
    </font>
    <font>
      <name val="Arial Unicode MS"/>
      <family val="2"/>
      <i val="1"/>
      <color rgb="FF666666"/>
      <sz val="10"/>
    </font>
    <font>
      <name val="Cambria"/>
      <charset val="1"/>
      <b val="1"/>
      <color rgb="FF005577"/>
      <sz val="11"/>
    </font>
    <font>
      <name val="Bpmf Zihi Box R"/>
      <charset val="136"/>
      <family val="3"/>
      <sz val="9"/>
    </font>
    <font>
      <b val="1"/>
    </font>
  </fonts>
  <fills count="20">
    <fill>
      <patternFill/>
    </fill>
    <fill>
      <patternFill patternType="gray125"/>
    </fill>
    <fill>
      <patternFill patternType="solid">
        <fgColor rgb="FF0F172A"/>
        <bgColor rgb="FF000000"/>
      </patternFill>
    </fill>
    <fill>
      <patternFill patternType="solid">
        <fgColor rgb="FFEEF2F7"/>
        <bgColor rgb="FFF1F5F9"/>
      </patternFill>
    </fill>
    <fill>
      <patternFill patternType="solid">
        <fgColor rgb="FFFEF3C7"/>
        <bgColor rgb="FFFFF2CC"/>
      </patternFill>
    </fill>
    <fill>
      <patternFill patternType="solid">
        <fgColor rgb="FFDBEAFE"/>
        <bgColor rgb="FFE2E8F0"/>
      </patternFill>
    </fill>
    <fill>
      <patternFill patternType="solid">
        <fgColor rgb="FFFED7AA"/>
        <bgColor rgb="FFFECACA"/>
      </patternFill>
    </fill>
    <fill>
      <patternFill patternType="solid">
        <fgColor rgb="FF93C5FD"/>
        <bgColor rgb="FFB3D4FF"/>
      </patternFill>
    </fill>
    <fill>
      <patternFill patternType="solid">
        <fgColor rgb="FFFCD34D"/>
        <bgColor rgb="FFFED7AA"/>
      </patternFill>
    </fill>
    <fill>
      <patternFill patternType="solid">
        <fgColor rgb="FFB91C1C"/>
        <bgColor rgb="FFDC2626"/>
      </patternFill>
    </fill>
    <fill>
      <patternFill patternType="solid">
        <fgColor rgb="FFDC2626"/>
        <bgColor rgb="FFB91C1C"/>
      </patternFill>
    </fill>
    <fill>
      <patternFill patternType="solid">
        <fgColor rgb="FFFECACA"/>
        <bgColor rgb="FFFED7AA"/>
      </patternFill>
    </fill>
    <fill>
      <patternFill patternType="solid">
        <fgColor rgb="FFFEE2E2"/>
        <bgColor rgb="FFFFE4E6"/>
      </patternFill>
    </fill>
    <fill>
      <patternFill patternType="solid">
        <fgColor rgb="FF2563EB"/>
        <bgColor rgb="FF0066CC"/>
      </patternFill>
    </fill>
    <fill>
      <patternFill patternType="solid">
        <fgColor rgb="FFFFE4E6"/>
        <bgColor rgb="FFFEE2E2"/>
      </patternFill>
    </fill>
    <fill>
      <patternFill patternType="solid">
        <fgColor rgb="FFF1F5F9"/>
        <bgColor rgb="FFEEF2F7"/>
      </patternFill>
    </fill>
    <fill>
      <patternFill patternType="solid">
        <fgColor rgb="FF1E40AF"/>
        <bgColor rgb="FF005577"/>
      </patternFill>
    </fill>
    <fill>
      <patternFill patternType="solid">
        <fgColor rgb="FF059669"/>
        <bgColor rgb="FF16A34A"/>
      </patternFill>
    </fill>
    <fill>
      <patternFill patternType="solid">
        <fgColor rgb="FFB3D4FF"/>
        <bgColor rgb="FFCBD5E1"/>
      </patternFill>
    </fill>
    <fill>
      <patternFill patternType="solid">
        <fgColor rgb="FFFFF2CC"/>
        <bgColor rgb="FFFEF3C7"/>
      </patternFill>
    </fill>
  </fills>
  <borders count="7">
    <border>
      <left/>
      <right/>
      <top/>
      <bottom/>
      <diagonal/>
    </border>
    <border>
      <left style="thin">
        <color rgb="FFE2E8F0"/>
      </left>
      <right style="thin">
        <color rgb="FFE2E8F0"/>
      </right>
      <top style="thin">
        <color rgb="FFE2E8F0"/>
      </top>
      <bottom style="thin">
        <color rgb="FFE2E8F0"/>
      </bottom>
      <diagonal/>
    </border>
    <border>
      <left style="thin">
        <color rgb="FFCBD5E1"/>
      </left>
      <right style="thin">
        <color rgb="FFCBD5E1"/>
      </right>
      <top style="thin">
        <color rgb="FFCBD5E1"/>
      </top>
      <bottom style="thin">
        <color rgb="FFCBD5E1"/>
      </bottom>
      <diagonal/>
    </border>
    <border>
      <left/>
      <right/>
      <top style="thin">
        <color rgb="FFE2E8F0"/>
      </top>
      <bottom style="thin">
        <color rgb="FFE2E8F0"/>
      </bottom>
      <diagonal/>
    </border>
    <border>
      <left/>
      <right style="thin">
        <color rgb="FFE2E8F0"/>
      </right>
      <top style="thin">
        <color rgb="FFE2E8F0"/>
      </top>
      <bottom style="thin">
        <color rgb="FFE2E8F0"/>
      </bottom>
      <diagonal/>
    </border>
    <border>
      <left/>
      <right/>
      <top style="thin">
        <color rgb="FFE2E8F0"/>
      </top>
      <bottom/>
      <diagonal/>
    </border>
    <border>
      <left/>
      <right style="thin">
        <color rgb="FFE2E8F0"/>
      </right>
      <top style="thin">
        <color rgb="FFE2E8F0"/>
      </top>
      <bottom/>
      <diagonal/>
    </border>
  </borders>
  <cellStyleXfs count="1">
    <xf numFmtId="0" fontId="0" fillId="0" borderId="0"/>
  </cellStyleXfs>
  <cellXfs count="121">
    <xf numFmtId="0" fontId="0" fillId="0" borderId="0" pivotButton="0" quotePrefix="0" xfId="0"/>
    <xf numFmtId="0" fontId="2" fillId="0" borderId="0" pivotButton="0" quotePrefix="0" xfId="0"/>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xf>
    <xf numFmtId="0" fontId="3" fillId="0" borderId="1" applyAlignment="1" pivotButton="0" quotePrefix="0" xfId="0">
      <alignment horizontal="left" vertical="center"/>
    </xf>
    <xf numFmtId="164" fontId="3" fillId="0" borderId="1" applyAlignment="1" pivotButton="0" quotePrefix="0" xfId="0">
      <alignment horizontal="right" vertical="center"/>
    </xf>
    <xf numFmtId="165" fontId="3" fillId="0" borderId="1" applyAlignment="1" pivotButton="0" quotePrefix="0" xfId="0">
      <alignment horizontal="right" vertical="center"/>
    </xf>
    <xf numFmtId="0" fontId="8" fillId="3" borderId="1" applyAlignment="1" pivotButton="0" quotePrefix="0" xfId="0">
      <alignment horizontal="left" vertical="center"/>
    </xf>
    <xf numFmtId="164" fontId="9" fillId="3" borderId="1" applyAlignment="1" pivotButton="0" quotePrefix="0" xfId="0">
      <alignment horizontal="right" vertical="center"/>
    </xf>
    <xf numFmtId="165" fontId="9" fillId="3"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3" fillId="4" borderId="1" applyAlignment="1" pivotButton="0" quotePrefix="0" xfId="0">
      <alignment horizontal="left" vertical="center"/>
    </xf>
    <xf numFmtId="0" fontId="4" fillId="4" borderId="1" applyAlignment="1" pivotButton="0" quotePrefix="0" xfId="0">
      <alignment horizontal="left" vertical="center"/>
    </xf>
    <xf numFmtId="164" fontId="3" fillId="4" borderId="1" applyAlignment="1" pivotButton="0" quotePrefix="0" xfId="0">
      <alignment horizontal="right" vertical="center"/>
    </xf>
    <xf numFmtId="164" fontId="4" fillId="4" borderId="1" applyAlignment="1" pivotButton="0" quotePrefix="0" xfId="0">
      <alignment horizontal="right" vertical="center"/>
    </xf>
    <xf numFmtId="0" fontId="3" fillId="5" borderId="1" applyAlignment="1" pivotButton="0" quotePrefix="0" xfId="0">
      <alignment horizontal="left" vertical="center"/>
    </xf>
    <xf numFmtId="0" fontId="4" fillId="5" borderId="1" applyAlignment="1" pivotButton="0" quotePrefix="0" xfId="0">
      <alignment horizontal="left" vertical="center"/>
    </xf>
    <xf numFmtId="164" fontId="3" fillId="5" borderId="1" applyAlignment="1" pivotButton="0" quotePrefix="0" xfId="0">
      <alignment horizontal="right" vertical="center"/>
    </xf>
    <xf numFmtId="164" fontId="4" fillId="5" borderId="1" applyAlignment="1" pivotButton="0" quotePrefix="0" xfId="0">
      <alignment horizontal="right" vertical="center"/>
    </xf>
    <xf numFmtId="0" fontId="11" fillId="0" borderId="0" pivotButton="0" quotePrefix="0" xfId="0"/>
    <xf numFmtId="0" fontId="10" fillId="2" borderId="1" applyAlignment="1" pivotButton="0" quotePrefix="0" xfId="0">
      <alignment horizontal="center" vertical="center"/>
    </xf>
    <xf numFmtId="164" fontId="8" fillId="6" borderId="1" applyAlignment="1" pivotButton="0" quotePrefix="0" xfId="0">
      <alignment horizontal="right" vertical="center"/>
    </xf>
    <xf numFmtId="164" fontId="8" fillId="7" borderId="1" applyAlignment="1" pivotButton="0" quotePrefix="0" xfId="0">
      <alignment horizontal="right" vertical="center"/>
    </xf>
    <xf numFmtId="164" fontId="8" fillId="8" borderId="1" applyAlignment="1" pivotButton="0" quotePrefix="0" xfId="0">
      <alignment horizontal="right" vertical="center"/>
    </xf>
    <xf numFmtId="164" fontId="16" fillId="0" borderId="0" applyAlignment="1" pivotButton="0" quotePrefix="0" xfId="0">
      <alignment horizontal="right" vertical="center"/>
    </xf>
    <xf numFmtId="0" fontId="15" fillId="0" borderId="0" applyAlignment="1" pivotButton="0" quotePrefix="0" xfId="0">
      <alignment horizontal="right" vertical="center"/>
    </xf>
    <xf numFmtId="0" fontId="3" fillId="0" borderId="0" applyAlignment="1" pivotButton="0" quotePrefix="0" xfId="0">
      <alignment horizontal="right" vertical="center"/>
    </xf>
    <xf numFmtId="164" fontId="12" fillId="0" borderId="1" applyAlignment="1" pivotButton="0" quotePrefix="0" xfId="0">
      <alignment horizontal="center" vertical="center"/>
    </xf>
    <xf numFmtId="164" fontId="17" fillId="3" borderId="1" applyAlignment="1" pivotButton="0" quotePrefix="0" xfId="0">
      <alignment horizontal="right" vertical="center"/>
    </xf>
    <xf numFmtId="164" fontId="12" fillId="0" borderId="0" applyAlignment="1" pivotButton="0" quotePrefix="0" xfId="0">
      <alignment horizontal="right" vertical="center"/>
    </xf>
    <xf numFmtId="0" fontId="9" fillId="3" borderId="1" applyAlignment="1" pivotButton="0" quotePrefix="0" xfId="0">
      <alignment horizontal="left" vertical="center"/>
    </xf>
    <xf numFmtId="0" fontId="20" fillId="0" borderId="0" pivotButton="0" quotePrefix="0" xfId="0"/>
    <xf numFmtId="0" fontId="21" fillId="0" borderId="0" pivotButton="0" quotePrefix="0" xfId="0"/>
    <xf numFmtId="0" fontId="22" fillId="10" borderId="2" applyAlignment="1" pivotButton="0" quotePrefix="0" xfId="0">
      <alignment horizontal="center" vertical="center"/>
    </xf>
    <xf numFmtId="0" fontId="7" fillId="10" borderId="2" applyAlignment="1" pivotButton="0" quotePrefix="0" xfId="0">
      <alignment horizontal="center" vertical="center"/>
    </xf>
    <xf numFmtId="0" fontId="21" fillId="0" borderId="2" applyAlignment="1" pivotButton="0" quotePrefix="0" xfId="0">
      <alignment horizontal="center" vertical="center"/>
    </xf>
    <xf numFmtId="0" fontId="0" fillId="0" borderId="2" applyAlignment="1" pivotButton="0" quotePrefix="0" xfId="0">
      <alignment horizontal="center" vertical="center"/>
    </xf>
    <xf numFmtId="3" fontId="21" fillId="0" borderId="2" applyAlignment="1" pivotButton="0" quotePrefix="0" xfId="0">
      <alignment horizontal="right" vertical="center"/>
    </xf>
    <xf numFmtId="0" fontId="0" fillId="0" borderId="2" applyAlignment="1" pivotButton="0" quotePrefix="0" xfId="0">
      <alignment horizontal="left" vertical="center" wrapText="1"/>
    </xf>
    <xf numFmtId="0" fontId="21" fillId="4" borderId="2" applyAlignment="1" pivotButton="0" quotePrefix="0" xfId="0">
      <alignment horizontal="center" vertical="center"/>
    </xf>
    <xf numFmtId="0" fontId="0" fillId="4" borderId="2" applyAlignment="1" pivotButton="0" quotePrefix="0" xfId="0">
      <alignment horizontal="center" vertical="center"/>
    </xf>
    <xf numFmtId="3" fontId="21" fillId="4" borderId="2" applyAlignment="1" pivotButton="0" quotePrefix="0" xfId="0">
      <alignment horizontal="right" vertical="center"/>
    </xf>
    <xf numFmtId="0" fontId="0" fillId="4" borderId="2" applyAlignment="1" pivotButton="0" quotePrefix="0" xfId="0">
      <alignment horizontal="left" vertical="center" wrapText="1"/>
    </xf>
    <xf numFmtId="0" fontId="21" fillId="11" borderId="2" applyAlignment="1" pivotButton="0" quotePrefix="0" xfId="0">
      <alignment horizontal="center" vertical="center"/>
    </xf>
    <xf numFmtId="0" fontId="0" fillId="11" borderId="2" applyAlignment="1" pivotButton="0" quotePrefix="0" xfId="0">
      <alignment horizontal="center" vertical="center"/>
    </xf>
    <xf numFmtId="3" fontId="21" fillId="11" borderId="2" applyAlignment="1" pivotButton="0" quotePrefix="0" xfId="0">
      <alignment horizontal="right" vertical="center"/>
    </xf>
    <xf numFmtId="0" fontId="0" fillId="11" borderId="2" applyAlignment="1" pivotButton="0" quotePrefix="0" xfId="0">
      <alignment horizontal="left" vertical="center" wrapText="1"/>
    </xf>
    <xf numFmtId="0" fontId="23" fillId="12" borderId="2" pivotButton="0" quotePrefix="0" xfId="0"/>
    <xf numFmtId="0" fontId="0" fillId="12" borderId="2" pivotButton="0" quotePrefix="0" xfId="0"/>
    <xf numFmtId="0" fontId="24" fillId="12" borderId="2" applyAlignment="1" pivotButton="0" quotePrefix="0" xfId="0">
      <alignment horizontal="center" vertical="center"/>
    </xf>
    <xf numFmtId="3" fontId="24" fillId="12" borderId="2" applyAlignment="1" pivotButton="0" quotePrefix="0" xfId="0">
      <alignment horizontal="right" vertical="center"/>
    </xf>
    <xf numFmtId="0" fontId="7" fillId="13" borderId="2" applyAlignment="1" pivotButton="0" quotePrefix="0" xfId="0">
      <alignment horizontal="center" vertical="center"/>
    </xf>
    <xf numFmtId="0" fontId="21" fillId="0" borderId="2" pivotButton="0" quotePrefix="0" xfId="0"/>
    <xf numFmtId="3" fontId="21" fillId="0" borderId="2" pivotButton="0" quotePrefix="0" xfId="0"/>
    <xf numFmtId="0" fontId="0" fillId="0" borderId="2" pivotButton="0" quotePrefix="0" xfId="0"/>
    <xf numFmtId="0" fontId="21" fillId="4" borderId="2" pivotButton="0" quotePrefix="0" xfId="0"/>
    <xf numFmtId="3" fontId="0" fillId="4" borderId="2" pivotButton="0" quotePrefix="0" xfId="0"/>
    <xf numFmtId="0" fontId="0" fillId="4" borderId="2" pivotButton="0" quotePrefix="0" xfId="0"/>
    <xf numFmtId="0" fontId="21" fillId="12" borderId="2" pivotButton="0" quotePrefix="0" xfId="0"/>
    <xf numFmtId="3" fontId="0" fillId="12" borderId="2" pivotButton="0" quotePrefix="0" xfId="0"/>
    <xf numFmtId="0" fontId="21" fillId="14" borderId="2" pivotButton="0" quotePrefix="0" xfId="0"/>
    <xf numFmtId="3" fontId="0" fillId="14" borderId="2" pivotButton="0" quotePrefix="0" xfId="0"/>
    <xf numFmtId="0" fontId="0" fillId="14" borderId="2" pivotButton="0" quotePrefix="0" xfId="0"/>
    <xf numFmtId="0" fontId="2" fillId="15" borderId="0" pivotButton="0" quotePrefix="0" xfId="0"/>
    <xf numFmtId="3" fontId="25" fillId="15" borderId="0" pivotButton="0" quotePrefix="0" xfId="0"/>
    <xf numFmtId="0" fontId="7" fillId="16" borderId="0" applyAlignment="1" pivotButton="0" quotePrefix="0" xfId="0">
      <alignment horizontal="center" vertical="center"/>
    </xf>
    <xf numFmtId="0" fontId="7" fillId="16" borderId="2" applyAlignment="1" pivotButton="0" quotePrefix="0" xfId="0">
      <alignment horizontal="center" vertical="center"/>
    </xf>
    <xf numFmtId="0" fontId="2" fillId="15" borderId="2" pivotButton="0" quotePrefix="0" xfId="0"/>
    <xf numFmtId="3" fontId="25" fillId="15" borderId="2" pivotButton="0" quotePrefix="0" xfId="0"/>
    <xf numFmtId="0" fontId="26" fillId="0" borderId="0" pivotButton="0" quotePrefix="0" xfId="0"/>
    <xf numFmtId="0" fontId="27" fillId="0" borderId="0" pivotButton="0" quotePrefix="0" xfId="0"/>
    <xf numFmtId="3" fontId="28" fillId="0" borderId="0" pivotButton="0" quotePrefix="0" xfId="0"/>
    <xf numFmtId="0" fontId="2" fillId="18" borderId="0" pivotButton="0" quotePrefix="0" xfId="0"/>
    <xf numFmtId="3" fontId="21" fillId="0" borderId="0" pivotButton="0" quotePrefix="0" xfId="0"/>
    <xf numFmtId="0" fontId="25" fillId="18" borderId="0" pivotButton="0" quotePrefix="0" xfId="0"/>
    <xf numFmtId="0" fontId="21" fillId="19" borderId="0" pivotButton="0" quotePrefix="0" xfId="0"/>
    <xf numFmtId="3" fontId="21" fillId="19" borderId="0" pivotButton="0" quotePrefix="0" xfId="0"/>
    <xf numFmtId="0" fontId="0" fillId="19" borderId="0" pivotButton="0" quotePrefix="0" xfId="0"/>
    <xf numFmtId="3" fontId="25" fillId="0" borderId="0" pivotButton="0" quotePrefix="0" xfId="0"/>
    <xf numFmtId="0" fontId="6" fillId="0" borderId="0" pivotButton="0" quotePrefix="0" xfId="0"/>
    <xf numFmtId="0" fontId="0" fillId="0" borderId="0" pivotButton="0" quotePrefix="0" xfId="0"/>
    <xf numFmtId="0" fontId="1" fillId="0" borderId="0" pivotButton="0" quotePrefix="0" xfId="0"/>
    <xf numFmtId="0" fontId="11" fillId="0" borderId="0" pivotButton="0" quotePrefix="0" xfId="0"/>
    <xf numFmtId="0" fontId="12" fillId="0" borderId="0" pivotButton="0" quotePrefix="0" xfId="0"/>
    <xf numFmtId="0" fontId="14" fillId="0" borderId="0" applyAlignment="1" pivotButton="0" quotePrefix="0" xfId="0">
      <alignment horizontal="left" vertical="center" indent="1"/>
    </xf>
    <xf numFmtId="0" fontId="13" fillId="4" borderId="0" applyAlignment="1" pivotButton="0" quotePrefix="0" xfId="0">
      <alignment horizontal="left" vertical="center" indent="1"/>
    </xf>
    <xf numFmtId="0" fontId="8" fillId="0" borderId="0" pivotButton="0" quotePrefix="0" xfId="0"/>
    <xf numFmtId="164" fontId="9" fillId="3" borderId="1" applyAlignment="1" pivotButton="0" quotePrefix="0" xfId="0">
      <alignment horizontal="right" vertical="center"/>
    </xf>
    <xf numFmtId="0" fontId="0" fillId="0" borderId="3" pivotButton="0" quotePrefix="0" xfId="0"/>
    <xf numFmtId="0" fontId="0" fillId="0" borderId="4" pivotButton="0" quotePrefix="0" xfId="0"/>
    <xf numFmtId="164" fontId="3" fillId="0" borderId="1" applyAlignment="1" pivotButton="0" quotePrefix="0" xfId="0">
      <alignment horizontal="right" vertical="center"/>
    </xf>
    <xf numFmtId="0" fontId="13" fillId="5" borderId="0" applyAlignment="1" pivotButton="0" quotePrefix="0" xfId="0">
      <alignment horizontal="left" vertical="center" indent="1"/>
    </xf>
    <xf numFmtId="0" fontId="13" fillId="6" borderId="0" applyAlignment="1" pivotButton="0" quotePrefix="0" xfId="0">
      <alignment horizontal="left" vertical="center" indent="1"/>
    </xf>
    <xf numFmtId="0" fontId="19" fillId="0" borderId="0" pivotButton="0" quotePrefix="0" xfId="0"/>
    <xf numFmtId="0" fontId="21" fillId="0" borderId="0" applyAlignment="1" pivotButton="0" quotePrefix="0" xfId="0">
      <alignment horizontal="left" vertical="center" wrapText="1"/>
    </xf>
    <xf numFmtId="0" fontId="18" fillId="9" borderId="0" applyAlignment="1" pivotButton="0" quotePrefix="0" xfId="0">
      <alignment horizontal="center" vertical="center"/>
    </xf>
    <xf numFmtId="0" fontId="0" fillId="0" borderId="0" applyAlignment="1" pivotButton="0" quotePrefix="0" xfId="0">
      <alignment horizontal="left" vertical="center" wrapText="1"/>
    </xf>
    <xf numFmtId="0" fontId="7" fillId="13" borderId="0" applyAlignment="1" pivotButton="0" quotePrefix="0" xfId="0">
      <alignment horizontal="center" vertical="center"/>
    </xf>
    <xf numFmtId="0" fontId="7" fillId="17" borderId="0" applyAlignment="1" pivotButton="0" quotePrefix="0" xfId="0">
      <alignment horizontal="center" vertical="center"/>
    </xf>
    <xf numFmtId="0" fontId="7" fillId="10" borderId="0" applyAlignment="1" pivotButton="0" quotePrefix="0" xfId="0">
      <alignment horizontal="center" vertical="center"/>
    </xf>
    <xf numFmtId="164" fontId="3" fillId="0" borderId="1" applyAlignment="1" pivotButton="0" quotePrefix="0" xfId="0">
      <alignment horizontal="right" vertical="center"/>
    </xf>
    <xf numFmtId="165" fontId="3" fillId="0" borderId="1" applyAlignment="1" pivotButton="0" quotePrefix="0" xfId="0">
      <alignment horizontal="right" vertical="center"/>
    </xf>
    <xf numFmtId="164" fontId="9" fillId="3" borderId="1" applyAlignment="1" pivotButton="0" quotePrefix="0" xfId="0">
      <alignment horizontal="right" vertical="center"/>
    </xf>
    <xf numFmtId="165" fontId="9" fillId="3" borderId="1" applyAlignment="1" pivotButton="0" quotePrefix="0" xfId="0">
      <alignment horizontal="right" vertical="center"/>
    </xf>
    <xf numFmtId="164" fontId="4" fillId="0" borderId="1" applyAlignment="1" pivotButton="0" quotePrefix="0" xfId="0">
      <alignment horizontal="right" vertical="center"/>
    </xf>
    <xf numFmtId="164" fontId="3" fillId="4" borderId="1" applyAlignment="1" pivotButton="0" quotePrefix="0" xfId="0">
      <alignment horizontal="right" vertical="center"/>
    </xf>
    <xf numFmtId="164" fontId="4" fillId="4" borderId="1" applyAlignment="1" pivotButton="0" quotePrefix="0" xfId="0">
      <alignment horizontal="right" vertical="center"/>
    </xf>
    <xf numFmtId="164" fontId="3" fillId="5" borderId="1" applyAlignment="1" pivotButton="0" quotePrefix="0" xfId="0">
      <alignment horizontal="right" vertical="center"/>
    </xf>
    <xf numFmtId="164" fontId="4" fillId="5" borderId="1" applyAlignment="1" pivotButton="0" quotePrefix="0" xfId="0">
      <alignment horizontal="right" vertical="center"/>
    </xf>
    <xf numFmtId="164" fontId="8" fillId="6" borderId="1" applyAlignment="1" pivotButton="0" quotePrefix="0" xfId="0">
      <alignment horizontal="right" vertical="center"/>
    </xf>
    <xf numFmtId="164" fontId="8" fillId="7" borderId="1" applyAlignment="1" pivotButton="0" quotePrefix="0" xfId="0">
      <alignment horizontal="right" vertical="center"/>
    </xf>
    <xf numFmtId="164" fontId="8" fillId="8" borderId="1" applyAlignment="1" pivotButton="0" quotePrefix="0" xfId="0">
      <alignment horizontal="right" vertical="center"/>
    </xf>
    <xf numFmtId="164" fontId="16" fillId="0" borderId="0" applyAlignment="1" pivotButton="0" quotePrefix="0" xfId="0">
      <alignment horizontal="right" vertical="center"/>
    </xf>
    <xf numFmtId="164" fontId="12" fillId="0" borderId="1" applyAlignment="1" pivotButton="0" quotePrefix="0" xfId="0">
      <alignment horizontal="center" vertical="center"/>
    </xf>
    <xf numFmtId="164" fontId="17" fillId="3" borderId="1" applyAlignment="1" pivotButton="0" quotePrefix="0" xfId="0">
      <alignment horizontal="right" vertical="center"/>
    </xf>
    <xf numFmtId="164" fontId="12" fillId="0" borderId="0" applyAlignment="1" pivotButton="0" quotePrefix="0" xfId="0">
      <alignment horizontal="right" vertical="center"/>
    </xf>
    <xf numFmtId="0" fontId="30" fillId="0" borderId="0" pivotButton="0" quotePrefix="0" xfId="0"/>
  </cellXfs>
  <cellStyles count="1">
    <cellStyle name="一般" xfId="0" builtinId="0"/>
  </cellStyles>
  <tableStyles count="0" defaultTableStyle="TableStyleMedium2" defaultPivotStyle="PivotStyleLight16"/>
  <colors>
    <indexedColors>
      <rgbColor rgb="FF000000"/>
      <rgbColor rgb="FFFFFFFF"/>
      <rgbColor rgb="FFDC2626"/>
      <rgbColor rgb="FF00FF00"/>
      <rgbColor rgb="FF0000FF"/>
      <rgbColor rgb="FFFFE4E6"/>
      <rgbColor rgb="FFFF00FF"/>
      <rgbColor rgb="FF00FFFF"/>
      <rgbColor rgb="FF800000"/>
      <rgbColor rgb="FF008000"/>
      <rgbColor rgb="FF000080"/>
      <rgbColor rgb="FF666666"/>
      <rgbColor rgb="FF800080"/>
      <rgbColor rgb="FF059669"/>
      <rgbColor rgb="FFB3D4FF"/>
      <rgbColor rgb="FF6B7280"/>
      <rgbColor rgb="FF9999FF"/>
      <rgbColor rgb="FF993366"/>
      <rgbColor rgb="FFFEF3C7"/>
      <rgbColor rgb="FFDBEAFE"/>
      <rgbColor rgb="FF660066"/>
      <rgbColor rgb="FFFF8080"/>
      <rgbColor rgb="FF0066CC"/>
      <rgbColor rgb="FFCBD5E1"/>
      <rgbColor rgb="FF000080"/>
      <rgbColor rgb="FFFF00FF"/>
      <rgbColor rgb="FFF1F5F9"/>
      <rgbColor rgb="FF00FFFF"/>
      <rgbColor rgb="FF800080"/>
      <rgbColor rgb="FF800000"/>
      <rgbColor rgb="FF008080"/>
      <rgbColor rgb="FF0000FF"/>
      <rgbColor rgb="FF00CCFF"/>
      <rgbColor rgb="FFEEF2F7"/>
      <rgbColor rgb="FFE2E8F0"/>
      <rgbColor rgb="FFFFF2CC"/>
      <rgbColor rgb="FF93C5FD"/>
      <rgbColor rgb="FFFECACA"/>
      <rgbColor rgb="FFFEE2E2"/>
      <rgbColor rgb="FFFED7AA"/>
      <rgbColor rgb="FF2563EB"/>
      <rgbColor rgb="FF33CCCC"/>
      <rgbColor rgb="FF99CC00"/>
      <rgbColor rgb="FFFCD34D"/>
      <rgbColor rgb="FFFF9900"/>
      <rgbColor rgb="FFFF6600"/>
      <rgbColor rgb="FF64748B"/>
      <rgbColor rgb="FF969696"/>
      <rgbColor rgb="FF005577"/>
      <rgbColor rgb="FF16A34A"/>
      <rgbColor rgb="FF0F172A"/>
      <rgbColor rgb="FF333300"/>
      <rgbColor rgb="FFB91C1C"/>
      <rgbColor rgb="FF993366"/>
      <rgbColor rgb="FF1E40A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zoomScaleNormal="100" workbookViewId="0">
      <selection activeCell="A1" sqref="A1:B1"/>
    </sheetView>
  </sheetViews>
  <sheetFormatPr baseColWidth="10" defaultColWidth="7.83203125" defaultRowHeight="17"/>
  <cols>
    <col width="16.33203125" customWidth="1" style="84" min="1" max="1"/>
    <col width="72.83203125" customWidth="1" style="84" min="2" max="2"/>
  </cols>
  <sheetData>
    <row r="1" ht="27.75" customHeight="1" s="84">
      <c r="A1" s="85" t="inlineStr">
        <is>
          <t>世界島社區財報整理</t>
        </is>
      </c>
    </row>
    <row r="3" ht="16.5" customHeight="1" s="84">
      <c r="A3" s="1" t="inlineStr">
        <is>
          <t>資料期間</t>
        </is>
      </c>
      <c r="B3" s="2" t="inlineStr">
        <is>
          <t>2021-01 ~ 2026-04 (63 個月)</t>
        </is>
      </c>
    </row>
    <row r="4" ht="16.5" customHeight="1" s="84">
      <c r="A4" s="1" t="inlineStr">
        <is>
          <t>帳戶數</t>
        </is>
      </c>
      <c r="B4" s="2" t="inlineStr">
        <is>
          <t>8 個（跨期合併）</t>
        </is>
      </c>
    </row>
    <row r="5" ht="16.5" customHeight="1" s="84">
      <c r="A5" s="1" t="inlineStr">
        <is>
          <t>分類規則來源</t>
        </is>
      </c>
      <c r="B5" s="2" t="inlineStr">
        <is>
          <t>build_world_island_html.py 內 JS regex</t>
        </is>
      </c>
    </row>
    <row r="6" ht="16.5" customHeight="1" s="84">
      <c r="A6" s="1" t="inlineStr">
        <is>
          <t>分類大類</t>
        </is>
      </c>
      <c r="B6" s="3" t="inlineStr">
        <is>
          <t>收入 8 類、支出 12 類</t>
        </is>
      </c>
    </row>
    <row r="7" ht="15" customHeight="1" s="84">
      <c r="B7" s="2" t="n"/>
    </row>
    <row r="8" ht="18" customHeight="1" s="84">
      <c r="A8" s="4" t="inlineStr">
        <is>
          <t>Sheet 1 月度摘要</t>
        </is>
      </c>
      <c r="B8" s="3" t="inlineStr">
        <is>
          <t>每月收入/支出/結餘總額、帳戶期末總餘額、專款餘額</t>
        </is>
      </c>
    </row>
    <row r="9" ht="18" customHeight="1" s="84">
      <c r="A9" s="4" t="inlineStr">
        <is>
          <t>Sheet 2 收入分類矩陣</t>
        </is>
      </c>
      <c r="B9" s="2" t="inlineStr">
        <is>
          <t>rows=月份, cols=收入分類, values=金額（pivot 表）</t>
        </is>
      </c>
    </row>
    <row r="10" ht="18" customHeight="1" s="84">
      <c r="A10" s="4" t="inlineStr">
        <is>
          <t>Sheet 3 支出分類矩陣</t>
        </is>
      </c>
      <c r="B10" s="2" t="inlineStr">
        <is>
          <t>rows=月份, cols=支出分類, values=金額</t>
        </is>
      </c>
    </row>
    <row r="11" ht="18" customHeight="1" s="84">
      <c r="A11" s="4" t="inlineStr">
        <is>
          <t>Sheet 4 收入明細</t>
        </is>
      </c>
      <c r="B11" s="3" t="inlineStr">
        <is>
          <t>每筆收入逐項列出，最後一欄為分類結果；其他收入用黃色高亮</t>
        </is>
      </c>
    </row>
    <row r="12" ht="31.25" customHeight="1" s="84">
      <c r="A12" s="4" t="inlineStr">
        <is>
          <t>Sheet 5 支出明細</t>
        </is>
      </c>
      <c r="B12" s="3" t="inlineStr">
        <is>
          <t>每筆支出逐項列出，columns: 月份/顯示名稱/金額/分類/Section/議案類別 — 議案類別 column 黃=外牆修繕、藍=納管、橙=電梯</t>
        </is>
      </c>
    </row>
    <row r="13" ht="18" customHeight="1" s="84">
      <c r="A13" s="4" t="inlineStr">
        <is>
          <t>Sheet 6 議案-外牆修繕</t>
        </is>
      </c>
      <c r="B13" s="2" t="inlineStr">
        <is>
          <t>PPT 第 4 頁 data source — SUMIFS 自動從支出明細抓合計</t>
        </is>
      </c>
    </row>
    <row r="14" ht="18" customHeight="1" s="84">
      <c r="A14" s="4" t="inlineStr">
        <is>
          <t>Sheet 7 議案-納管</t>
        </is>
      </c>
      <c r="B14" s="3" t="inlineStr">
        <is>
          <t>同上，SUMIFS 條件為「納管」</t>
        </is>
      </c>
    </row>
    <row r="15" ht="18" customHeight="1" s="84">
      <c r="A15" s="4" t="inlineStr">
        <is>
          <t>Sheet 8 議案-電梯</t>
        </is>
      </c>
      <c r="B15" s="3" t="inlineStr">
        <is>
          <t>同上，SUMIFS 條件為「電梯」(崇友月保養 + 各種修繕/零件，排除撥補)</t>
        </is>
      </c>
    </row>
    <row r="16" ht="18" customHeight="1" s="84">
      <c r="A16" s="4" t="inlineStr">
        <is>
          <t>Sheet 8 帳戶餘額矩陣</t>
        </is>
      </c>
      <c r="B16" s="2" t="inlineStr">
        <is>
          <t>rows=帳戶, cols=月份 期末餘額</t>
        </is>
      </c>
    </row>
    <row r="17" ht="18" customHeight="1" s="84">
      <c r="A17" s="4" t="inlineStr">
        <is>
          <t>Sheet 9 帳戶月度明細</t>
        </is>
      </c>
      <c r="B17" s="3" t="inlineStr">
        <is>
          <t>每月每帳戶 上期/收/支/期末 + 每月小計</t>
        </is>
      </c>
    </row>
    <row r="18" ht="18" customHeight="1" s="84">
      <c r="A18" s="4" t="inlineStr">
        <is>
          <t>Sheet 10 專款明細</t>
        </is>
      </c>
      <c r="B18" s="3" t="inlineStr">
        <is>
          <t>充電樁專款 + 電梯專款 的收入/支出明細</t>
        </is>
      </c>
    </row>
    <row r="19" ht="18" customHeight="1" s="84">
      <c r="A19" s="4" t="inlineStr">
        <is>
          <t>Sheet 11 暫收款明細</t>
        </is>
      </c>
      <c r="B19" s="3" t="inlineStr">
        <is>
          <t>裝潢保證金的收/退記錄</t>
        </is>
      </c>
    </row>
    <row r="20" ht="18" customHeight="1" s="84">
      <c r="A20" s="4" t="inlineStr">
        <is>
          <t>Sheet 12 管理費未繳</t>
        </is>
      </c>
      <c r="B20" s="3" t="inlineStr">
        <is>
          <t>每月未繳戶數與金額（按季）</t>
        </is>
      </c>
    </row>
    <row r="21" ht="15" customHeight="1" s="84">
      <c r="B21" s="2" t="n"/>
    </row>
    <row r="22" ht="16.5" customHeight="1" s="84">
      <c r="A22" s="83" t="inlineStr">
        <is>
          <t>驗證重點</t>
        </is>
      </c>
      <c r="B22" s="2" t="inlineStr">
        <is>
          <t>Sheet 1 的「收入合計 = Sheet 2 該月合計」「支出合計 = Sheet 3 該月合計」</t>
        </is>
      </c>
    </row>
    <row r="23" ht="16.5" customHeight="1" s="84">
      <c r="A23" s="83" t="inlineStr">
        <is>
          <t>分類確認</t>
        </is>
      </c>
      <c r="B23" s="2" t="inlineStr">
        <is>
          <t>Sheet 4/5 的黃色高亮列 = 分到「其他」的項目，若該分到別類，告知以調整 regex</t>
        </is>
      </c>
    </row>
    <row r="24" ht="31.25" customHeight="1" s="84">
      <c r="A24" s="83" t="inlineStr">
        <is>
          <t>議案驗證</t>
        </is>
      </c>
      <c r="B24" s="2" t="inlineStr">
        <is>
          <t>Sheet 6/7 的「合計金額」(B5 SUMIFS 公式) 應 = 「明細加總」(底部 SUM 公式)，差額應為 0</t>
        </is>
      </c>
    </row>
    <row r="26" ht="18" customHeight="1" s="84">
      <c r="A26" s="83" t="inlineStr">
        <is>
          <t>⚠️ 私人資料 — 僅可於 Google Drive 私人路徑保存，不可進入 git repo 或 public demo</t>
        </is>
      </c>
    </row>
  </sheetData>
  <mergeCells count="2">
    <mergeCell ref="A26:B26"/>
    <mergeCell ref="A1:B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66"/>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7.83203125" defaultRowHeight="17"/>
  <cols>
    <col width="11" customWidth="1" style="84" min="1" max="1"/>
    <col width="12.6640625" customWidth="1" style="84" min="2" max="4"/>
    <col width="9.1640625" customWidth="1" style="84" min="5" max="5"/>
    <col width="16.33203125" customWidth="1" style="84" min="6" max="6"/>
    <col width="14.5" customWidth="1" style="84" min="7" max="8"/>
    <col width="12.6640625" customWidth="1" style="84" min="9" max="9"/>
    <col width="11" customWidth="1" style="84" min="10" max="11"/>
  </cols>
  <sheetData>
    <row r="1" ht="15" customHeight="1" s="84">
      <c r="A1" s="6" t="inlineStr">
        <is>
          <t>月份</t>
        </is>
      </c>
      <c r="B1" s="6" t="inlineStr">
        <is>
          <t>收入合計</t>
        </is>
      </c>
      <c r="C1" s="6" t="inlineStr">
        <is>
          <t>支出合計</t>
        </is>
      </c>
      <c r="D1" s="6" t="inlineStr">
        <is>
          <t>結餘</t>
        </is>
      </c>
      <c r="E1" s="6" t="inlineStr">
        <is>
          <t>結餘率</t>
        </is>
      </c>
      <c r="F1" s="6" t="inlineStr">
        <is>
          <t>帳戶期末總餘額</t>
        </is>
      </c>
      <c r="G1" s="6" t="inlineStr">
        <is>
          <t>充電樁專款餘額</t>
        </is>
      </c>
      <c r="H1" s="6" t="inlineStr">
        <is>
          <t>電梯專款餘額</t>
        </is>
      </c>
      <c r="I1" s="6" t="inlineStr">
        <is>
          <t>暫收款活動筆數</t>
        </is>
      </c>
      <c r="J1" s="6" t="inlineStr">
        <is>
          <t>收入項目數</t>
        </is>
      </c>
      <c r="K1" s="6" t="inlineStr">
        <is>
          <t>支出項目數</t>
        </is>
      </c>
    </row>
    <row r="2" ht="15" customHeight="1" s="84">
      <c r="A2" s="7" t="inlineStr">
        <is>
          <t>2021-01</t>
        </is>
      </c>
      <c r="B2" s="104" t="n">
        <v>2179294</v>
      </c>
      <c r="C2" s="104" t="n">
        <v>1224893</v>
      </c>
      <c r="D2" s="104" t="n">
        <v>954401</v>
      </c>
      <c r="E2" s="105" t="n">
        <v>0.4379404522749111</v>
      </c>
      <c r="F2" s="104" t="n">
        <v>19202835</v>
      </c>
      <c r="G2" s="104" t="n">
        <v>0</v>
      </c>
      <c r="H2" s="104" t="n">
        <v>0</v>
      </c>
      <c r="I2" s="104" t="n">
        <v>0</v>
      </c>
      <c r="J2" s="104" t="n">
        <v>11</v>
      </c>
      <c r="K2" s="104" t="n">
        <v>30</v>
      </c>
    </row>
    <row r="3" ht="15" customHeight="1" s="84">
      <c r="A3" s="7" t="inlineStr">
        <is>
          <t>2021-02</t>
        </is>
      </c>
      <c r="B3" s="104" t="n">
        <v>889634</v>
      </c>
      <c r="C3" s="104" t="n">
        <v>1583724</v>
      </c>
      <c r="D3" s="104" t="n">
        <v>-694090</v>
      </c>
      <c r="E3" s="105" t="n">
        <v>-0.7801972496554763</v>
      </c>
      <c r="F3" s="104" t="n">
        <v>17372468</v>
      </c>
      <c r="G3" s="104" t="n">
        <v>0</v>
      </c>
      <c r="H3" s="104" t="n">
        <v>0</v>
      </c>
      <c r="I3" s="104" t="n">
        <v>8</v>
      </c>
      <c r="J3" s="104" t="n">
        <v>12</v>
      </c>
      <c r="K3" s="104" t="n">
        <v>29</v>
      </c>
    </row>
    <row r="4" ht="15" customHeight="1" s="84">
      <c r="A4" s="7" t="inlineStr">
        <is>
          <t>2021-03</t>
        </is>
      </c>
      <c r="B4" s="104" t="n">
        <v>98149</v>
      </c>
      <c r="C4" s="104" t="n">
        <v>1277874</v>
      </c>
      <c r="D4" s="104" t="n">
        <v>-1179725</v>
      </c>
      <c r="E4" s="105" t="n">
        <v>-12.0197353004106</v>
      </c>
      <c r="F4" s="104" t="n">
        <v>16266550</v>
      </c>
      <c r="G4" s="104" t="n">
        <v>0</v>
      </c>
      <c r="H4" s="104" t="n">
        <v>0</v>
      </c>
      <c r="I4" s="104" t="n">
        <v>0</v>
      </c>
      <c r="J4" s="104" t="n">
        <v>12</v>
      </c>
      <c r="K4" s="104" t="n">
        <v>34</v>
      </c>
    </row>
    <row r="5" ht="15" customHeight="1" s="84">
      <c r="A5" s="7" t="inlineStr">
        <is>
          <t>2021-04</t>
        </is>
      </c>
      <c r="B5" s="104" t="n">
        <v>2315258</v>
      </c>
      <c r="C5" s="104" t="n">
        <v>984380</v>
      </c>
      <c r="D5" s="104" t="n">
        <v>1330878</v>
      </c>
      <c r="E5" s="105" t="n">
        <v>0.5748292414927409</v>
      </c>
      <c r="F5" s="104" t="n">
        <v>17671352</v>
      </c>
      <c r="G5" s="104" t="n">
        <v>0</v>
      </c>
      <c r="H5" s="104" t="n">
        <v>0</v>
      </c>
      <c r="I5" s="104" t="n">
        <v>0</v>
      </c>
      <c r="J5" s="104" t="n">
        <v>10</v>
      </c>
      <c r="K5" s="104" t="n">
        <v>24</v>
      </c>
    </row>
    <row r="6" ht="15" customHeight="1" s="84">
      <c r="A6" s="7" t="inlineStr">
        <is>
          <t>2021-05</t>
        </is>
      </c>
      <c r="B6" s="104" t="n">
        <v>507549</v>
      </c>
      <c r="C6" s="104" t="n">
        <v>1124613</v>
      </c>
      <c r="D6" s="104" t="n">
        <v>-617064</v>
      </c>
      <c r="E6" s="105" t="n">
        <v>-1.21577227026356</v>
      </c>
      <c r="F6" s="104" t="n">
        <v>17148173</v>
      </c>
      <c r="G6" s="104" t="n">
        <v>0</v>
      </c>
      <c r="H6" s="104" t="n">
        <v>0</v>
      </c>
      <c r="I6" s="104" t="n">
        <v>0</v>
      </c>
      <c r="J6" s="104" t="n">
        <v>10</v>
      </c>
      <c r="K6" s="104" t="n">
        <v>30</v>
      </c>
    </row>
    <row r="7" ht="15" customHeight="1" s="84">
      <c r="A7" s="7" t="inlineStr">
        <is>
          <t>2021-06</t>
        </is>
      </c>
      <c r="B7" s="104" t="n">
        <v>121511</v>
      </c>
      <c r="C7" s="104" t="n">
        <v>1289875</v>
      </c>
      <c r="D7" s="104" t="n">
        <v>-1168364</v>
      </c>
      <c r="E7" s="105" t="n">
        <v>-9.615294088601029</v>
      </c>
      <c r="F7" s="104" t="n">
        <v>15954141</v>
      </c>
      <c r="G7" s="104" t="n">
        <v>0</v>
      </c>
      <c r="H7" s="104" t="n">
        <v>0</v>
      </c>
      <c r="I7" s="104" t="n">
        <v>0</v>
      </c>
      <c r="J7" s="104" t="n">
        <v>11</v>
      </c>
      <c r="K7" s="104" t="n">
        <v>31</v>
      </c>
    </row>
    <row r="8" ht="15" customHeight="1" s="84">
      <c r="A8" s="7" t="inlineStr">
        <is>
          <t>2021-07</t>
        </is>
      </c>
      <c r="B8" s="104" t="n">
        <v>2650284</v>
      </c>
      <c r="C8" s="104" t="n">
        <v>1324208</v>
      </c>
      <c r="D8" s="104" t="n">
        <v>1326076</v>
      </c>
      <c r="E8" s="105" t="n">
        <v>0.500352415061933</v>
      </c>
      <c r="F8" s="104" t="n">
        <v>17334102</v>
      </c>
      <c r="G8" s="104" t="n">
        <v>0</v>
      </c>
      <c r="H8" s="104" t="n">
        <v>0</v>
      </c>
      <c r="I8" s="104" t="n">
        <v>0</v>
      </c>
      <c r="J8" s="104" t="n">
        <v>14</v>
      </c>
      <c r="K8" s="104" t="n">
        <v>28</v>
      </c>
    </row>
    <row r="9" ht="15" customHeight="1" s="84">
      <c r="A9" s="7" t="inlineStr">
        <is>
          <t>2021-08</t>
        </is>
      </c>
      <c r="B9" s="104" t="n">
        <v>507211</v>
      </c>
      <c r="C9" s="104" t="n">
        <v>985197</v>
      </c>
      <c r="D9" s="104" t="n">
        <v>-477986</v>
      </c>
      <c r="E9" s="105" t="n">
        <v>-0.942380981485023</v>
      </c>
      <c r="F9" s="104" t="n">
        <v>16954040</v>
      </c>
      <c r="G9" s="104" t="n">
        <v>0</v>
      </c>
      <c r="H9" s="104" t="n">
        <v>0</v>
      </c>
      <c r="I9" s="104" t="n">
        <v>0</v>
      </c>
      <c r="J9" s="104" t="n">
        <v>10</v>
      </c>
      <c r="K9" s="104" t="n">
        <v>28</v>
      </c>
    </row>
    <row r="10" ht="15" customHeight="1" s="84">
      <c r="A10" s="7" t="inlineStr">
        <is>
          <t>2021-09</t>
        </is>
      </c>
      <c r="B10" s="104" t="n">
        <v>80847</v>
      </c>
      <c r="C10" s="104" t="n">
        <v>1673787</v>
      </c>
      <c r="D10" s="104" t="n">
        <v>-1592940</v>
      </c>
      <c r="E10" s="105" t="n">
        <v>-19.7031429737653</v>
      </c>
      <c r="F10" s="104" t="n">
        <v>15455024</v>
      </c>
      <c r="G10" s="104" t="n">
        <v>0</v>
      </c>
      <c r="H10" s="104" t="n">
        <v>0</v>
      </c>
      <c r="I10" s="104" t="n">
        <v>0</v>
      </c>
      <c r="J10" s="104" t="n">
        <v>10</v>
      </c>
      <c r="K10" s="104" t="n">
        <v>26</v>
      </c>
    </row>
    <row r="11" ht="15" customHeight="1" s="84">
      <c r="A11" s="7" t="inlineStr">
        <is>
          <t>2021-10</t>
        </is>
      </c>
      <c r="B11" s="104" t="n">
        <v>2373545</v>
      </c>
      <c r="C11" s="104" t="n">
        <v>1119183</v>
      </c>
      <c r="D11" s="104" t="n">
        <v>1254362</v>
      </c>
      <c r="E11" s="105" t="n">
        <v>0.5284761822506</v>
      </c>
      <c r="F11" s="104" t="n">
        <v>16743271</v>
      </c>
      <c r="G11" s="104" t="n">
        <v>0</v>
      </c>
      <c r="H11" s="104" t="n">
        <v>0</v>
      </c>
      <c r="I11" s="104" t="n">
        <v>0</v>
      </c>
      <c r="J11" s="104" t="n">
        <v>11</v>
      </c>
      <c r="K11" s="104" t="n">
        <v>28</v>
      </c>
    </row>
    <row r="12" ht="15" customHeight="1" s="84">
      <c r="A12" s="7" t="inlineStr">
        <is>
          <t>2021-11</t>
        </is>
      </c>
      <c r="B12" s="104" t="n">
        <v>618604</v>
      </c>
      <c r="C12" s="104" t="n">
        <v>1619709</v>
      </c>
      <c r="D12" s="104" t="n">
        <v>-1001105</v>
      </c>
      <c r="E12" s="105" t="n">
        <v>-1.61832933508351</v>
      </c>
      <c r="F12" s="104" t="n">
        <v>15716090</v>
      </c>
      <c r="G12" s="104" t="n">
        <v>0</v>
      </c>
      <c r="H12" s="104" t="n">
        <v>0</v>
      </c>
      <c r="I12" s="104" t="n">
        <v>0</v>
      </c>
      <c r="J12" s="104" t="n">
        <v>10</v>
      </c>
      <c r="K12" s="104" t="n">
        <v>30</v>
      </c>
    </row>
    <row r="13" ht="15" customHeight="1" s="84">
      <c r="A13" s="7" t="inlineStr">
        <is>
          <t>2021-12</t>
        </is>
      </c>
      <c r="B13" s="104" t="n">
        <v>199141</v>
      </c>
      <c r="C13" s="104" t="n">
        <v>1114396</v>
      </c>
      <c r="D13" s="104" t="n">
        <v>-915255</v>
      </c>
      <c r="E13" s="105" t="n">
        <v>-4.59601488392646</v>
      </c>
      <c r="F13" s="104" t="n">
        <v>14855149</v>
      </c>
      <c r="G13" s="104" t="n">
        <v>0</v>
      </c>
      <c r="H13" s="104" t="n">
        <v>0</v>
      </c>
      <c r="I13" s="104" t="n">
        <v>0</v>
      </c>
      <c r="J13" s="104" t="n">
        <v>10</v>
      </c>
      <c r="K13" s="104" t="n">
        <v>26</v>
      </c>
    </row>
    <row r="14" ht="15" customHeight="1" s="84">
      <c r="A14" s="7" t="inlineStr">
        <is>
          <t>2022-01</t>
        </is>
      </c>
      <c r="B14" s="104" t="n">
        <v>2405205</v>
      </c>
      <c r="C14" s="104" t="n">
        <v>1280846</v>
      </c>
      <c r="D14" s="104" t="n">
        <v>1124359</v>
      </c>
      <c r="E14" s="105" t="n">
        <v>0.467469093071069</v>
      </c>
      <c r="F14" s="104" t="n">
        <v>15953432</v>
      </c>
      <c r="G14" s="104" t="n">
        <v>0</v>
      </c>
      <c r="H14" s="104" t="n">
        <v>0</v>
      </c>
      <c r="I14" s="104" t="n">
        <v>0</v>
      </c>
      <c r="J14" s="104" t="n">
        <v>12</v>
      </c>
      <c r="K14" s="104" t="n">
        <v>28</v>
      </c>
    </row>
    <row r="15" ht="15" customHeight="1" s="84">
      <c r="A15" s="7" t="inlineStr">
        <is>
          <t>2022-02</t>
        </is>
      </c>
      <c r="B15" s="104" t="n">
        <v>657462</v>
      </c>
      <c r="C15" s="104" t="n">
        <v>1098138</v>
      </c>
      <c r="D15" s="104" t="n">
        <v>-440676</v>
      </c>
      <c r="E15" s="105" t="n">
        <v>-0.670268395739982</v>
      </c>
      <c r="F15" s="104" t="n">
        <v>15188680</v>
      </c>
      <c r="G15" s="104" t="n">
        <v>0</v>
      </c>
      <c r="H15" s="104" t="n">
        <v>0</v>
      </c>
      <c r="I15" s="104" t="n">
        <v>0</v>
      </c>
      <c r="J15" s="104" t="n">
        <v>10</v>
      </c>
      <c r="K15" s="104" t="n">
        <v>29</v>
      </c>
    </row>
    <row r="16" ht="15" customHeight="1" s="84">
      <c r="A16" s="7" t="inlineStr">
        <is>
          <t>2022-03</t>
        </is>
      </c>
      <c r="B16" s="104" t="n">
        <v>1215868</v>
      </c>
      <c r="C16" s="104" t="n">
        <v>1232771</v>
      </c>
      <c r="D16" s="104" t="n">
        <v>-16903</v>
      </c>
      <c r="E16" s="105" t="n">
        <v>-0.0139020025200104</v>
      </c>
      <c r="F16" s="104" t="n">
        <v>14225584</v>
      </c>
      <c r="G16" s="104" t="n">
        <v>2</v>
      </c>
      <c r="H16" s="104" t="n">
        <v>2</v>
      </c>
      <c r="I16" s="104" t="n">
        <v>0</v>
      </c>
      <c r="J16" s="104" t="n">
        <v>17</v>
      </c>
      <c r="K16" s="104" t="n">
        <v>31</v>
      </c>
    </row>
    <row r="17" ht="15" customHeight="1" s="84">
      <c r="A17" s="7" t="inlineStr">
        <is>
          <t>2022-04</t>
        </is>
      </c>
      <c r="B17" s="104" t="n">
        <v>2968335</v>
      </c>
      <c r="C17" s="104" t="n">
        <v>1124748</v>
      </c>
      <c r="D17" s="104" t="n">
        <v>1843587</v>
      </c>
      <c r="E17" s="105" t="n">
        <v>0.621084547397784</v>
      </c>
      <c r="F17" s="104" t="n">
        <v>16123651</v>
      </c>
      <c r="G17" s="104" t="n">
        <v>1</v>
      </c>
      <c r="H17" s="104" t="n">
        <v>1</v>
      </c>
      <c r="I17" s="104" t="n">
        <v>0</v>
      </c>
      <c r="J17" s="104" t="n">
        <v>9</v>
      </c>
      <c r="K17" s="104" t="n">
        <v>28</v>
      </c>
    </row>
    <row r="18" ht="15" customHeight="1" s="84">
      <c r="A18" s="7" t="inlineStr">
        <is>
          <t>2022-05</t>
        </is>
      </c>
      <c r="B18" s="104" t="n">
        <v>714420</v>
      </c>
      <c r="C18" s="104" t="n">
        <v>1081306</v>
      </c>
      <c r="D18" s="104" t="n">
        <v>-366886</v>
      </c>
      <c r="E18" s="105" t="n">
        <v>-0.5135438537554941</v>
      </c>
      <c r="F18" s="104" t="n">
        <v>15831486</v>
      </c>
      <c r="G18" s="104" t="n">
        <v>1</v>
      </c>
      <c r="H18" s="104" t="n">
        <v>1</v>
      </c>
      <c r="I18" s="104" t="n">
        <v>0</v>
      </c>
      <c r="J18" s="104" t="n">
        <v>8</v>
      </c>
      <c r="K18" s="104" t="n">
        <v>27</v>
      </c>
    </row>
    <row r="19" ht="15" customHeight="1" s="84">
      <c r="A19" s="7" t="inlineStr">
        <is>
          <t>2022-06</t>
        </is>
      </c>
      <c r="B19" s="104" t="n">
        <v>102217</v>
      </c>
      <c r="C19" s="104" t="n">
        <v>1006414</v>
      </c>
      <c r="D19" s="104" t="n">
        <v>-904197</v>
      </c>
      <c r="E19" s="105" t="n">
        <v>-8.845857342712071</v>
      </c>
      <c r="F19" s="104" t="n">
        <v>15002726</v>
      </c>
      <c r="G19" s="104" t="n">
        <v>4145195</v>
      </c>
      <c r="H19" s="104" t="n">
        <v>4145195</v>
      </c>
      <c r="I19" s="104" t="n">
        <v>0</v>
      </c>
      <c r="J19" s="104" t="n">
        <v>9</v>
      </c>
      <c r="K19" s="104" t="n">
        <v>27</v>
      </c>
    </row>
    <row r="20" ht="15" customHeight="1" s="84">
      <c r="A20" s="7" t="inlineStr">
        <is>
          <t>2022-07</t>
        </is>
      </c>
      <c r="B20" s="104" t="n">
        <v>2964684</v>
      </c>
      <c r="C20" s="104" t="n">
        <v>1079567</v>
      </c>
      <c r="D20" s="104" t="n">
        <v>1885117</v>
      </c>
      <c r="E20" s="105" t="n">
        <v>0.635857649584239</v>
      </c>
      <c r="F20" s="104" t="n">
        <v>17022840</v>
      </c>
      <c r="G20" s="104" t="n">
        <v>4129090</v>
      </c>
      <c r="H20" s="104" t="n">
        <v>4129090</v>
      </c>
      <c r="I20" s="104" t="n">
        <v>0</v>
      </c>
      <c r="J20" s="104" t="n">
        <v>10</v>
      </c>
      <c r="K20" s="104" t="n">
        <v>26</v>
      </c>
    </row>
    <row r="21" ht="15" customHeight="1" s="84">
      <c r="A21" s="7" t="inlineStr">
        <is>
          <t>2022-08</t>
        </is>
      </c>
      <c r="B21" s="104" t="n">
        <v>847970</v>
      </c>
      <c r="C21" s="104" t="n">
        <v>1071754</v>
      </c>
      <c r="D21" s="104" t="n">
        <v>-223784</v>
      </c>
      <c r="E21" s="105" t="n">
        <v>-0.263905562696794</v>
      </c>
      <c r="F21" s="104" t="n">
        <v>16934232</v>
      </c>
      <c r="G21" s="104" t="n">
        <v>4129086</v>
      </c>
      <c r="H21" s="104" t="n">
        <v>4129086</v>
      </c>
      <c r="I21" s="104" t="n">
        <v>0</v>
      </c>
      <c r="J21" s="104" t="n">
        <v>9</v>
      </c>
      <c r="K21" s="104" t="n">
        <v>30</v>
      </c>
    </row>
    <row r="22" ht="15" customHeight="1" s="84">
      <c r="A22" s="7" t="inlineStr">
        <is>
          <t>2022-09</t>
        </is>
      </c>
      <c r="B22" s="104" t="n">
        <v>149008</v>
      </c>
      <c r="C22" s="104" t="n">
        <v>1047448</v>
      </c>
      <c r="D22" s="104" t="n">
        <v>-898440</v>
      </c>
      <c r="E22" s="105" t="n">
        <v>-6.02947492752067</v>
      </c>
      <c r="F22" s="104" t="n">
        <v>16190968</v>
      </c>
      <c r="G22" s="104" t="n">
        <v>4129086</v>
      </c>
      <c r="H22" s="104" t="n">
        <v>4129086</v>
      </c>
      <c r="I22" s="104" t="n">
        <v>0</v>
      </c>
      <c r="J22" s="104" t="n">
        <v>8</v>
      </c>
      <c r="K22" s="104" t="n">
        <v>26</v>
      </c>
    </row>
    <row r="23" ht="15" customHeight="1" s="84">
      <c r="A23" s="7" t="inlineStr">
        <is>
          <t>2022-10</t>
        </is>
      </c>
      <c r="B23" s="104" t="n">
        <v>3237469</v>
      </c>
      <c r="C23" s="104" t="n">
        <v>1442768</v>
      </c>
      <c r="D23" s="104" t="n">
        <v>1794701</v>
      </c>
      <c r="E23" s="105" t="n">
        <v>0.554353107319329</v>
      </c>
      <c r="F23" s="104" t="n">
        <v>18040998</v>
      </c>
      <c r="G23" s="104" t="n">
        <v>4239086</v>
      </c>
      <c r="H23" s="104" t="n">
        <v>4239086</v>
      </c>
      <c r="I23" s="104" t="n">
        <v>0</v>
      </c>
      <c r="J23" s="104" t="n">
        <v>10</v>
      </c>
      <c r="K23" s="104" t="n">
        <v>32</v>
      </c>
    </row>
    <row r="24" ht="15" customHeight="1" s="84">
      <c r="A24" s="7" t="inlineStr">
        <is>
          <t>2022-11</t>
        </is>
      </c>
      <c r="B24" s="104" t="n">
        <v>501087</v>
      </c>
      <c r="C24" s="104" t="n">
        <v>1136840</v>
      </c>
      <c r="D24" s="104" t="n">
        <v>-635753</v>
      </c>
      <c r="E24" s="105" t="n">
        <v>-1.26874774240801</v>
      </c>
      <c r="F24" s="104" t="n">
        <v>17420837</v>
      </c>
      <c r="G24" s="104" t="n">
        <v>4399086</v>
      </c>
      <c r="H24" s="104" t="n">
        <v>4399086</v>
      </c>
      <c r="I24" s="104" t="n">
        <v>0</v>
      </c>
      <c r="J24" s="104" t="n">
        <v>9</v>
      </c>
      <c r="K24" s="104" t="n">
        <v>25</v>
      </c>
    </row>
    <row r="25" ht="15" customHeight="1" s="84">
      <c r="A25" s="7" t="inlineStr">
        <is>
          <t>2022-12</t>
        </is>
      </c>
      <c r="B25" s="104" t="n">
        <v>84488</v>
      </c>
      <c r="C25" s="104" t="n">
        <v>1036181</v>
      </c>
      <c r="D25" s="104" t="n">
        <v>-951693</v>
      </c>
      <c r="E25" s="105" t="n">
        <v>-11.2642387084556</v>
      </c>
      <c r="F25" s="104" t="n">
        <v>16428444</v>
      </c>
      <c r="G25" s="104" t="n">
        <v>4699086</v>
      </c>
      <c r="H25" s="104" t="n">
        <v>4699086</v>
      </c>
      <c r="I25" s="104" t="n">
        <v>0</v>
      </c>
      <c r="J25" s="104" t="n">
        <v>8</v>
      </c>
      <c r="K25" s="104" t="n">
        <v>22</v>
      </c>
    </row>
    <row r="26" ht="15" customHeight="1" s="84">
      <c r="A26" s="7" t="inlineStr">
        <is>
          <t>2023-01</t>
        </is>
      </c>
      <c r="B26" s="104" t="n">
        <v>3244680</v>
      </c>
      <c r="C26" s="104" t="n">
        <v>1301656</v>
      </c>
      <c r="D26" s="104" t="n">
        <v>1943024</v>
      </c>
      <c r="E26" s="105" t="n">
        <v>0.5988337833006649</v>
      </c>
      <c r="F26" s="104" t="n">
        <v>18367364</v>
      </c>
      <c r="G26" s="104" t="n">
        <v>4853668</v>
      </c>
      <c r="H26" s="104" t="n">
        <v>4853668</v>
      </c>
      <c r="I26" s="104" t="n">
        <v>0</v>
      </c>
      <c r="J26" s="104" t="n">
        <v>10</v>
      </c>
      <c r="K26" s="104" t="n">
        <v>27</v>
      </c>
    </row>
    <row r="27" ht="15" customHeight="1" s="84">
      <c r="A27" s="7" t="inlineStr">
        <is>
          <t>2023-02</t>
        </is>
      </c>
      <c r="B27" s="104" t="n">
        <v>540654</v>
      </c>
      <c r="C27" s="104" t="n">
        <v>1666666</v>
      </c>
      <c r="D27" s="104" t="n">
        <v>-1126012</v>
      </c>
      <c r="E27" s="105" t="n">
        <v>-2.08268504440918</v>
      </c>
      <c r="F27" s="104" t="n">
        <v>16832360</v>
      </c>
      <c r="G27" s="104" t="n">
        <v>4903668</v>
      </c>
      <c r="H27" s="104" t="n">
        <v>4903668</v>
      </c>
      <c r="I27" s="104" t="n">
        <v>0</v>
      </c>
      <c r="J27" s="104" t="n">
        <v>11</v>
      </c>
      <c r="K27" s="104" t="n">
        <v>29</v>
      </c>
    </row>
    <row r="28" ht="15" customHeight="1" s="84">
      <c r="A28" s="7" t="inlineStr">
        <is>
          <t>2023-03</t>
        </is>
      </c>
      <c r="B28" s="104" t="n">
        <v>177140</v>
      </c>
      <c r="C28" s="104" t="n">
        <v>1192163</v>
      </c>
      <c r="D28" s="104" t="n">
        <v>-1015023</v>
      </c>
      <c r="E28" s="105" t="n">
        <v>-5.7300609687253</v>
      </c>
      <c r="F28" s="104" t="n">
        <v>15874105</v>
      </c>
      <c r="G28" s="104" t="n">
        <v>8750526</v>
      </c>
      <c r="H28" s="104" t="n">
        <v>8750526</v>
      </c>
      <c r="I28" s="104" t="n">
        <v>0</v>
      </c>
      <c r="J28" s="104" t="n">
        <v>12</v>
      </c>
      <c r="K28" s="104" t="n">
        <v>30</v>
      </c>
    </row>
    <row r="29" ht="15" customHeight="1" s="84">
      <c r="A29" s="7" t="inlineStr">
        <is>
          <t>2023-04</t>
        </is>
      </c>
      <c r="B29" s="104" t="n">
        <v>2947787</v>
      </c>
      <c r="C29" s="104" t="n">
        <v>1098335</v>
      </c>
      <c r="D29" s="104" t="n">
        <v>1849452</v>
      </c>
      <c r="E29" s="105" t="n">
        <v>0.6274035403507781</v>
      </c>
      <c r="F29" s="104" t="n">
        <v>17780731</v>
      </c>
      <c r="G29" s="104" t="n">
        <v>5470786</v>
      </c>
      <c r="H29" s="104" t="n">
        <v>5470786</v>
      </c>
      <c r="I29" s="104" t="n">
        <v>0</v>
      </c>
      <c r="J29" s="104" t="n">
        <v>9</v>
      </c>
      <c r="K29" s="104" t="n">
        <v>27</v>
      </c>
    </row>
    <row r="30" ht="15" customHeight="1" s="84">
      <c r="A30" s="7" t="inlineStr">
        <is>
          <t>2023-05</t>
        </is>
      </c>
      <c r="B30" s="104" t="n">
        <v>872903</v>
      </c>
      <c r="C30" s="104" t="n">
        <v>1131892</v>
      </c>
      <c r="D30" s="104" t="n">
        <v>-258989</v>
      </c>
      <c r="E30" s="105" t="n">
        <v>-0.296698487689927</v>
      </c>
      <c r="F30" s="104" t="n">
        <v>17659066</v>
      </c>
      <c r="G30" s="104" t="n">
        <v>4761441</v>
      </c>
      <c r="H30" s="104" t="n">
        <v>4761441</v>
      </c>
      <c r="I30" s="104" t="n">
        <v>0</v>
      </c>
      <c r="J30" s="104" t="n">
        <v>10</v>
      </c>
      <c r="K30" s="104" t="n">
        <v>24</v>
      </c>
    </row>
    <row r="31" ht="15" customHeight="1" s="84">
      <c r="A31" s="7" t="inlineStr">
        <is>
          <t>2023-06</t>
        </is>
      </c>
      <c r="B31" s="104" t="n">
        <v>137117</v>
      </c>
      <c r="C31" s="104" t="n">
        <v>1116729</v>
      </c>
      <c r="D31" s="104" t="n">
        <v>-979612</v>
      </c>
      <c r="E31" s="105" t="n">
        <v>-7.14435117454437</v>
      </c>
      <c r="F31" s="104" t="n">
        <v>16724392</v>
      </c>
      <c r="G31" s="104" t="n">
        <v>4710852</v>
      </c>
      <c r="H31" s="104" t="n">
        <v>4710852</v>
      </c>
      <c r="I31" s="104" t="n">
        <v>0</v>
      </c>
      <c r="J31" s="104" t="n">
        <v>11</v>
      </c>
      <c r="K31" s="104" t="n">
        <v>26</v>
      </c>
    </row>
    <row r="32" ht="15" customHeight="1" s="84">
      <c r="A32" s="7" t="inlineStr">
        <is>
          <t>2023-07</t>
        </is>
      </c>
      <c r="B32" s="104" t="n">
        <v>3191108</v>
      </c>
      <c r="C32" s="104" t="n">
        <v>1153145</v>
      </c>
      <c r="D32" s="104" t="n">
        <v>2037963</v>
      </c>
      <c r="E32" s="105" t="n">
        <v>0.638638052989745</v>
      </c>
      <c r="F32" s="104" t="n">
        <v>18839679</v>
      </c>
      <c r="G32" s="104" t="n">
        <v>2349143</v>
      </c>
      <c r="H32" s="104" t="n">
        <v>2349143</v>
      </c>
      <c r="I32" s="104" t="n">
        <v>0</v>
      </c>
      <c r="J32" s="104" t="n">
        <v>11</v>
      </c>
      <c r="K32" s="104" t="n">
        <v>33</v>
      </c>
    </row>
    <row r="33" ht="15" customHeight="1" s="84">
      <c r="A33" s="7" t="inlineStr">
        <is>
          <t>2023-08</t>
        </is>
      </c>
      <c r="B33" s="104" t="n">
        <v>513389</v>
      </c>
      <c r="C33" s="104" t="n">
        <v>1276263</v>
      </c>
      <c r="D33" s="104" t="n">
        <v>-762874</v>
      </c>
      <c r="E33" s="105" t="n">
        <v>-1.48595704232074</v>
      </c>
      <c r="F33" s="104" t="n">
        <v>18054199</v>
      </c>
      <c r="G33" s="104" t="n">
        <v>1429367</v>
      </c>
      <c r="H33" s="104" t="n">
        <v>1429367</v>
      </c>
      <c r="I33" s="104" t="n">
        <v>0</v>
      </c>
      <c r="J33" s="104" t="n">
        <v>10</v>
      </c>
      <c r="K33" s="104" t="n">
        <v>28</v>
      </c>
    </row>
    <row r="34" ht="15" customHeight="1" s="84">
      <c r="A34" s="7" t="inlineStr">
        <is>
          <t>2023-09</t>
        </is>
      </c>
      <c r="B34" s="104" t="n">
        <v>106072</v>
      </c>
      <c r="C34" s="104" t="n">
        <v>1067414</v>
      </c>
      <c r="D34" s="104" t="n">
        <v>-961342</v>
      </c>
      <c r="E34" s="105" t="n">
        <v>-9.06310807753224</v>
      </c>
      <c r="F34" s="104" t="n">
        <v>16630251</v>
      </c>
      <c r="G34" s="104" t="n">
        <v>1221338</v>
      </c>
      <c r="H34" s="104" t="n">
        <v>1221338</v>
      </c>
      <c r="I34" s="104" t="n">
        <v>0</v>
      </c>
      <c r="J34" s="104" t="n">
        <v>10</v>
      </c>
      <c r="K34" s="104" t="n">
        <v>27</v>
      </c>
    </row>
    <row r="35" ht="15" customHeight="1" s="84">
      <c r="A35" s="7" t="inlineStr">
        <is>
          <t>2023-10</t>
        </is>
      </c>
      <c r="B35" s="104" t="n">
        <v>3486451</v>
      </c>
      <c r="C35" s="104" t="n">
        <v>1160679</v>
      </c>
      <c r="D35" s="104" t="n">
        <v>2325772</v>
      </c>
      <c r="E35" s="105" t="n">
        <v>0.6670886812979731</v>
      </c>
      <c r="F35" s="104" t="n">
        <v>19093347</v>
      </c>
      <c r="G35" s="104" t="n">
        <v>1578227</v>
      </c>
      <c r="H35" s="104" t="n">
        <v>1578227</v>
      </c>
      <c r="I35" s="104" t="n">
        <v>0</v>
      </c>
      <c r="J35" s="104" t="n">
        <v>11</v>
      </c>
      <c r="K35" s="104" t="n">
        <v>26</v>
      </c>
    </row>
    <row r="36" ht="15" customHeight="1" s="84">
      <c r="A36" s="7" t="inlineStr">
        <is>
          <t>2023-11</t>
        </is>
      </c>
      <c r="B36" s="104" t="n">
        <v>498195</v>
      </c>
      <c r="C36" s="104" t="n">
        <v>1128336</v>
      </c>
      <c r="D36" s="104" t="n">
        <v>-630141</v>
      </c>
      <c r="E36" s="105" t="n">
        <v>-1.26484810164695</v>
      </c>
      <c r="F36" s="104" t="n">
        <v>18500600</v>
      </c>
      <c r="G36" s="104" t="n">
        <v>1085744</v>
      </c>
      <c r="H36" s="104" t="n">
        <v>1085744</v>
      </c>
      <c r="I36" s="104" t="n">
        <v>0</v>
      </c>
      <c r="J36" s="104" t="n">
        <v>10</v>
      </c>
      <c r="K36" s="104" t="n">
        <v>26</v>
      </c>
    </row>
    <row r="37" ht="15" customHeight="1" s="84">
      <c r="A37" s="7" t="inlineStr">
        <is>
          <t>2023-12</t>
        </is>
      </c>
      <c r="B37" s="104" t="n">
        <v>62190</v>
      </c>
      <c r="C37" s="104" t="n">
        <v>1470251</v>
      </c>
      <c r="D37" s="104" t="n">
        <v>-1408061</v>
      </c>
      <c r="E37" s="105" t="n">
        <v>-22.6412767325937</v>
      </c>
      <c r="F37" s="104" t="n">
        <v>17098337</v>
      </c>
      <c r="G37" s="104" t="n">
        <v>1153319</v>
      </c>
      <c r="H37" s="104" t="n">
        <v>1153319</v>
      </c>
      <c r="I37" s="104" t="n">
        <v>2</v>
      </c>
      <c r="J37" s="104" t="n">
        <v>10</v>
      </c>
      <c r="K37" s="104" t="n">
        <v>33</v>
      </c>
    </row>
    <row r="38" ht="15" customHeight="1" s="84">
      <c r="A38" s="7" t="inlineStr">
        <is>
          <t>2024-01</t>
        </is>
      </c>
      <c r="B38" s="104" t="n">
        <v>3633589</v>
      </c>
      <c r="C38" s="104" t="n">
        <v>1180739</v>
      </c>
      <c r="D38" s="104" t="n">
        <v>2452850</v>
      </c>
      <c r="E38" s="105" t="n">
        <v>0.675048829132849</v>
      </c>
      <c r="F38" s="104" t="n">
        <v>19568581</v>
      </c>
      <c r="G38" s="104" t="n">
        <v>1014486</v>
      </c>
      <c r="H38" s="104" t="n">
        <v>1014486</v>
      </c>
      <c r="I38" s="104" t="n">
        <v>2</v>
      </c>
      <c r="J38" s="104" t="n">
        <v>11</v>
      </c>
      <c r="K38" s="104" t="n">
        <v>30</v>
      </c>
    </row>
    <row r="39" ht="15" customHeight="1" s="84">
      <c r="A39" s="7" t="inlineStr">
        <is>
          <t>2024-02</t>
        </is>
      </c>
      <c r="B39" s="104" t="n">
        <v>301432</v>
      </c>
      <c r="C39" s="104" t="n">
        <v>1152322</v>
      </c>
      <c r="D39" s="104" t="n">
        <v>-850890</v>
      </c>
      <c r="E39" s="105" t="n">
        <v>-2.82282571193503</v>
      </c>
      <c r="F39" s="104" t="n">
        <v>18295085</v>
      </c>
      <c r="G39" s="104" t="n">
        <v>1000195</v>
      </c>
      <c r="H39" s="104" t="n">
        <v>1000195</v>
      </c>
      <c r="I39" s="104" t="n">
        <v>2</v>
      </c>
      <c r="J39" s="104" t="n">
        <v>8</v>
      </c>
      <c r="K39" s="104" t="n">
        <v>29</v>
      </c>
    </row>
    <row r="40" ht="15" customHeight="1" s="84">
      <c r="A40" s="7" t="inlineStr">
        <is>
          <t>2024-03</t>
        </is>
      </c>
      <c r="B40" s="104" t="n">
        <v>37848</v>
      </c>
      <c r="C40" s="104" t="n">
        <v>1311344</v>
      </c>
      <c r="D40" s="104" t="n">
        <v>-1273496</v>
      </c>
      <c r="E40" s="105" t="n">
        <v>-33.6476432043965</v>
      </c>
      <c r="F40" s="104" t="n">
        <v>17139022</v>
      </c>
      <c r="G40" s="104" t="n">
        <v>1070587</v>
      </c>
      <c r="H40" s="104" t="n">
        <v>1070587</v>
      </c>
      <c r="I40" s="104" t="n">
        <v>2</v>
      </c>
      <c r="J40" s="104" t="n">
        <v>8</v>
      </c>
      <c r="K40" s="104" t="n">
        <v>29</v>
      </c>
    </row>
    <row r="41" ht="15" customHeight="1" s="84">
      <c r="A41" s="7" t="inlineStr">
        <is>
          <t>2024-04</t>
        </is>
      </c>
      <c r="B41" s="104" t="n">
        <v>3122039</v>
      </c>
      <c r="C41" s="104" t="n">
        <v>1302616</v>
      </c>
      <c r="D41" s="104" t="n">
        <v>1819423</v>
      </c>
      <c r="E41" s="105" t="n">
        <v>0.582767543903199</v>
      </c>
      <c r="F41" s="104" t="n">
        <v>18956255</v>
      </c>
      <c r="G41" s="104" t="n">
        <v>1116326</v>
      </c>
      <c r="H41" s="104" t="n">
        <v>1116326</v>
      </c>
      <c r="I41" s="104" t="n">
        <v>2</v>
      </c>
      <c r="J41" s="104" t="n">
        <v>12</v>
      </c>
      <c r="K41" s="104" t="n">
        <v>35</v>
      </c>
    </row>
    <row r="42" ht="15" customHeight="1" s="84">
      <c r="A42" s="7" t="inlineStr">
        <is>
          <t>2024-05</t>
        </is>
      </c>
      <c r="B42" s="104" t="n">
        <v>696581</v>
      </c>
      <c r="C42" s="104" t="n">
        <v>1096327</v>
      </c>
      <c r="D42" s="104" t="n">
        <v>-399746</v>
      </c>
      <c r="E42" s="105" t="n">
        <v>-0.573868652748209</v>
      </c>
      <c r="F42" s="104" t="n">
        <v>18634434</v>
      </c>
      <c r="G42" s="104" t="n">
        <v>1092449</v>
      </c>
      <c r="H42" s="104" t="n">
        <v>1092449</v>
      </c>
      <c r="I42" s="104" t="n">
        <v>2</v>
      </c>
      <c r="J42" s="104" t="n">
        <v>10</v>
      </c>
      <c r="K42" s="104" t="n">
        <v>29</v>
      </c>
    </row>
    <row r="43" ht="15" customHeight="1" s="84">
      <c r="A43" s="7" t="inlineStr">
        <is>
          <t>2024-06</t>
        </is>
      </c>
      <c r="B43" s="104" t="n">
        <v>123685</v>
      </c>
      <c r="C43" s="104" t="n">
        <v>1463544</v>
      </c>
      <c r="D43" s="104" t="n">
        <v>-1339859</v>
      </c>
      <c r="E43" s="105" t="n">
        <v>-10.8328334074463</v>
      </c>
      <c r="F43" s="104" t="n">
        <v>17361178</v>
      </c>
      <c r="G43" s="104" t="n">
        <v>1236561</v>
      </c>
      <c r="H43" s="104" t="n">
        <v>1236561</v>
      </c>
      <c r="I43" s="104" t="n">
        <v>2</v>
      </c>
      <c r="J43" s="104" t="n">
        <v>8</v>
      </c>
      <c r="K43" s="104" t="n">
        <v>34</v>
      </c>
    </row>
    <row r="44" ht="15" customHeight="1" s="84">
      <c r="A44" s="7" t="inlineStr">
        <is>
          <t>2024-07</t>
        </is>
      </c>
      <c r="B44" s="104" t="n">
        <v>3416862</v>
      </c>
      <c r="C44" s="104" t="n">
        <v>1325536</v>
      </c>
      <c r="D44" s="104" t="n">
        <v>2091326</v>
      </c>
      <c r="E44" s="105" t="n">
        <v>0.6120604226919319</v>
      </c>
      <c r="F44" s="104" t="n">
        <v>19510429</v>
      </c>
      <c r="G44" s="104" t="n">
        <v>1314291</v>
      </c>
      <c r="H44" s="104" t="n">
        <v>1314291</v>
      </c>
      <c r="I44" s="104" t="n">
        <v>2</v>
      </c>
      <c r="J44" s="104" t="n">
        <v>12</v>
      </c>
      <c r="K44" s="104" t="n">
        <v>30</v>
      </c>
    </row>
    <row r="45" ht="15" customHeight="1" s="84">
      <c r="A45" s="7" t="inlineStr">
        <is>
          <t>2024-08</t>
        </is>
      </c>
      <c r="B45" s="104" t="n">
        <v>493043</v>
      </c>
      <c r="C45" s="104" t="n">
        <v>1365377</v>
      </c>
      <c r="D45" s="104" t="n">
        <v>-872334</v>
      </c>
      <c r="E45" s="105" t="n">
        <v>-1.7692858432226</v>
      </c>
      <c r="F45" s="104" t="n">
        <v>18696097</v>
      </c>
      <c r="G45" s="104" t="n">
        <v>1307040</v>
      </c>
      <c r="H45" s="104" t="n">
        <v>1307040</v>
      </c>
      <c r="I45" s="104" t="n">
        <v>0</v>
      </c>
      <c r="J45" s="104" t="n">
        <v>10</v>
      </c>
      <c r="K45" s="104" t="n">
        <v>30</v>
      </c>
    </row>
    <row r="46" ht="15" customHeight="1" s="84">
      <c r="A46" s="7" t="inlineStr">
        <is>
          <t>2024-09</t>
        </is>
      </c>
      <c r="B46" s="104" t="n">
        <v>84197</v>
      </c>
      <c r="C46" s="104" t="n">
        <v>1506704</v>
      </c>
      <c r="D46" s="104" t="n">
        <v>-1422507</v>
      </c>
      <c r="E46" s="105" t="n">
        <v>-16.8949843818663</v>
      </c>
      <c r="F46" s="104" t="n">
        <v>19112054</v>
      </c>
      <c r="G46" s="104" t="n">
        <v>1386923</v>
      </c>
      <c r="H46" s="104" t="n">
        <v>1386923</v>
      </c>
      <c r="I46" s="104" t="n">
        <v>0</v>
      </c>
      <c r="J46" s="104" t="n">
        <v>9</v>
      </c>
      <c r="K46" s="104" t="n">
        <v>35</v>
      </c>
    </row>
    <row r="47" ht="15" customHeight="1" s="84">
      <c r="A47" t="inlineStr">
        <is>
          <t>2024-10</t>
        </is>
      </c>
      <c r="B47" t="n">
        <v>3396468</v>
      </c>
      <c r="C47" t="n">
        <v>1073931</v>
      </c>
      <c r="D47" t="n">
        <v>2322537</v>
      </c>
      <c r="E47" t="n">
        <v>0.6838094750193436</v>
      </c>
      <c r="F47" t="n">
        <v>19112054</v>
      </c>
      <c r="G47" t="n">
        <v>1386923</v>
      </c>
      <c r="H47" t="n">
        <v>1386923</v>
      </c>
      <c r="I47" t="n">
        <v>0</v>
      </c>
      <c r="J47" t="n">
        <v>3</v>
      </c>
      <c r="K47" t="n">
        <v>24</v>
      </c>
    </row>
    <row r="48" ht="15" customHeight="1" s="84">
      <c r="A48" s="7" t="inlineStr">
        <is>
          <t>2024-11</t>
        </is>
      </c>
      <c r="B48" s="104" t="n">
        <v>341050</v>
      </c>
      <c r="C48" s="104" t="n">
        <v>1197781</v>
      </c>
      <c r="D48" s="104" t="n">
        <v>-856731</v>
      </c>
      <c r="E48" s="105" t="n">
        <v>-2.51203929042662</v>
      </c>
      <c r="F48" s="104" t="n">
        <v>18295618</v>
      </c>
      <c r="G48" s="104" t="n">
        <v>1193825</v>
      </c>
      <c r="H48" s="104" t="n">
        <v>1193825</v>
      </c>
      <c r="I48" s="104" t="n">
        <v>0</v>
      </c>
      <c r="J48" s="104" t="n">
        <v>10</v>
      </c>
      <c r="K48" s="104" t="n">
        <v>23</v>
      </c>
    </row>
    <row r="49" ht="15" customHeight="1" s="84">
      <c r="A49" s="7" t="inlineStr">
        <is>
          <t>2024-12</t>
        </is>
      </c>
      <c r="B49" s="104" t="n">
        <v>137141</v>
      </c>
      <c r="C49" s="104" t="n">
        <v>1500078</v>
      </c>
      <c r="D49" s="104" t="n">
        <v>-1362937</v>
      </c>
      <c r="E49" s="105" t="n">
        <v>-9.9382168716868</v>
      </c>
      <c r="F49" s="104" t="n">
        <v>17030242</v>
      </c>
      <c r="G49" s="104" t="n">
        <v>1176659</v>
      </c>
      <c r="H49" s="104" t="n">
        <v>1176659</v>
      </c>
      <c r="I49" s="104" t="n">
        <v>0</v>
      </c>
      <c r="J49" s="104" t="n">
        <v>9</v>
      </c>
      <c r="K49" s="104" t="n">
        <v>26</v>
      </c>
    </row>
    <row r="50" ht="15" customHeight="1" s="84">
      <c r="A50" s="7" t="inlineStr">
        <is>
          <t>2025-01</t>
        </is>
      </c>
      <c r="B50" s="104" t="n">
        <v>1843224</v>
      </c>
      <c r="C50" s="104" t="n">
        <v>1142046</v>
      </c>
      <c r="D50" s="104" t="n">
        <v>701178</v>
      </c>
      <c r="E50" s="105" t="n">
        <v>0.3804084582232</v>
      </c>
      <c r="F50" s="104" t="n">
        <v>17837052</v>
      </c>
      <c r="G50" s="104" t="n">
        <v>1161931</v>
      </c>
      <c r="H50" s="104" t="n">
        <v>1161931</v>
      </c>
      <c r="I50" s="104" t="n">
        <v>0</v>
      </c>
      <c r="J50" s="104" t="n">
        <v>9</v>
      </c>
      <c r="K50" s="104" t="n">
        <v>25</v>
      </c>
    </row>
    <row r="51" ht="15" customHeight="1" s="84">
      <c r="A51" s="7" t="inlineStr">
        <is>
          <t>2025-02</t>
        </is>
      </c>
      <c r="B51" s="104" t="n">
        <v>1649770</v>
      </c>
      <c r="C51" s="104" t="n">
        <v>111333</v>
      </c>
      <c r="D51" s="104" t="n">
        <v>1538437</v>
      </c>
      <c r="E51" s="105" t="n">
        <v>0.932516047691496</v>
      </c>
      <c r="F51" s="104" t="n">
        <v>19383491</v>
      </c>
      <c r="G51" s="104" t="n">
        <v>1140860</v>
      </c>
      <c r="H51" s="104" t="n">
        <v>1140860</v>
      </c>
      <c r="I51" s="104" t="n">
        <v>0</v>
      </c>
      <c r="J51" s="104" t="n">
        <v>10</v>
      </c>
      <c r="K51" s="104" t="n">
        <v>5</v>
      </c>
    </row>
    <row r="52" ht="15" customHeight="1" s="84">
      <c r="A52" s="7" t="inlineStr">
        <is>
          <t>2025-03</t>
        </is>
      </c>
      <c r="B52" s="104" t="n">
        <v>154086</v>
      </c>
      <c r="C52" s="104" t="n">
        <v>1370793</v>
      </c>
      <c r="D52" s="104" t="n">
        <v>-1216707</v>
      </c>
      <c r="E52" s="105" t="n">
        <v>-7.89628519138663</v>
      </c>
      <c r="F52" s="104" t="n">
        <v>18264729</v>
      </c>
      <c r="G52" s="104" t="n">
        <v>1121659</v>
      </c>
      <c r="H52" s="104" t="n">
        <v>1121659</v>
      </c>
      <c r="I52" s="104" t="n">
        <v>0</v>
      </c>
      <c r="J52" s="104" t="n">
        <v>11</v>
      </c>
      <c r="K52" s="104" t="n">
        <v>24</v>
      </c>
    </row>
    <row r="53" ht="15" customHeight="1" s="84">
      <c r="A53" s="7" t="inlineStr">
        <is>
          <t>2025-04</t>
        </is>
      </c>
      <c r="B53" s="104" t="n">
        <v>2481081</v>
      </c>
      <c r="C53" s="104" t="n">
        <v>1866058</v>
      </c>
      <c r="D53" s="104" t="n">
        <v>615023</v>
      </c>
      <c r="E53" s="105" t="n">
        <v>0.24788509524679</v>
      </c>
      <c r="F53" s="104" t="n">
        <v>18957945</v>
      </c>
      <c r="G53" s="104" t="n">
        <v>1101048</v>
      </c>
      <c r="H53" s="104" t="n">
        <v>1101048</v>
      </c>
      <c r="I53" s="104" t="n">
        <v>0</v>
      </c>
      <c r="J53" s="104" t="n">
        <v>10</v>
      </c>
      <c r="K53" s="104" t="n">
        <v>30</v>
      </c>
    </row>
    <row r="54" ht="15" customHeight="1" s="84">
      <c r="A54" s="7" t="inlineStr">
        <is>
          <t>2025-05</t>
        </is>
      </c>
      <c r="B54" s="104" t="n">
        <v>1483239</v>
      </c>
      <c r="C54" s="104" t="n">
        <v>1753211</v>
      </c>
      <c r="D54" s="104" t="n">
        <v>-269972</v>
      </c>
      <c r="E54" s="105" t="n">
        <v>-0.182015170852439</v>
      </c>
      <c r="F54" s="104" t="n">
        <v>17082936</v>
      </c>
      <c r="G54" s="104" t="n">
        <v>1129182</v>
      </c>
      <c r="H54" s="104" t="n">
        <v>1129182</v>
      </c>
      <c r="I54" s="104" t="n">
        <v>0</v>
      </c>
      <c r="J54" s="104" t="n">
        <v>12</v>
      </c>
      <c r="K54" s="104" t="n">
        <v>32</v>
      </c>
    </row>
    <row r="55" ht="15" customHeight="1" s="84">
      <c r="A55" s="7" t="inlineStr">
        <is>
          <t>2025-06</t>
        </is>
      </c>
      <c r="B55" s="104" t="n">
        <v>128994</v>
      </c>
      <c r="C55" s="104" t="n">
        <v>1476525</v>
      </c>
      <c r="D55" s="104" t="n">
        <v>-1347531</v>
      </c>
      <c r="E55" s="105" t="n">
        <v>-10.4464626261687</v>
      </c>
      <c r="F55" s="104" t="n">
        <v>15830683</v>
      </c>
      <c r="G55" s="104" t="n">
        <v>1264573</v>
      </c>
      <c r="H55" s="104" t="n">
        <v>1264573</v>
      </c>
      <c r="I55" s="104" t="n">
        <v>6</v>
      </c>
      <c r="J55" s="104" t="n">
        <v>9</v>
      </c>
      <c r="K55" s="104" t="n">
        <v>33</v>
      </c>
    </row>
    <row r="56" ht="15" customHeight="1" s="84">
      <c r="A56" s="7" t="inlineStr">
        <is>
          <t>2025-07</t>
        </is>
      </c>
      <c r="B56" s="104" t="n">
        <v>7141431</v>
      </c>
      <c r="C56" s="104" t="n">
        <v>3729493</v>
      </c>
      <c r="D56" s="104" t="n">
        <v>3411938</v>
      </c>
      <c r="E56" s="105" t="n">
        <v>0.477766710901499</v>
      </c>
      <c r="F56" s="104" t="n">
        <v>12082116</v>
      </c>
      <c r="G56" s="104" t="n">
        <v>1248400</v>
      </c>
      <c r="H56" s="104" t="n">
        <v>1248400</v>
      </c>
      <c r="I56" s="104" t="n">
        <v>0</v>
      </c>
      <c r="J56" s="104" t="n">
        <v>17</v>
      </c>
      <c r="K56" s="104" t="n">
        <v>35</v>
      </c>
    </row>
    <row r="57" ht="15" customHeight="1" s="84">
      <c r="A57" s="7" t="inlineStr">
        <is>
          <t>2025-08</t>
        </is>
      </c>
      <c r="B57" s="104" t="n">
        <v>1690591</v>
      </c>
      <c r="C57" s="104" t="n">
        <v>3417801</v>
      </c>
      <c r="D57" s="104" t="n">
        <v>-1727210</v>
      </c>
      <c r="E57" s="105" t="n">
        <v>-1.0216604725803</v>
      </c>
      <c r="F57" s="104" t="n">
        <v>11634446</v>
      </c>
      <c r="G57" s="104" t="n">
        <v>1554301</v>
      </c>
      <c r="H57" s="104" t="n">
        <v>329688</v>
      </c>
      <c r="I57" s="104" t="n">
        <v>4</v>
      </c>
      <c r="J57" s="104" t="n">
        <v>12</v>
      </c>
      <c r="K57" s="104" t="n">
        <v>35</v>
      </c>
    </row>
    <row r="58" ht="15" customHeight="1" s="84">
      <c r="A58" s="7" t="inlineStr">
        <is>
          <t>2025-09</t>
        </is>
      </c>
      <c r="B58" s="104" t="n">
        <v>332854</v>
      </c>
      <c r="C58" s="104" t="n">
        <v>2691279</v>
      </c>
      <c r="D58" s="104" t="n">
        <v>-2358425</v>
      </c>
      <c r="E58" s="105" t="n">
        <v>-7.08546389708401</v>
      </c>
      <c r="F58" s="104" t="n">
        <v>9276021</v>
      </c>
      <c r="G58" s="104" t="n">
        <v>1753082</v>
      </c>
      <c r="H58" s="104" t="n">
        <v>0</v>
      </c>
      <c r="I58" s="104" t="n">
        <v>4</v>
      </c>
      <c r="J58" s="104" t="n">
        <v>11</v>
      </c>
      <c r="K58" s="104" t="n">
        <v>38</v>
      </c>
    </row>
    <row r="59" ht="15" customHeight="1" s="84">
      <c r="A59" s="7" t="inlineStr">
        <is>
          <t>2025-10</t>
        </is>
      </c>
      <c r="B59" s="104" t="n">
        <v>2480444</v>
      </c>
      <c r="C59" s="104" t="n">
        <v>2482386</v>
      </c>
      <c r="D59" s="104" t="n">
        <v>-1942</v>
      </c>
      <c r="E59" s="105" t="n">
        <v>-0.000782924347415221</v>
      </c>
      <c r="F59" s="104" t="n">
        <v>9274079</v>
      </c>
      <c r="G59" s="104" t="n">
        <v>1607751</v>
      </c>
      <c r="H59" s="104" t="n">
        <v>0</v>
      </c>
      <c r="I59" s="104" t="n">
        <v>2</v>
      </c>
      <c r="J59" s="104" t="n">
        <v>8</v>
      </c>
      <c r="K59" s="104" t="n">
        <v>43</v>
      </c>
    </row>
    <row r="60" ht="15" customHeight="1" s="84">
      <c r="A60" s="7" t="inlineStr">
        <is>
          <t>2025-11</t>
        </is>
      </c>
      <c r="B60" s="104" t="n">
        <v>1699258</v>
      </c>
      <c r="C60" s="104" t="n">
        <v>2257073</v>
      </c>
      <c r="D60" s="104" t="n">
        <v>-557815</v>
      </c>
      <c r="E60" s="105" t="n">
        <v>-0.328269750679414</v>
      </c>
      <c r="F60" s="104" t="n">
        <v>8716264</v>
      </c>
      <c r="G60" s="104" t="n">
        <v>2011422</v>
      </c>
      <c r="H60" s="104" t="n">
        <v>0</v>
      </c>
      <c r="I60" s="104" t="n">
        <v>6</v>
      </c>
      <c r="J60" s="104" t="n">
        <v>13</v>
      </c>
      <c r="K60" s="104" t="n">
        <v>41</v>
      </c>
    </row>
    <row r="61" ht="15" customHeight="1" s="84">
      <c r="A61" s="7" t="inlineStr">
        <is>
          <t>2025-12</t>
        </is>
      </c>
      <c r="B61" s="104" t="n">
        <v>1545501</v>
      </c>
      <c r="C61" s="104" t="n">
        <v>2340979</v>
      </c>
      <c r="D61" s="104" t="n">
        <v>-795478</v>
      </c>
      <c r="E61" s="105" t="n">
        <v>-0.514705587379109</v>
      </c>
      <c r="F61" s="104" t="n">
        <v>7920786</v>
      </c>
      <c r="G61" s="104" t="n">
        <v>1613720</v>
      </c>
      <c r="H61" s="104" t="n">
        <v>0</v>
      </c>
      <c r="I61" s="104" t="n">
        <v>4</v>
      </c>
      <c r="J61" s="104" t="n">
        <v>13</v>
      </c>
      <c r="K61" s="104" t="n">
        <v>38</v>
      </c>
    </row>
    <row r="62" ht="15" customHeight="1" s="84">
      <c r="A62" s="7" t="inlineStr">
        <is>
          <t>2026-01</t>
        </is>
      </c>
      <c r="B62" s="104" t="n">
        <v>2916494</v>
      </c>
      <c r="C62" s="104" t="n">
        <v>2080076</v>
      </c>
      <c r="D62" s="104" t="n">
        <v>836418</v>
      </c>
      <c r="E62" s="105" t="n">
        <v>0.286788863615012</v>
      </c>
      <c r="F62" s="104" t="n">
        <v>8907204</v>
      </c>
      <c r="G62" s="104" t="n">
        <v>1717731</v>
      </c>
      <c r="H62" s="104" t="n">
        <v>0</v>
      </c>
      <c r="I62" s="104" t="n">
        <v>2</v>
      </c>
      <c r="J62" s="104" t="n">
        <v>9</v>
      </c>
      <c r="K62" s="104" t="n">
        <v>36</v>
      </c>
    </row>
    <row r="63" ht="15" customHeight="1" s="84">
      <c r="A63" s="7" t="inlineStr">
        <is>
          <t>2026-02</t>
        </is>
      </c>
      <c r="B63" s="104" t="n">
        <v>1298251</v>
      </c>
      <c r="C63" s="104" t="n">
        <v>2159812</v>
      </c>
      <c r="D63" s="104" t="n">
        <v>-861561</v>
      </c>
      <c r="E63" s="105" t="n">
        <v>-0.663632071148029</v>
      </c>
      <c r="F63" s="104" t="n">
        <v>8045643</v>
      </c>
      <c r="G63" s="104" t="n">
        <v>1674827</v>
      </c>
      <c r="H63" s="104" t="n">
        <v>0</v>
      </c>
      <c r="I63" s="104" t="n">
        <v>3</v>
      </c>
      <c r="J63" s="104" t="n">
        <v>9</v>
      </c>
      <c r="K63" s="104" t="n">
        <v>37</v>
      </c>
    </row>
    <row r="64" ht="15" customHeight="1" s="84">
      <c r="A64" s="7" t="inlineStr">
        <is>
          <t>2026-03</t>
        </is>
      </c>
      <c r="B64" s="104" t="n">
        <v>1353261</v>
      </c>
      <c r="C64" s="104" t="n">
        <v>1676031</v>
      </c>
      <c r="D64" s="104" t="n">
        <v>-322770</v>
      </c>
      <c r="E64" s="105" t="n">
        <v>-0.238512748095157</v>
      </c>
      <c r="F64" s="104" t="n">
        <v>7722873</v>
      </c>
      <c r="G64" s="104" t="n">
        <v>1684776</v>
      </c>
      <c r="H64" s="104" t="n">
        <v>0</v>
      </c>
      <c r="I64" s="104" t="n">
        <v>3</v>
      </c>
      <c r="J64" s="104" t="n">
        <v>12</v>
      </c>
      <c r="K64" s="104" t="n">
        <v>37</v>
      </c>
    </row>
    <row r="65" ht="15" customHeight="1" s="84">
      <c r="A65" s="7" t="inlineStr">
        <is>
          <t>2026-04</t>
        </is>
      </c>
      <c r="B65" s="104" t="n">
        <v>5499534</v>
      </c>
      <c r="C65" s="104" t="n">
        <v>2703526</v>
      </c>
      <c r="D65" s="104" t="n">
        <v>2796008</v>
      </c>
      <c r="E65" s="105" t="n">
        <v>0.508408166946509</v>
      </c>
      <c r="F65" s="104" t="n">
        <v>11623750</v>
      </c>
      <c r="G65" s="104" t="n">
        <v>1865135</v>
      </c>
      <c r="H65" s="104" t="n">
        <v>0</v>
      </c>
      <c r="I65" s="104" t="n">
        <v>4</v>
      </c>
      <c r="J65" s="104" t="n">
        <v>11</v>
      </c>
      <c r="K65" s="104" t="n">
        <v>38</v>
      </c>
    </row>
    <row r="66">
      <c r="A66" s="10" t="inlineStr">
        <is>
          <t>全期合計</t>
        </is>
      </c>
      <c r="B66" s="106" t="n">
        <v>90252406</v>
      </c>
      <c r="C66" s="106" t="n">
        <v>91292894</v>
      </c>
      <c r="D66" s="106" t="n">
        <v>-1040488</v>
      </c>
      <c r="E66" s="107" t="n">
        <v>-0.0115286455631997</v>
      </c>
      <c r="F66" s="106" t="n"/>
      <c r="G66" s="106" t="n"/>
      <c r="H66" s="106" t="n"/>
      <c r="I66" s="106" t="n"/>
      <c r="J66" s="106" t="n"/>
      <c r="K66" s="106" t="n"/>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N65"/>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7.83203125" defaultRowHeight="17"/>
  <cols>
    <col width="11" customWidth="1" style="84" min="1" max="1"/>
    <col width="14.5" customWidth="1" style="84" min="2" max="14"/>
  </cols>
  <sheetData>
    <row r="1" ht="18" customHeight="1" s="84">
      <c r="A1" s="6" t="inlineStr">
        <is>
          <t>月份</t>
        </is>
      </c>
      <c r="B1" s="6" t="inlineStr">
        <is>
          <t>管理服務費</t>
        </is>
      </c>
      <c r="C1" s="6" t="inlineStr">
        <is>
          <t>保全服務費</t>
        </is>
      </c>
      <c r="D1" s="6" t="inlineStr">
        <is>
          <t>清潔服務費</t>
        </is>
      </c>
      <c r="E1" s="6" t="inlineStr">
        <is>
          <t>電梯保養與修繕</t>
        </is>
      </c>
      <c r="F1" s="6" t="inlineStr">
        <is>
          <t>機電/消防/弱電/AED</t>
        </is>
      </c>
      <c r="G1" s="6" t="inlineStr">
        <is>
          <t>公共水電瓦斯</t>
        </is>
      </c>
      <c r="H1" s="6" t="inlineStr">
        <is>
          <t>電話/網路費</t>
        </is>
      </c>
      <c r="I1" s="6" t="inlineStr">
        <is>
          <t>垃圾廢棄物/園藝</t>
        </is>
      </c>
      <c r="J1" s="6" t="inlineStr">
        <is>
          <t>工程維修/購置</t>
        </is>
      </c>
      <c r="K1" s="6" t="inlineStr">
        <is>
          <t>行政/會議/律師</t>
        </is>
      </c>
      <c r="L1" s="6" t="inlineStr">
        <is>
          <t>內部轉帳</t>
        </is>
      </c>
      <c r="M1" s="6" t="inlineStr">
        <is>
          <t>其他支出</t>
        </is>
      </c>
      <c r="N1" s="6" t="inlineStr">
        <is>
          <t>合計</t>
        </is>
      </c>
    </row>
    <row r="2" ht="15" customHeight="1" s="84">
      <c r="A2" s="7" t="inlineStr">
        <is>
          <t>2021-01</t>
        </is>
      </c>
      <c r="B2" s="104" t="n"/>
      <c r="C2" s="104" t="n"/>
      <c r="D2" s="104" t="n">
        <v>199550</v>
      </c>
      <c r="E2" s="104" t="n">
        <v>101050</v>
      </c>
      <c r="F2" s="104" t="n">
        <v>48950</v>
      </c>
      <c r="G2" s="104" t="n">
        <v>87413</v>
      </c>
      <c r="H2" s="104" t="n">
        <v>4978</v>
      </c>
      <c r="I2" s="104" t="n">
        <v>95705</v>
      </c>
      <c r="J2" s="104" t="n"/>
      <c r="K2" s="104" t="n">
        <v>46000</v>
      </c>
      <c r="L2" s="104" t="n">
        <v>134077</v>
      </c>
      <c r="M2" s="104" t="n">
        <v>507170</v>
      </c>
      <c r="N2" s="104" t="n">
        <v>1224893</v>
      </c>
    </row>
    <row r="3" ht="15" customHeight="1" s="84">
      <c r="A3" s="7" t="inlineStr">
        <is>
          <t>2021-02</t>
        </is>
      </c>
      <c r="B3" s="104" t="n"/>
      <c r="C3" s="104" t="n"/>
      <c r="D3" s="104" t="n">
        <v>209900</v>
      </c>
      <c r="E3" s="104" t="n">
        <v>100000</v>
      </c>
      <c r="F3" s="104" t="n">
        <v>741328</v>
      </c>
      <c r="G3" s="104" t="n"/>
      <c r="H3" s="104" t="n"/>
      <c r="I3" s="104" t="n">
        <v>52990</v>
      </c>
      <c r="J3" s="104" t="n"/>
      <c r="K3" s="104" t="n">
        <v>8000</v>
      </c>
      <c r="L3" s="104" t="n">
        <v>4541</v>
      </c>
      <c r="M3" s="104" t="n">
        <v>374920</v>
      </c>
      <c r="N3" s="104" t="n">
        <v>1491679</v>
      </c>
    </row>
    <row r="4" ht="15" customHeight="1" s="84">
      <c r="A4" s="7" t="inlineStr">
        <is>
          <t>2021-03</t>
        </is>
      </c>
      <c r="B4" s="104" t="n"/>
      <c r="C4" s="104" t="n"/>
      <c r="D4" s="104" t="n">
        <v>198000</v>
      </c>
      <c r="E4" s="104" t="n">
        <v>149770</v>
      </c>
      <c r="F4" s="104" t="n">
        <v>95276</v>
      </c>
      <c r="G4" s="104" t="n">
        <v>101777</v>
      </c>
      <c r="H4" s="104" t="n">
        <v>10400</v>
      </c>
      <c r="I4" s="104" t="n">
        <v>52990</v>
      </c>
      <c r="J4" s="104" t="n">
        <v>52650</v>
      </c>
      <c r="K4" s="104" t="n">
        <v>36512</v>
      </c>
      <c r="L4" s="104" t="n">
        <v>66434</v>
      </c>
      <c r="M4" s="104" t="n">
        <v>514065</v>
      </c>
      <c r="N4" s="104" t="n">
        <v>1277874</v>
      </c>
    </row>
    <row r="5" ht="15" customHeight="1" s="84">
      <c r="A5" s="7" t="inlineStr">
        <is>
          <t>2021-04</t>
        </is>
      </c>
      <c r="B5" s="104" t="n"/>
      <c r="C5" s="104" t="n"/>
      <c r="D5" s="104" t="n">
        <v>200730</v>
      </c>
      <c r="E5" s="104" t="n">
        <v>100000</v>
      </c>
      <c r="F5" s="104" t="n">
        <v>54132</v>
      </c>
      <c r="G5" s="104" t="n">
        <v>89691</v>
      </c>
      <c r="H5" s="104" t="n">
        <v>5221</v>
      </c>
      <c r="I5" s="104" t="n">
        <v>93700</v>
      </c>
      <c r="J5" s="104" t="n"/>
      <c r="K5" s="104" t="n"/>
      <c r="L5" s="104" t="n">
        <v>63606</v>
      </c>
      <c r="M5" s="104" t="n">
        <v>377300</v>
      </c>
      <c r="N5" s="104" t="n">
        <v>984380</v>
      </c>
    </row>
    <row r="6" ht="15" customHeight="1" s="84">
      <c r="A6" s="7" t="inlineStr">
        <is>
          <t>2021-05</t>
        </is>
      </c>
      <c r="B6" s="104" t="n"/>
      <c r="C6" s="104" t="n"/>
      <c r="D6" s="104" t="n">
        <v>199220</v>
      </c>
      <c r="E6" s="104" t="n">
        <v>146305</v>
      </c>
      <c r="F6" s="104" t="n">
        <v>70160</v>
      </c>
      <c r="G6" s="104" t="n">
        <v>84824</v>
      </c>
      <c r="H6" s="104" t="n">
        <v>4858</v>
      </c>
      <c r="I6" s="104" t="n">
        <v>58000</v>
      </c>
      <c r="J6" s="104" t="n">
        <v>83100</v>
      </c>
      <c r="K6" s="104" t="n"/>
      <c r="L6" s="104" t="n">
        <v>71296</v>
      </c>
      <c r="M6" s="104" t="n">
        <v>406850</v>
      </c>
      <c r="N6" s="104" t="n">
        <v>1124613</v>
      </c>
    </row>
    <row r="7" ht="15" customHeight="1" s="84">
      <c r="A7" s="7" t="inlineStr">
        <is>
          <t>2021-06</t>
        </is>
      </c>
      <c r="B7" s="104" t="n"/>
      <c r="C7" s="104" t="n"/>
      <c r="D7" s="104" t="n">
        <v>210880</v>
      </c>
      <c r="E7" s="104" t="n">
        <v>195500</v>
      </c>
      <c r="F7" s="104" t="n">
        <v>117350</v>
      </c>
      <c r="G7" s="104" t="n">
        <v>92524</v>
      </c>
      <c r="H7" s="104" t="n">
        <v>5275</v>
      </c>
      <c r="I7" s="104" t="n">
        <v>175280</v>
      </c>
      <c r="J7" s="104" t="n">
        <v>49500</v>
      </c>
      <c r="K7" s="104" t="n"/>
      <c r="L7" s="104" t="n">
        <v>75466</v>
      </c>
      <c r="M7" s="104" t="n">
        <v>368100</v>
      </c>
      <c r="N7" s="104" t="n">
        <v>1289875</v>
      </c>
    </row>
    <row r="8" ht="15" customHeight="1" s="84">
      <c r="A8" s="7" t="inlineStr">
        <is>
          <t>2021-07</t>
        </is>
      </c>
      <c r="B8" s="104" t="n"/>
      <c r="C8" s="104" t="n"/>
      <c r="D8" s="104" t="n">
        <v>202990</v>
      </c>
      <c r="E8" s="104" t="n">
        <v>115750</v>
      </c>
      <c r="F8" s="104" t="n">
        <v>346855</v>
      </c>
      <c r="G8" s="104" t="n">
        <v>89266</v>
      </c>
      <c r="H8" s="104" t="n">
        <v>4897</v>
      </c>
      <c r="I8" s="104" t="n">
        <v>66500</v>
      </c>
      <c r="J8" s="104" t="n"/>
      <c r="K8" s="104" t="n">
        <v>25000</v>
      </c>
      <c r="L8" s="104" t="n">
        <v>66615</v>
      </c>
      <c r="M8" s="104" t="n">
        <v>406335</v>
      </c>
      <c r="N8" s="104" t="n">
        <v>1324208</v>
      </c>
    </row>
    <row r="9" ht="15" customHeight="1" s="84">
      <c r="A9" s="7" t="inlineStr">
        <is>
          <t>2021-08</t>
        </is>
      </c>
      <c r="B9" s="104" t="n"/>
      <c r="C9" s="104" t="n"/>
      <c r="D9" s="104" t="n">
        <v>201280</v>
      </c>
      <c r="E9" s="104" t="n">
        <v>104620</v>
      </c>
      <c r="F9" s="104" t="n">
        <v>62550</v>
      </c>
      <c r="G9" s="104" t="n">
        <v>103421</v>
      </c>
      <c r="H9" s="104" t="n">
        <v>5130</v>
      </c>
      <c r="I9" s="104" t="n">
        <v>73700</v>
      </c>
      <c r="J9" s="104" t="n"/>
      <c r="K9" s="104" t="n"/>
      <c r="L9" s="104" t="n">
        <v>63596</v>
      </c>
      <c r="M9" s="104" t="n">
        <v>370900</v>
      </c>
      <c r="N9" s="104" t="n">
        <v>985197</v>
      </c>
    </row>
    <row r="10" ht="15" customHeight="1" s="84">
      <c r="A10" s="7" t="inlineStr">
        <is>
          <t>2021-09</t>
        </is>
      </c>
      <c r="B10" s="104" t="n"/>
      <c r="C10" s="104" t="n"/>
      <c r="D10" s="104" t="n">
        <v>201570</v>
      </c>
      <c r="E10" s="104" t="n">
        <v>105800</v>
      </c>
      <c r="F10" s="104" t="n">
        <v>97750</v>
      </c>
      <c r="G10" s="104" t="n">
        <v>80066</v>
      </c>
      <c r="H10" s="104" t="n">
        <v>5314</v>
      </c>
      <c r="I10" s="104" t="n">
        <v>64840</v>
      </c>
      <c r="J10" s="104" t="n">
        <v>685000</v>
      </c>
      <c r="K10" s="104" t="n"/>
      <c r="L10" s="104" t="n">
        <v>63877</v>
      </c>
      <c r="M10" s="104" t="n">
        <v>369570</v>
      </c>
      <c r="N10" s="104" t="n">
        <v>1673787</v>
      </c>
    </row>
    <row r="11" ht="15" customHeight="1" s="84">
      <c r="A11" s="7" t="inlineStr">
        <is>
          <t>2021-10</t>
        </is>
      </c>
      <c r="B11" s="104" t="n"/>
      <c r="C11" s="104" t="n"/>
      <c r="D11" s="104" t="n">
        <v>206663</v>
      </c>
      <c r="E11" s="104" t="n">
        <v>100000</v>
      </c>
      <c r="F11" s="104" t="n">
        <v>143490</v>
      </c>
      <c r="G11" s="104" t="n">
        <v>105471</v>
      </c>
      <c r="H11" s="104" t="n">
        <v>5161</v>
      </c>
      <c r="I11" s="104" t="n">
        <v>58000</v>
      </c>
      <c r="J11" s="104" t="n">
        <v>31500</v>
      </c>
      <c r="K11" s="104" t="n"/>
      <c r="L11" s="104" t="n">
        <v>64588</v>
      </c>
      <c r="M11" s="104" t="n">
        <v>404310</v>
      </c>
      <c r="N11" s="104" t="n">
        <v>1119183</v>
      </c>
    </row>
    <row r="12" ht="15" customHeight="1" s="84">
      <c r="A12" s="7" t="inlineStr">
        <is>
          <t>2021-11</t>
        </is>
      </c>
      <c r="B12" s="104" t="n"/>
      <c r="C12" s="104" t="n"/>
      <c r="D12" s="104" t="n">
        <v>200678</v>
      </c>
      <c r="E12" s="104" t="n">
        <v>117000</v>
      </c>
      <c r="F12" s="104" t="n">
        <v>595100</v>
      </c>
      <c r="G12" s="104" t="n">
        <v>104138</v>
      </c>
      <c r="H12" s="104" t="n">
        <v>5226</v>
      </c>
      <c r="I12" s="104" t="n">
        <v>79780</v>
      </c>
      <c r="J12" s="104" t="n">
        <v>4934</v>
      </c>
      <c r="K12" s="104" t="n"/>
      <c r="L12" s="104" t="n">
        <v>63453</v>
      </c>
      <c r="M12" s="104" t="n">
        <v>449400</v>
      </c>
      <c r="N12" s="104" t="n">
        <v>1619709</v>
      </c>
    </row>
    <row r="13" ht="15" customHeight="1" s="84">
      <c r="A13" s="7" t="inlineStr">
        <is>
          <t>2021-12</t>
        </is>
      </c>
      <c r="B13" s="104" t="n"/>
      <c r="C13" s="104" t="n"/>
      <c r="D13" s="104" t="n">
        <v>202208</v>
      </c>
      <c r="E13" s="104" t="n">
        <v>123560</v>
      </c>
      <c r="F13" s="104" t="n">
        <v>165668</v>
      </c>
      <c r="G13" s="104" t="n">
        <v>79194</v>
      </c>
      <c r="H13" s="104" t="n">
        <v>4870</v>
      </c>
      <c r="I13" s="104" t="n">
        <v>58000</v>
      </c>
      <c r="J13" s="104" t="n">
        <v>35800</v>
      </c>
      <c r="K13" s="104" t="n"/>
      <c r="L13" s="104" t="n">
        <v>65696</v>
      </c>
      <c r="M13" s="104" t="n">
        <v>379400</v>
      </c>
      <c r="N13" s="104" t="n">
        <v>1114396</v>
      </c>
    </row>
    <row r="14" ht="15" customHeight="1" s="84">
      <c r="A14" s="7" t="inlineStr">
        <is>
          <t>2022-01</t>
        </is>
      </c>
      <c r="B14" s="104" t="n"/>
      <c r="C14" s="104" t="n"/>
      <c r="D14" s="104" t="n">
        <v>203069</v>
      </c>
      <c r="E14" s="104" t="n">
        <v>100000</v>
      </c>
      <c r="F14" s="104" t="n">
        <v>256220</v>
      </c>
      <c r="G14" s="104" t="n">
        <v>82554</v>
      </c>
      <c r="H14" s="104" t="n">
        <v>5037</v>
      </c>
      <c r="I14" s="104" t="n">
        <v>81200</v>
      </c>
      <c r="J14" s="104" t="n">
        <v>102010</v>
      </c>
      <c r="K14" s="104" t="n"/>
      <c r="L14" s="104" t="n">
        <v>63356</v>
      </c>
      <c r="M14" s="104" t="n">
        <v>387400</v>
      </c>
      <c r="N14" s="104" t="n">
        <v>1280846</v>
      </c>
    </row>
    <row r="15" ht="15" customHeight="1" s="84">
      <c r="A15" s="7" t="inlineStr">
        <is>
          <t>2022-02</t>
        </is>
      </c>
      <c r="B15" s="104" t="n"/>
      <c r="C15" s="104" t="n"/>
      <c r="D15" s="104" t="n">
        <v>207374</v>
      </c>
      <c r="E15" s="104" t="n">
        <v>134800</v>
      </c>
      <c r="F15" s="104" t="n">
        <v>99010</v>
      </c>
      <c r="G15" s="104" t="n">
        <v>99540</v>
      </c>
      <c r="H15" s="104" t="n"/>
      <c r="I15" s="104" t="n">
        <v>67300</v>
      </c>
      <c r="J15" s="104" t="n">
        <v>31500</v>
      </c>
      <c r="K15" s="104" t="n"/>
      <c r="L15" s="104" t="n">
        <v>73714</v>
      </c>
      <c r="M15" s="104" t="n">
        <v>384900</v>
      </c>
      <c r="N15" s="104" t="n">
        <v>1098138</v>
      </c>
    </row>
    <row r="16" ht="15" customHeight="1" s="84">
      <c r="A16" s="7" t="inlineStr">
        <is>
          <t>2022-03</t>
        </is>
      </c>
      <c r="B16" s="104" t="n"/>
      <c r="C16" s="104" t="n"/>
      <c r="D16" s="104" t="n">
        <v>201945</v>
      </c>
      <c r="E16" s="104" t="n">
        <v>100000</v>
      </c>
      <c r="F16" s="104" t="n">
        <v>113300</v>
      </c>
      <c r="G16" s="104" t="n">
        <v>97724</v>
      </c>
      <c r="H16" s="104" t="n">
        <v>9748</v>
      </c>
      <c r="I16" s="104" t="n">
        <v>81265</v>
      </c>
      <c r="J16" s="104" t="n">
        <v>22500</v>
      </c>
      <c r="K16" s="104" t="n">
        <v>52000</v>
      </c>
      <c r="L16" s="104" t="n">
        <v>74889</v>
      </c>
      <c r="M16" s="104" t="n">
        <v>479400</v>
      </c>
      <c r="N16" s="104" t="n">
        <v>1232771</v>
      </c>
    </row>
    <row r="17" ht="15" customHeight="1" s="84">
      <c r="A17" s="7" t="inlineStr">
        <is>
          <t>2022-04</t>
        </is>
      </c>
      <c r="B17" s="104" t="n"/>
      <c r="C17" s="104" t="n"/>
      <c r="D17" s="104" t="n">
        <v>203174</v>
      </c>
      <c r="E17" s="104" t="n">
        <v>136560</v>
      </c>
      <c r="F17" s="104" t="n">
        <v>165750</v>
      </c>
      <c r="G17" s="104" t="n">
        <v>90017</v>
      </c>
      <c r="H17" s="104" t="n">
        <v>5118</v>
      </c>
      <c r="I17" s="104" t="n">
        <v>62400</v>
      </c>
      <c r="J17" s="104" t="n"/>
      <c r="K17" s="104" t="n"/>
      <c r="L17" s="104" t="n">
        <v>62822</v>
      </c>
      <c r="M17" s="104" t="n">
        <v>398907</v>
      </c>
      <c r="N17" s="104" t="n">
        <v>1124748</v>
      </c>
    </row>
    <row r="18" ht="15" customHeight="1" s="84">
      <c r="A18" s="7" t="inlineStr">
        <is>
          <t>2022-05</t>
        </is>
      </c>
      <c r="B18" s="104" t="n"/>
      <c r="C18" s="104" t="n"/>
      <c r="D18" s="104" t="n">
        <v>201000</v>
      </c>
      <c r="E18" s="104" t="n">
        <v>142000</v>
      </c>
      <c r="F18" s="104" t="n">
        <v>91070</v>
      </c>
      <c r="G18" s="104" t="n">
        <v>89633</v>
      </c>
      <c r="H18" s="104" t="n">
        <v>5008</v>
      </c>
      <c r="I18" s="104" t="n">
        <v>84075</v>
      </c>
      <c r="J18" s="104" t="n">
        <v>27150</v>
      </c>
      <c r="K18" s="104" t="n"/>
      <c r="L18" s="104" t="n">
        <v>61970</v>
      </c>
      <c r="M18" s="104" t="n">
        <v>379400</v>
      </c>
      <c r="N18" s="104" t="n">
        <v>1081306</v>
      </c>
    </row>
    <row r="19" ht="15" customHeight="1" s="84">
      <c r="A19" s="7" t="inlineStr">
        <is>
          <t>2022-06</t>
        </is>
      </c>
      <c r="B19" s="104" t="n"/>
      <c r="C19" s="104" t="n"/>
      <c r="D19" s="104" t="n">
        <v>203930</v>
      </c>
      <c r="E19" s="104" t="n">
        <v>100000</v>
      </c>
      <c r="F19" s="104" t="n">
        <v>48950</v>
      </c>
      <c r="G19" s="104" t="n">
        <v>92053</v>
      </c>
      <c r="H19" s="104" t="n">
        <v>4864</v>
      </c>
      <c r="I19" s="104" t="n">
        <v>67800</v>
      </c>
      <c r="J19" s="104" t="n">
        <v>22800</v>
      </c>
      <c r="K19" s="104" t="n"/>
      <c r="L19" s="104" t="n">
        <v>69484</v>
      </c>
      <c r="M19" s="104" t="n">
        <v>396533</v>
      </c>
      <c r="N19" s="104" t="n">
        <v>1006414</v>
      </c>
    </row>
    <row r="20" ht="15" customHeight="1" s="84">
      <c r="A20" s="7" t="inlineStr">
        <is>
          <t>2022-07</t>
        </is>
      </c>
      <c r="B20" s="104" t="n"/>
      <c r="C20" s="104" t="n"/>
      <c r="D20" s="104" t="n">
        <v>201000</v>
      </c>
      <c r="E20" s="104" t="n">
        <v>100000</v>
      </c>
      <c r="F20" s="104" t="n">
        <v>48950</v>
      </c>
      <c r="G20" s="104" t="n">
        <v>101869</v>
      </c>
      <c r="H20" s="104" t="n">
        <v>4903</v>
      </c>
      <c r="I20" s="104" t="n">
        <v>66600</v>
      </c>
      <c r="J20" s="104" t="n">
        <v>101950</v>
      </c>
      <c r="K20" s="104" t="n"/>
      <c r="L20" s="104" t="n">
        <v>70395</v>
      </c>
      <c r="M20" s="104" t="n">
        <v>383900</v>
      </c>
      <c r="N20" s="104" t="n">
        <v>1079567</v>
      </c>
    </row>
    <row r="21" ht="15" customHeight="1" s="84">
      <c r="A21" s="7" t="inlineStr">
        <is>
          <t>2022-08</t>
        </is>
      </c>
      <c r="B21" s="104" t="n"/>
      <c r="C21" s="104" t="n"/>
      <c r="D21" s="104" t="n">
        <v>204885</v>
      </c>
      <c r="E21" s="104" t="n">
        <v>111235</v>
      </c>
      <c r="F21" s="104" t="n">
        <v>48950</v>
      </c>
      <c r="G21" s="104" t="n">
        <v>113741</v>
      </c>
      <c r="H21" s="104" t="n">
        <v>4851</v>
      </c>
      <c r="I21" s="104" t="n">
        <v>86625</v>
      </c>
      <c r="J21" s="104" t="n">
        <v>29900</v>
      </c>
      <c r="K21" s="104" t="n">
        <v>25000</v>
      </c>
      <c r="L21" s="104" t="n">
        <v>60740</v>
      </c>
      <c r="M21" s="104" t="n">
        <v>385827</v>
      </c>
      <c r="N21" s="104" t="n">
        <v>1071754</v>
      </c>
    </row>
    <row r="22" ht="15" customHeight="1" s="84">
      <c r="A22" s="7" t="inlineStr">
        <is>
          <t>2022-09</t>
        </is>
      </c>
      <c r="B22" s="104" t="n"/>
      <c r="C22" s="104" t="n"/>
      <c r="D22" s="104" t="n">
        <v>201000</v>
      </c>
      <c r="E22" s="104" t="n">
        <v>130765</v>
      </c>
      <c r="F22" s="104" t="n">
        <v>48950</v>
      </c>
      <c r="G22" s="104" t="n">
        <v>114022</v>
      </c>
      <c r="H22" s="104" t="n">
        <v>5149</v>
      </c>
      <c r="I22" s="104" t="n">
        <v>64800</v>
      </c>
      <c r="J22" s="104" t="n">
        <v>22660</v>
      </c>
      <c r="K22" s="104" t="n"/>
      <c r="L22" s="104" t="n">
        <v>69202</v>
      </c>
      <c r="M22" s="104" t="n">
        <v>390900</v>
      </c>
      <c r="N22" s="104" t="n">
        <v>1047448</v>
      </c>
    </row>
    <row r="23" ht="15" customHeight="1" s="84">
      <c r="A23" s="7" t="inlineStr">
        <is>
          <t>2022-10</t>
        </is>
      </c>
      <c r="B23" s="104" t="n"/>
      <c r="C23" s="104" t="n"/>
      <c r="D23" s="104" t="n">
        <v>201000</v>
      </c>
      <c r="E23" s="104" t="n">
        <v>115015</v>
      </c>
      <c r="F23" s="104" t="n">
        <v>96950</v>
      </c>
      <c r="G23" s="104" t="n">
        <v>154637</v>
      </c>
      <c r="H23" s="104" t="n">
        <v>4927</v>
      </c>
      <c r="I23" s="104" t="n">
        <v>220400</v>
      </c>
      <c r="J23" s="104" t="n">
        <v>107272</v>
      </c>
      <c r="K23" s="104" t="n"/>
      <c r="L23" s="104" t="n">
        <v>69917</v>
      </c>
      <c r="M23" s="104" t="n">
        <v>472650</v>
      </c>
      <c r="N23" s="104" t="n">
        <v>1442768</v>
      </c>
    </row>
    <row r="24" ht="15" customHeight="1" s="84">
      <c r="A24" s="7" t="inlineStr">
        <is>
          <t>2022-11</t>
        </is>
      </c>
      <c r="B24" s="104" t="n"/>
      <c r="C24" s="104" t="n"/>
      <c r="D24" s="104" t="n">
        <v>204266</v>
      </c>
      <c r="E24" s="104" t="n">
        <v>200525</v>
      </c>
      <c r="F24" s="104" t="n">
        <v>54515</v>
      </c>
      <c r="G24" s="104" t="n">
        <v>107881</v>
      </c>
      <c r="H24" s="104" t="n">
        <v>4905</v>
      </c>
      <c r="I24" s="104" t="n">
        <v>68400</v>
      </c>
      <c r="J24" s="104" t="n">
        <v>44857</v>
      </c>
      <c r="K24" s="104" t="n"/>
      <c r="L24" s="104" t="n">
        <v>61941</v>
      </c>
      <c r="M24" s="104" t="n">
        <v>389550</v>
      </c>
      <c r="N24" s="104" t="n">
        <v>1136840</v>
      </c>
    </row>
    <row r="25" ht="15" customHeight="1" s="84">
      <c r="A25" s="7" t="inlineStr">
        <is>
          <t>2022-12</t>
        </is>
      </c>
      <c r="B25" s="104" t="n"/>
      <c r="C25" s="104" t="n"/>
      <c r="D25" s="104" t="n">
        <v>220678</v>
      </c>
      <c r="E25" s="104" t="n">
        <v>114000</v>
      </c>
      <c r="F25" s="104" t="n">
        <v>48950</v>
      </c>
      <c r="G25" s="104" t="n">
        <v>118877</v>
      </c>
      <c r="H25" s="104" t="n">
        <v>5127</v>
      </c>
      <c r="I25" s="104" t="n">
        <v>37700</v>
      </c>
      <c r="J25" s="104" t="n">
        <v>27250</v>
      </c>
      <c r="K25" s="104" t="n"/>
      <c r="L25" s="104" t="n">
        <v>74049</v>
      </c>
      <c r="M25" s="104" t="n">
        <v>389550</v>
      </c>
      <c r="N25" s="104" t="n">
        <v>1036181</v>
      </c>
    </row>
    <row r="26" ht="15" customHeight="1" s="84">
      <c r="A26" s="7" t="inlineStr">
        <is>
          <t>2023-01</t>
        </is>
      </c>
      <c r="B26" s="104" t="n"/>
      <c r="C26" s="104" t="n"/>
      <c r="D26" s="104" t="n">
        <v>218000</v>
      </c>
      <c r="E26" s="104" t="n">
        <v>306600</v>
      </c>
      <c r="F26" s="104" t="n">
        <v>48950</v>
      </c>
      <c r="G26" s="104" t="n">
        <v>90116</v>
      </c>
      <c r="H26" s="104" t="n"/>
      <c r="I26" s="104" t="n">
        <v>95730</v>
      </c>
      <c r="J26" s="104" t="n">
        <v>84000</v>
      </c>
      <c r="K26" s="104" t="n"/>
      <c r="L26" s="104" t="n">
        <v>68710</v>
      </c>
      <c r="M26" s="104" t="n">
        <v>389550</v>
      </c>
      <c r="N26" s="104" t="n">
        <v>1301656</v>
      </c>
    </row>
    <row r="27" ht="15" customHeight="1" s="84">
      <c r="A27" s="7" t="inlineStr">
        <is>
          <t>2023-02</t>
        </is>
      </c>
      <c r="B27" s="104" t="n"/>
      <c r="C27" s="104" t="n"/>
      <c r="D27" s="104" t="n">
        <v>220174</v>
      </c>
      <c r="E27" s="104" t="n">
        <v>115225</v>
      </c>
      <c r="F27" s="104" t="n">
        <v>583470</v>
      </c>
      <c r="G27" s="104" t="n">
        <v>95142</v>
      </c>
      <c r="H27" s="104" t="n">
        <v>4696</v>
      </c>
      <c r="I27" s="104" t="n">
        <v>100000</v>
      </c>
      <c r="J27" s="104" t="n">
        <v>41460</v>
      </c>
      <c r="K27" s="104" t="n"/>
      <c r="L27" s="104" t="n">
        <v>62149</v>
      </c>
      <c r="M27" s="104" t="n">
        <v>444350</v>
      </c>
      <c r="N27" s="104" t="n">
        <v>1666666</v>
      </c>
    </row>
    <row r="28" ht="15" customHeight="1" s="84">
      <c r="A28" s="7" t="inlineStr">
        <is>
          <t>2023-03</t>
        </is>
      </c>
      <c r="B28" s="104" t="n"/>
      <c r="C28" s="104" t="n"/>
      <c r="D28" s="104" t="n">
        <v>218000</v>
      </c>
      <c r="E28" s="104" t="n">
        <v>108700</v>
      </c>
      <c r="F28" s="104" t="n">
        <v>48950</v>
      </c>
      <c r="G28" s="104" t="n">
        <v>90833</v>
      </c>
      <c r="H28" s="104" t="n">
        <v>8996</v>
      </c>
      <c r="I28" s="104" t="n">
        <v>79215</v>
      </c>
      <c r="J28" s="104" t="n">
        <v>84350</v>
      </c>
      <c r="K28" s="104" t="n">
        <v>47800</v>
      </c>
      <c r="L28" s="104" t="n">
        <v>67769</v>
      </c>
      <c r="M28" s="104" t="n">
        <v>437550</v>
      </c>
      <c r="N28" s="104" t="n">
        <v>1192163</v>
      </c>
    </row>
    <row r="29" ht="15" customHeight="1" s="84">
      <c r="A29" s="7" t="inlineStr">
        <is>
          <t>2023-04</t>
        </is>
      </c>
      <c r="B29" s="104" t="n"/>
      <c r="C29" s="104" t="n"/>
      <c r="D29" s="104" t="n">
        <v>218000</v>
      </c>
      <c r="E29" s="104" t="n">
        <v>128675</v>
      </c>
      <c r="F29" s="104" t="n">
        <v>52940</v>
      </c>
      <c r="G29" s="104" t="n">
        <v>87373</v>
      </c>
      <c r="H29" s="104" t="n">
        <v>4948</v>
      </c>
      <c r="I29" s="104" t="n">
        <v>127850</v>
      </c>
      <c r="J29" s="104" t="n">
        <v>22476</v>
      </c>
      <c r="K29" s="104" t="n"/>
      <c r="L29" s="104" t="n">
        <v>66523</v>
      </c>
      <c r="M29" s="104" t="n">
        <v>389550</v>
      </c>
      <c r="N29" s="104" t="n">
        <v>1098335</v>
      </c>
    </row>
    <row r="30" ht="15" customHeight="1" s="84">
      <c r="A30" s="7" t="inlineStr">
        <is>
          <t>2023-05</t>
        </is>
      </c>
      <c r="B30" s="104" t="n"/>
      <c r="C30" s="104" t="n"/>
      <c r="D30" s="104" t="n">
        <v>218000</v>
      </c>
      <c r="E30" s="104" t="n">
        <v>222560</v>
      </c>
      <c r="F30" s="104" t="n">
        <v>48950</v>
      </c>
      <c r="G30" s="104" t="n">
        <v>93029</v>
      </c>
      <c r="H30" s="104" t="n">
        <v>4558</v>
      </c>
      <c r="I30" s="104" t="n">
        <v>68800</v>
      </c>
      <c r="J30" s="104" t="n">
        <v>23595</v>
      </c>
      <c r="K30" s="104" t="n"/>
      <c r="L30" s="104" t="n">
        <v>60580</v>
      </c>
      <c r="M30" s="104" t="n">
        <v>391820</v>
      </c>
      <c r="N30" s="104" t="n">
        <v>1131892</v>
      </c>
    </row>
    <row r="31" ht="15" customHeight="1" s="84">
      <c r="A31" s="7" t="inlineStr">
        <is>
          <t>2023-06</t>
        </is>
      </c>
      <c r="B31" s="104" t="n"/>
      <c r="C31" s="104" t="n"/>
      <c r="D31" s="104" t="n">
        <v>221686</v>
      </c>
      <c r="E31" s="104" t="n">
        <v>106200</v>
      </c>
      <c r="F31" s="104" t="n">
        <v>132360</v>
      </c>
      <c r="G31" s="104" t="n">
        <v>90340</v>
      </c>
      <c r="H31" s="104" t="n">
        <v>4365</v>
      </c>
      <c r="I31" s="104" t="n">
        <v>70000</v>
      </c>
      <c r="J31" s="104" t="n">
        <v>5250</v>
      </c>
      <c r="K31" s="104" t="n"/>
      <c r="L31" s="104" t="n">
        <v>72178</v>
      </c>
      <c r="M31" s="104" t="n">
        <v>414350</v>
      </c>
      <c r="N31" s="104" t="n">
        <v>1116729</v>
      </c>
    </row>
    <row r="32" ht="15" customHeight="1" s="84">
      <c r="A32" s="7" t="inlineStr">
        <is>
          <t>2023-07</t>
        </is>
      </c>
      <c r="B32" s="104" t="n"/>
      <c r="C32" s="104" t="n"/>
      <c r="D32" s="104" t="n">
        <v>218998</v>
      </c>
      <c r="E32" s="104" t="n">
        <v>120400</v>
      </c>
      <c r="F32" s="104" t="n">
        <v>48950</v>
      </c>
      <c r="G32" s="104" t="n">
        <v>93568</v>
      </c>
      <c r="H32" s="104" t="n">
        <v>4417</v>
      </c>
      <c r="I32" s="104" t="n">
        <v>105985</v>
      </c>
      <c r="J32" s="104" t="n">
        <v>90240</v>
      </c>
      <c r="K32" s="104" t="n"/>
      <c r="L32" s="104" t="n">
        <v>63598</v>
      </c>
      <c r="M32" s="104" t="n">
        <v>406989</v>
      </c>
      <c r="N32" s="104" t="n">
        <v>1153145</v>
      </c>
    </row>
    <row r="33" ht="15" customHeight="1" s="84">
      <c r="A33" s="7" t="inlineStr">
        <is>
          <t>2023-08</t>
        </is>
      </c>
      <c r="B33" s="104" t="n"/>
      <c r="C33" s="104" t="n"/>
      <c r="D33" s="104" t="n">
        <v>218000</v>
      </c>
      <c r="E33" s="104" t="n">
        <v>104200</v>
      </c>
      <c r="F33" s="104" t="n">
        <v>48950</v>
      </c>
      <c r="G33" s="104" t="n">
        <v>121277</v>
      </c>
      <c r="H33" s="104" t="n">
        <v>4370</v>
      </c>
      <c r="I33" s="104" t="n">
        <v>67000</v>
      </c>
      <c r="J33" s="104" t="n">
        <v>86650</v>
      </c>
      <c r="K33" s="104" t="n">
        <v>25000</v>
      </c>
      <c r="L33" s="104" t="n">
        <v>67806</v>
      </c>
      <c r="M33" s="104" t="n">
        <v>533010</v>
      </c>
      <c r="N33" s="104" t="n">
        <v>1276263</v>
      </c>
    </row>
    <row r="34" ht="15" customHeight="1" s="84">
      <c r="A34" s="7" t="inlineStr">
        <is>
          <t>2023-09</t>
        </is>
      </c>
      <c r="B34" s="104" t="n"/>
      <c r="C34" s="104" t="n"/>
      <c r="D34" s="104" t="n">
        <v>220216</v>
      </c>
      <c r="E34" s="104" t="n">
        <v>136900</v>
      </c>
      <c r="F34" s="104" t="n">
        <v>56950</v>
      </c>
      <c r="G34" s="104" t="n">
        <v>105889</v>
      </c>
      <c r="H34" s="104" t="n">
        <v>4472</v>
      </c>
      <c r="I34" s="104" t="n">
        <v>76875</v>
      </c>
      <c r="J34" s="104" t="n">
        <v>14600</v>
      </c>
      <c r="K34" s="104" t="n"/>
      <c r="L34" s="104" t="n">
        <v>61962</v>
      </c>
      <c r="M34" s="104" t="n">
        <v>389550</v>
      </c>
      <c r="N34" s="104" t="n">
        <v>1067414</v>
      </c>
    </row>
    <row r="35" ht="15" customHeight="1" s="84">
      <c r="A35" s="7" t="inlineStr">
        <is>
          <t>2023-10</t>
        </is>
      </c>
      <c r="B35" s="104" t="n"/>
      <c r="C35" s="104" t="n"/>
      <c r="D35" s="104" t="n">
        <v>218000</v>
      </c>
      <c r="E35" s="104" t="n">
        <v>100000</v>
      </c>
      <c r="F35" s="104" t="n">
        <v>98840</v>
      </c>
      <c r="G35" s="104" t="n">
        <v>127753</v>
      </c>
      <c r="H35" s="104" t="n">
        <v>4314</v>
      </c>
      <c r="I35" s="104" t="n">
        <v>70200</v>
      </c>
      <c r="J35" s="104" t="n">
        <v>43600</v>
      </c>
      <c r="K35" s="104" t="n"/>
      <c r="L35" s="104" t="n">
        <v>64522</v>
      </c>
      <c r="M35" s="104" t="n">
        <v>433450</v>
      </c>
      <c r="N35" s="104" t="n">
        <v>1160679</v>
      </c>
    </row>
    <row r="36" ht="15" customHeight="1" s="84">
      <c r="A36" s="7" t="inlineStr">
        <is>
          <t>2023-11</t>
        </is>
      </c>
      <c r="B36" s="104" t="n"/>
      <c r="C36" s="104" t="n"/>
      <c r="D36" s="104" t="n">
        <v>222432</v>
      </c>
      <c r="E36" s="104" t="n">
        <v>138675</v>
      </c>
      <c r="F36" s="104" t="n">
        <v>48950</v>
      </c>
      <c r="G36" s="104" t="n">
        <v>97513</v>
      </c>
      <c r="H36" s="104" t="n">
        <v>4631</v>
      </c>
      <c r="I36" s="104" t="n">
        <v>37200</v>
      </c>
      <c r="J36" s="104" t="n">
        <v>114200</v>
      </c>
      <c r="K36" s="104" t="n"/>
      <c r="L36" s="104" t="n">
        <v>67185</v>
      </c>
      <c r="M36" s="104" t="n">
        <v>397550</v>
      </c>
      <c r="N36" s="104" t="n">
        <v>1128336</v>
      </c>
    </row>
    <row r="37" ht="15" customHeight="1" s="84">
      <c r="A37" s="7" t="inlineStr">
        <is>
          <t>2023-12</t>
        </is>
      </c>
      <c r="B37" s="104" t="n"/>
      <c r="C37" s="104" t="n"/>
      <c r="D37" s="104" t="n">
        <v>228000</v>
      </c>
      <c r="E37" s="104" t="n">
        <v>124600</v>
      </c>
      <c r="F37" s="104" t="n">
        <v>48950</v>
      </c>
      <c r="G37" s="104" t="n">
        <v>92454</v>
      </c>
      <c r="H37" s="104" t="n">
        <v>4474</v>
      </c>
      <c r="I37" s="104" t="n">
        <v>133485</v>
      </c>
      <c r="J37" s="104" t="n">
        <v>239100</v>
      </c>
      <c r="K37" s="104" t="n"/>
      <c r="L37" s="104" t="n">
        <v>155538</v>
      </c>
      <c r="M37" s="104" t="n">
        <v>443650</v>
      </c>
      <c r="N37" s="104" t="n">
        <v>1470251</v>
      </c>
    </row>
    <row r="38" ht="15" customHeight="1" s="84">
      <c r="A38" s="7" t="inlineStr">
        <is>
          <t>2024-01</t>
        </is>
      </c>
      <c r="B38" s="104" t="n"/>
      <c r="C38" s="104" t="n"/>
      <c r="D38" s="104" t="n">
        <v>230174</v>
      </c>
      <c r="E38" s="104" t="n">
        <v>104200</v>
      </c>
      <c r="F38" s="104" t="n">
        <v>122450</v>
      </c>
      <c r="G38" s="104" t="n">
        <v>100087</v>
      </c>
      <c r="H38" s="104" t="n">
        <v>4604</v>
      </c>
      <c r="I38" s="104" t="n">
        <v>62400</v>
      </c>
      <c r="J38" s="104" t="n">
        <v>73500</v>
      </c>
      <c r="K38" s="104" t="n"/>
      <c r="L38" s="104" t="n">
        <v>69974</v>
      </c>
      <c r="M38" s="104" t="n">
        <v>413350</v>
      </c>
      <c r="N38" s="104" t="n">
        <v>1180739</v>
      </c>
    </row>
    <row r="39" ht="15" customHeight="1" s="84">
      <c r="A39" s="7" t="inlineStr">
        <is>
          <t>2024-02</t>
        </is>
      </c>
      <c r="B39" s="104" t="n"/>
      <c r="C39" s="104" t="n"/>
      <c r="D39" s="104" t="n">
        <v>228000</v>
      </c>
      <c r="E39" s="104" t="n">
        <v>134175</v>
      </c>
      <c r="F39" s="104" t="n">
        <v>72260</v>
      </c>
      <c r="G39" s="104" t="n">
        <v>115564</v>
      </c>
      <c r="H39" s="104" t="n"/>
      <c r="I39" s="104" t="n">
        <v>91150</v>
      </c>
      <c r="J39" s="104" t="n">
        <v>55000</v>
      </c>
      <c r="K39" s="104" t="n"/>
      <c r="L39" s="104" t="n">
        <v>62623</v>
      </c>
      <c r="M39" s="104" t="n">
        <v>393550</v>
      </c>
      <c r="N39" s="104" t="n">
        <v>1152322</v>
      </c>
    </row>
    <row r="40" ht="15" customHeight="1" s="84">
      <c r="A40" s="7" t="inlineStr">
        <is>
          <t>2024-03</t>
        </is>
      </c>
      <c r="B40" s="104" t="n"/>
      <c r="C40" s="104" t="n"/>
      <c r="D40" s="104" t="n">
        <v>229260</v>
      </c>
      <c r="E40" s="104" t="n">
        <v>109600</v>
      </c>
      <c r="F40" s="104" t="n">
        <v>203140</v>
      </c>
      <c r="G40" s="104" t="n">
        <v>107119</v>
      </c>
      <c r="H40" s="104" t="n">
        <v>8955</v>
      </c>
      <c r="I40" s="104" t="n">
        <v>43000</v>
      </c>
      <c r="J40" s="104" t="n">
        <v>95945</v>
      </c>
      <c r="K40" s="104" t="n">
        <v>51600</v>
      </c>
      <c r="L40" s="104" t="n">
        <v>69175</v>
      </c>
      <c r="M40" s="104" t="n">
        <v>393550</v>
      </c>
      <c r="N40" s="104" t="n">
        <v>1311344</v>
      </c>
    </row>
    <row r="41" ht="15" customHeight="1" s="84">
      <c r="A41" s="7" t="inlineStr">
        <is>
          <t>2024-04</t>
        </is>
      </c>
      <c r="B41" s="104" t="n"/>
      <c r="C41" s="104" t="n"/>
      <c r="D41" s="104" t="n">
        <v>231442</v>
      </c>
      <c r="E41" s="104" t="n">
        <v>156100</v>
      </c>
      <c r="F41" s="104" t="n">
        <v>137113</v>
      </c>
      <c r="G41" s="104" t="n">
        <v>100968</v>
      </c>
      <c r="H41" s="104" t="n">
        <v>4720</v>
      </c>
      <c r="I41" s="104" t="n">
        <v>172870</v>
      </c>
      <c r="J41" s="104" t="n">
        <v>39350</v>
      </c>
      <c r="K41" s="104" t="n"/>
      <c r="L41" s="104" t="n">
        <v>66503</v>
      </c>
      <c r="M41" s="104" t="n">
        <v>393550</v>
      </c>
      <c r="N41" s="104" t="n">
        <v>1302616</v>
      </c>
    </row>
    <row r="42" ht="15" customHeight="1" s="84">
      <c r="A42" s="7" t="inlineStr">
        <is>
          <t>2024-05</t>
        </is>
      </c>
      <c r="B42" s="104" t="n"/>
      <c r="C42" s="104" t="n"/>
      <c r="D42" s="104" t="n">
        <v>228000</v>
      </c>
      <c r="E42" s="104" t="n">
        <v>110200</v>
      </c>
      <c r="F42" s="104" t="n">
        <v>69110</v>
      </c>
      <c r="G42" s="104" t="n">
        <v>111412</v>
      </c>
      <c r="H42" s="104" t="n">
        <v>4624</v>
      </c>
      <c r="I42" s="104" t="n">
        <v>40750</v>
      </c>
      <c r="J42" s="104" t="n">
        <v>39800</v>
      </c>
      <c r="K42" s="104" t="n"/>
      <c r="L42" s="104" t="n">
        <v>79081</v>
      </c>
      <c r="M42" s="104" t="n">
        <v>413350</v>
      </c>
      <c r="N42" s="104" t="n">
        <v>1096327</v>
      </c>
    </row>
    <row r="43" ht="15" customHeight="1" s="84">
      <c r="A43" s="7" t="inlineStr">
        <is>
          <t>2024-06</t>
        </is>
      </c>
      <c r="B43" s="104" t="n"/>
      <c r="C43" s="104" t="n"/>
      <c r="D43" s="104" t="n">
        <v>229670</v>
      </c>
      <c r="E43" s="104" t="n">
        <v>396022</v>
      </c>
      <c r="F43" s="104" t="n">
        <v>102315</v>
      </c>
      <c r="G43" s="104" t="n">
        <v>128955</v>
      </c>
      <c r="H43" s="104" t="n">
        <v>4500</v>
      </c>
      <c r="I43" s="104" t="n">
        <v>71800</v>
      </c>
      <c r="J43" s="104" t="n">
        <v>71518</v>
      </c>
      <c r="K43" s="104" t="n"/>
      <c r="L43" s="104" t="n">
        <v>61714</v>
      </c>
      <c r="M43" s="104" t="n">
        <v>397050</v>
      </c>
      <c r="N43" s="104" t="n">
        <v>1463544</v>
      </c>
    </row>
    <row r="44" ht="15" customHeight="1" s="84">
      <c r="A44" s="7" t="inlineStr">
        <is>
          <t>2024-07</t>
        </is>
      </c>
      <c r="B44" s="104" t="n"/>
      <c r="C44" s="104" t="n"/>
      <c r="D44" s="104" t="n">
        <v>230258</v>
      </c>
      <c r="E44" s="104" t="n">
        <v>100000</v>
      </c>
      <c r="F44" s="104" t="n">
        <v>56300</v>
      </c>
      <c r="G44" s="104" t="n">
        <v>126129</v>
      </c>
      <c r="H44" s="104" t="n">
        <v>4474</v>
      </c>
      <c r="I44" s="104" t="n">
        <v>78880</v>
      </c>
      <c r="J44" s="104" t="n">
        <v>127800</v>
      </c>
      <c r="K44" s="104" t="n"/>
      <c r="L44" s="104" t="n">
        <v>73327</v>
      </c>
      <c r="M44" s="104" t="n">
        <v>528368</v>
      </c>
      <c r="N44" s="104" t="n">
        <v>1325536</v>
      </c>
    </row>
    <row r="45" ht="15" customHeight="1" s="84">
      <c r="A45" s="7" t="inlineStr">
        <is>
          <t>2024-08</t>
        </is>
      </c>
      <c r="B45" s="104" t="n"/>
      <c r="C45" s="104" t="n"/>
      <c r="D45" s="104" t="n">
        <v>229512</v>
      </c>
      <c r="E45" s="104" t="n">
        <v>103000</v>
      </c>
      <c r="F45" s="104" t="n">
        <v>166950</v>
      </c>
      <c r="G45" s="104" t="n">
        <v>144844</v>
      </c>
      <c r="H45" s="104" t="n">
        <v>4421</v>
      </c>
      <c r="I45" s="104" t="n">
        <v>93750</v>
      </c>
      <c r="J45" s="104" t="n">
        <v>63850</v>
      </c>
      <c r="K45" s="104" t="n">
        <v>25000</v>
      </c>
      <c r="L45" s="104" t="n">
        <v>64860</v>
      </c>
      <c r="M45" s="104" t="n">
        <v>469190</v>
      </c>
      <c r="N45" s="104" t="n">
        <v>1365377</v>
      </c>
    </row>
    <row r="46" ht="15" customHeight="1" s="84">
      <c r="A46" s="7" t="inlineStr">
        <is>
          <t>2024-09</t>
        </is>
      </c>
      <c r="B46" s="104" t="n"/>
      <c r="C46" s="104" t="n"/>
      <c r="D46" s="104" t="n">
        <v>228000</v>
      </c>
      <c r="E46" s="104" t="n">
        <v>121360</v>
      </c>
      <c r="F46" s="104" t="n">
        <v>66590</v>
      </c>
      <c r="G46" s="104" t="n">
        <v>145608</v>
      </c>
      <c r="H46" s="104" t="n">
        <v>4417</v>
      </c>
      <c r="I46" s="104" t="n">
        <v>40100</v>
      </c>
      <c r="J46" s="104" t="n">
        <v>410543</v>
      </c>
      <c r="K46" s="104" t="n"/>
      <c r="L46" s="104" t="n">
        <v>62536</v>
      </c>
      <c r="M46" s="104" t="n">
        <v>427550</v>
      </c>
      <c r="N46" s="104" t="n">
        <v>1506704</v>
      </c>
    </row>
    <row r="47" ht="15" customHeight="1" s="84">
      <c r="A47" s="7" t="inlineStr">
        <is>
          <t>2024-11</t>
        </is>
      </c>
      <c r="B47" s="104" t="n">
        <v>119700</v>
      </c>
      <c r="C47" s="104" t="n">
        <v>315000</v>
      </c>
      <c r="D47" s="104" t="n">
        <v>229008</v>
      </c>
      <c r="E47" s="104" t="n">
        <v>103200</v>
      </c>
      <c r="F47" s="104" t="n">
        <v>56950</v>
      </c>
      <c r="G47" s="104" t="n">
        <v>227933</v>
      </c>
      <c r="H47" s="104" t="n">
        <v>4214</v>
      </c>
      <c r="I47" s="104" t="n">
        <v>70500</v>
      </c>
      <c r="J47" s="104" t="n"/>
      <c r="K47" s="104" t="n"/>
      <c r="L47" s="104" t="n">
        <v>71276</v>
      </c>
      <c r="M47" s="104" t="n"/>
      <c r="N47" s="104" t="n">
        <v>1197781</v>
      </c>
    </row>
    <row r="48" ht="15" customHeight="1" s="84">
      <c r="A48" s="7" t="inlineStr">
        <is>
          <t>2024-12</t>
        </is>
      </c>
      <c r="B48" s="104" t="n">
        <v>119700</v>
      </c>
      <c r="C48" s="104" t="n">
        <v>315000</v>
      </c>
      <c r="D48" s="104" t="n">
        <v>247922</v>
      </c>
      <c r="E48" s="104" t="n">
        <v>100000</v>
      </c>
      <c r="F48" s="104" t="n">
        <v>476940</v>
      </c>
      <c r="G48" s="104" t="n">
        <v>111010</v>
      </c>
      <c r="H48" s="104" t="n">
        <v>4745</v>
      </c>
      <c r="I48" s="104" t="n">
        <v>43675</v>
      </c>
      <c r="J48" s="104" t="n">
        <v>33000</v>
      </c>
      <c r="K48" s="104" t="n"/>
      <c r="L48" s="104" t="n">
        <v>12161</v>
      </c>
      <c r="M48" s="104" t="n">
        <v>35925</v>
      </c>
      <c r="N48" s="104" t="n">
        <v>1500078</v>
      </c>
    </row>
    <row r="49" ht="15" customHeight="1" s="84">
      <c r="A49" s="7" t="inlineStr">
        <is>
          <t>2025-01</t>
        </is>
      </c>
      <c r="B49" s="104" t="n">
        <v>119700</v>
      </c>
      <c r="C49" s="104" t="n">
        <v>315000</v>
      </c>
      <c r="D49" s="104" t="n">
        <v>248016</v>
      </c>
      <c r="E49" s="104" t="n">
        <v>114175</v>
      </c>
      <c r="F49" s="104" t="n">
        <v>137072</v>
      </c>
      <c r="G49" s="104" t="n"/>
      <c r="H49" s="104" t="n"/>
      <c r="I49" s="104" t="n">
        <v>84450</v>
      </c>
      <c r="J49" s="104" t="n"/>
      <c r="K49" s="104" t="n"/>
      <c r="L49" s="104" t="n">
        <v>123633</v>
      </c>
      <c r="M49" s="104" t="n"/>
      <c r="N49" s="104" t="n">
        <v>1142046</v>
      </c>
    </row>
    <row r="50" ht="15" customHeight="1" s="84">
      <c r="A50" s="7" t="inlineStr">
        <is>
          <t>2025-02</t>
        </is>
      </c>
      <c r="B50" s="104" t="n"/>
      <c r="C50" s="104" t="n"/>
      <c r="D50" s="104" t="n"/>
      <c r="E50" s="104" t="n"/>
      <c r="F50" s="104" t="n"/>
      <c r="G50" s="104" t="n">
        <v>106580</v>
      </c>
      <c r="H50" s="104" t="n">
        <v>4753</v>
      </c>
      <c r="I50" s="104" t="n"/>
      <c r="J50" s="104" t="n"/>
      <c r="K50" s="104" t="n"/>
      <c r="L50" s="104" t="n"/>
      <c r="M50" s="104" t="n"/>
      <c r="N50" s="104" t="n">
        <v>111333</v>
      </c>
    </row>
    <row r="51" ht="15" customHeight="1" s="84">
      <c r="A51" s="7" t="inlineStr">
        <is>
          <t>2025-03</t>
        </is>
      </c>
      <c r="B51" s="104" t="n">
        <v>119700</v>
      </c>
      <c r="C51" s="104" t="n">
        <v>315000</v>
      </c>
      <c r="D51" s="104" t="n">
        <v>251122</v>
      </c>
      <c r="E51" s="104" t="n"/>
      <c r="F51" s="104" t="n">
        <v>197664</v>
      </c>
      <c r="G51" s="104" t="n">
        <v>108145</v>
      </c>
      <c r="H51" s="104" t="n">
        <v>9534</v>
      </c>
      <c r="I51" s="104" t="n">
        <v>75500</v>
      </c>
      <c r="J51" s="104" t="n">
        <v>19000</v>
      </c>
      <c r="K51" s="104" t="n"/>
      <c r="L51" s="104" t="n">
        <v>72751</v>
      </c>
      <c r="M51" s="104" t="n">
        <v>202377</v>
      </c>
      <c r="N51" s="104" t="n">
        <v>1370793</v>
      </c>
    </row>
    <row r="52" ht="15" customHeight="1" s="84">
      <c r="A52" s="7" t="inlineStr">
        <is>
          <t>2025-04</t>
        </is>
      </c>
      <c r="B52" s="104" t="n">
        <v>119700</v>
      </c>
      <c r="C52" s="104" t="n">
        <v>315000</v>
      </c>
      <c r="D52" s="104" t="n">
        <v>252253</v>
      </c>
      <c r="E52" s="104" t="n">
        <v>100000</v>
      </c>
      <c r="F52" s="104" t="n">
        <v>149834</v>
      </c>
      <c r="G52" s="104" t="n">
        <v>123550</v>
      </c>
      <c r="H52" s="104" t="n">
        <v>4784</v>
      </c>
      <c r="I52" s="104" t="n">
        <v>93500</v>
      </c>
      <c r="J52" s="104" t="n">
        <v>243870</v>
      </c>
      <c r="K52" s="104" t="n">
        <v>144000</v>
      </c>
      <c r="L52" s="104" t="n">
        <v>78067</v>
      </c>
      <c r="M52" s="104" t="n">
        <v>241500</v>
      </c>
      <c r="N52" s="104" t="n">
        <v>1866058</v>
      </c>
    </row>
    <row r="53" ht="15" customHeight="1" s="84">
      <c r="A53" s="7" t="inlineStr">
        <is>
          <t>2025-05</t>
        </is>
      </c>
      <c r="B53" s="104" t="n">
        <v>119700</v>
      </c>
      <c r="C53" s="104" t="n">
        <v>315000</v>
      </c>
      <c r="D53" s="104" t="n">
        <v>251450</v>
      </c>
      <c r="E53" s="104" t="n">
        <v>214390</v>
      </c>
      <c r="F53" s="104" t="n">
        <v>107285</v>
      </c>
      <c r="G53" s="104" t="n">
        <v>89242</v>
      </c>
      <c r="H53" s="104" t="n">
        <v>4529</v>
      </c>
      <c r="I53" s="104" t="n">
        <v>45400</v>
      </c>
      <c r="J53" s="104" t="n">
        <v>300800</v>
      </c>
      <c r="K53" s="104" t="n"/>
      <c r="L53" s="104" t="n">
        <v>62140</v>
      </c>
      <c r="M53" s="104" t="n">
        <v>243275</v>
      </c>
      <c r="N53" s="104" t="n">
        <v>1753211</v>
      </c>
    </row>
    <row r="54" ht="15" customHeight="1" s="84">
      <c r="A54" s="7" t="inlineStr">
        <is>
          <t>2025-06</t>
        </is>
      </c>
      <c r="B54" s="104" t="n">
        <v>119700</v>
      </c>
      <c r="C54" s="104" t="n">
        <v>315000</v>
      </c>
      <c r="D54" s="104" t="n">
        <v>251724</v>
      </c>
      <c r="E54" s="104" t="n">
        <v>100000</v>
      </c>
      <c r="F54" s="104" t="n">
        <v>88297</v>
      </c>
      <c r="G54" s="104" t="n">
        <v>96399</v>
      </c>
      <c r="H54" s="104" t="n">
        <v>5419</v>
      </c>
      <c r="I54" s="104" t="n">
        <v>71150</v>
      </c>
      <c r="J54" s="104" t="n">
        <v>178540</v>
      </c>
      <c r="K54" s="104" t="n">
        <v>12000</v>
      </c>
      <c r="L54" s="104" t="n">
        <v>80064</v>
      </c>
      <c r="M54" s="104" t="n">
        <v>158232</v>
      </c>
      <c r="N54" s="104" t="n">
        <v>1476525</v>
      </c>
    </row>
    <row r="55" ht="15" customHeight="1" s="84">
      <c r="A55" s="7" t="inlineStr">
        <is>
          <t>2025-07</t>
        </is>
      </c>
      <c r="B55" s="104" t="n">
        <v>119700</v>
      </c>
      <c r="C55" s="104" t="n">
        <v>315000</v>
      </c>
      <c r="D55" s="104" t="n">
        <v>246000</v>
      </c>
      <c r="E55" s="104" t="n">
        <v>100000</v>
      </c>
      <c r="F55" s="104" t="n">
        <v>118558</v>
      </c>
      <c r="G55" s="104" t="n">
        <v>100318</v>
      </c>
      <c r="H55" s="104" t="n">
        <v>4915</v>
      </c>
      <c r="I55" s="104" t="n">
        <v>40750</v>
      </c>
      <c r="J55" s="104" t="n">
        <v>2192553</v>
      </c>
      <c r="K55" s="104" t="n"/>
      <c r="L55" s="104" t="n">
        <v>241243</v>
      </c>
      <c r="M55" s="104" t="n">
        <v>250456</v>
      </c>
      <c r="N55" s="104" t="n">
        <v>3729493</v>
      </c>
    </row>
    <row r="56" ht="15" customHeight="1" s="84">
      <c r="A56" s="7" t="inlineStr">
        <is>
          <t>2025-08</t>
        </is>
      </c>
      <c r="B56" s="104" t="n">
        <v>119700</v>
      </c>
      <c r="C56" s="104" t="n">
        <v>315000</v>
      </c>
      <c r="D56" s="104" t="n">
        <v>249623</v>
      </c>
      <c r="E56" s="104" t="n">
        <v>182525</v>
      </c>
      <c r="F56" s="104" t="n">
        <v>101014</v>
      </c>
      <c r="G56" s="104" t="n">
        <v>141036</v>
      </c>
      <c r="H56" s="104" t="n">
        <v>4864</v>
      </c>
      <c r="I56" s="104" t="n">
        <v>342900</v>
      </c>
      <c r="J56" s="104" t="n">
        <v>1518573</v>
      </c>
      <c r="K56" s="104" t="n">
        <v>20030</v>
      </c>
      <c r="L56" s="104" t="n">
        <v>133875</v>
      </c>
      <c r="M56" s="104" t="n">
        <v>288661</v>
      </c>
      <c r="N56" s="104" t="n">
        <v>3417801</v>
      </c>
    </row>
    <row r="57" ht="15" customHeight="1" s="84">
      <c r="A57" s="7" t="inlineStr">
        <is>
          <t>2025-09</t>
        </is>
      </c>
      <c r="B57" s="104" t="n">
        <v>119700</v>
      </c>
      <c r="C57" s="104" t="n">
        <v>315000</v>
      </c>
      <c r="D57" s="104" t="n">
        <v>247008</v>
      </c>
      <c r="E57" s="104" t="n">
        <v>109500</v>
      </c>
      <c r="F57" s="104" t="n">
        <v>108150</v>
      </c>
      <c r="G57" s="104" t="n">
        <v>126605</v>
      </c>
      <c r="H57" s="104" t="n">
        <v>4481</v>
      </c>
      <c r="I57" s="104" t="n">
        <v>40100</v>
      </c>
      <c r="J57" s="104" t="n">
        <v>1127720</v>
      </c>
      <c r="K57" s="104" t="n">
        <v>20030</v>
      </c>
      <c r="L57" s="104" t="n">
        <v>137248</v>
      </c>
      <c r="M57" s="104" t="n">
        <v>335737</v>
      </c>
      <c r="N57" s="104" t="n">
        <v>2691279</v>
      </c>
    </row>
    <row r="58" ht="15" customHeight="1" s="84">
      <c r="A58" s="7" t="inlineStr">
        <is>
          <t>2025-10</t>
        </is>
      </c>
      <c r="B58" s="104" t="n">
        <v>132300</v>
      </c>
      <c r="C58" s="104" t="n">
        <v>319200</v>
      </c>
      <c r="D58" s="104" t="n">
        <v>248678</v>
      </c>
      <c r="E58" s="104" t="n">
        <v>276200</v>
      </c>
      <c r="F58" s="104" t="n">
        <v>94135</v>
      </c>
      <c r="G58" s="104" t="n">
        <v>168711</v>
      </c>
      <c r="H58" s="104" t="n">
        <v>4887</v>
      </c>
      <c r="I58" s="104" t="n">
        <v>71150</v>
      </c>
      <c r="J58" s="104" t="n">
        <v>828110</v>
      </c>
      <c r="K58" s="104" t="n">
        <v>20090</v>
      </c>
      <c r="L58" s="104" t="n">
        <v>295832</v>
      </c>
      <c r="M58" s="104" t="n">
        <v>23093</v>
      </c>
      <c r="N58" s="104" t="n">
        <v>2482386</v>
      </c>
    </row>
    <row r="59" ht="15" customHeight="1" s="84">
      <c r="A59" s="7" t="inlineStr">
        <is>
          <t>2025-11</t>
        </is>
      </c>
      <c r="B59" s="104" t="n">
        <v>132300</v>
      </c>
      <c r="C59" s="104" t="n">
        <v>319200</v>
      </c>
      <c r="D59" s="104" t="n">
        <v>249276</v>
      </c>
      <c r="E59" s="104" t="n">
        <v>131075</v>
      </c>
      <c r="F59" s="104" t="n">
        <v>121825</v>
      </c>
      <c r="G59" s="104" t="n">
        <v>111303</v>
      </c>
      <c r="H59" s="104" t="n">
        <v>4881</v>
      </c>
      <c r="I59" s="104" t="n">
        <v>38800</v>
      </c>
      <c r="J59" s="104" t="n">
        <v>958137</v>
      </c>
      <c r="K59" s="104" t="n"/>
      <c r="L59" s="104" t="n">
        <v>165076</v>
      </c>
      <c r="M59" s="104" t="n">
        <v>25200</v>
      </c>
      <c r="N59" s="104" t="n">
        <v>2257073</v>
      </c>
    </row>
    <row r="60" ht="15" customHeight="1" s="84">
      <c r="A60" s="7" t="inlineStr">
        <is>
          <t>2025-12</t>
        </is>
      </c>
      <c r="B60" s="104" t="n">
        <v>132300</v>
      </c>
      <c r="C60" s="104" t="n">
        <v>319200</v>
      </c>
      <c r="D60" s="104" t="n">
        <v>249340</v>
      </c>
      <c r="E60" s="104" t="n">
        <v>131713</v>
      </c>
      <c r="F60" s="104" t="n">
        <v>44650</v>
      </c>
      <c r="G60" s="104" t="n">
        <v>108030</v>
      </c>
      <c r="H60" s="104" t="n">
        <v>4635</v>
      </c>
      <c r="I60" s="104" t="n">
        <v>71800</v>
      </c>
      <c r="J60" s="104" t="n">
        <v>837233</v>
      </c>
      <c r="K60" s="104" t="n"/>
      <c r="L60" s="104" t="n">
        <v>207018</v>
      </c>
      <c r="M60" s="104" t="n">
        <v>235060</v>
      </c>
      <c r="N60" s="104" t="n">
        <v>2340979</v>
      </c>
    </row>
    <row r="61" ht="15" customHeight="1" s="84">
      <c r="A61" s="7" t="inlineStr">
        <is>
          <t>2026-01</t>
        </is>
      </c>
      <c r="B61" s="104" t="n">
        <v>132300</v>
      </c>
      <c r="C61" s="104" t="n">
        <v>319200</v>
      </c>
      <c r="D61" s="104" t="n">
        <v>263088</v>
      </c>
      <c r="E61" s="104" t="n">
        <v>100000</v>
      </c>
      <c r="F61" s="104" t="n">
        <v>142873</v>
      </c>
      <c r="G61" s="104" t="n">
        <v>85774</v>
      </c>
      <c r="H61" s="104" t="n">
        <v>5003</v>
      </c>
      <c r="I61" s="104" t="n">
        <v>70500</v>
      </c>
      <c r="J61" s="104" t="n">
        <v>688309</v>
      </c>
      <c r="K61" s="104" t="n"/>
      <c r="L61" s="104" t="n">
        <v>123029</v>
      </c>
      <c r="M61" s="104" t="n">
        <v>150000</v>
      </c>
      <c r="N61" s="104" t="n">
        <v>2080076</v>
      </c>
    </row>
    <row r="62" ht="15" customHeight="1" s="84">
      <c r="A62" s="7" t="inlineStr">
        <is>
          <t>2026-02</t>
        </is>
      </c>
      <c r="B62" s="104" t="n">
        <v>149050</v>
      </c>
      <c r="C62" s="104" t="n">
        <v>355950</v>
      </c>
      <c r="D62" s="104" t="n">
        <v>258300</v>
      </c>
      <c r="E62" s="104" t="n">
        <v>106804</v>
      </c>
      <c r="F62" s="104" t="n">
        <v>20950</v>
      </c>
      <c r="G62" s="104" t="n">
        <v>91302</v>
      </c>
      <c r="H62" s="104" t="n"/>
      <c r="I62" s="104" t="n">
        <v>307482</v>
      </c>
      <c r="J62" s="104" t="n">
        <v>589596</v>
      </c>
      <c r="K62" s="104" t="n">
        <v>45800</v>
      </c>
      <c r="L62" s="104" t="n">
        <v>234578</v>
      </c>
      <c r="M62" s="104" t="n"/>
      <c r="N62" s="104" t="n">
        <v>2159812</v>
      </c>
    </row>
    <row r="63" ht="15" customHeight="1" s="84">
      <c r="A63" s="7" t="inlineStr">
        <is>
          <t>2026-03</t>
        </is>
      </c>
      <c r="B63" s="104" t="n">
        <v>149050</v>
      </c>
      <c r="C63" s="104" t="n">
        <v>355950</v>
      </c>
      <c r="D63" s="104" t="n">
        <v>260316</v>
      </c>
      <c r="E63" s="104" t="n">
        <v>144489</v>
      </c>
      <c r="F63" s="104" t="n">
        <v>45450</v>
      </c>
      <c r="G63" s="104" t="n">
        <v>84786</v>
      </c>
      <c r="H63" s="104" t="n">
        <v>4898</v>
      </c>
      <c r="I63" s="104" t="n">
        <v>54100</v>
      </c>
      <c r="J63" s="104" t="n">
        <v>405955</v>
      </c>
      <c r="K63" s="104" t="n"/>
      <c r="L63" s="104" t="n">
        <v>171037</v>
      </c>
      <c r="M63" s="104" t="n"/>
      <c r="N63" s="104" t="n">
        <v>1676031</v>
      </c>
    </row>
    <row r="64" ht="15" customHeight="1" s="84">
      <c r="A64" s="7" t="inlineStr">
        <is>
          <t>2026-04</t>
        </is>
      </c>
      <c r="B64" s="104" t="n">
        <v>149050</v>
      </c>
      <c r="C64" s="104" t="n">
        <v>355950</v>
      </c>
      <c r="D64" s="104" t="n">
        <v>258300</v>
      </c>
      <c r="E64" s="104" t="n">
        <v>137423</v>
      </c>
      <c r="F64" s="104" t="n">
        <v>19450</v>
      </c>
      <c r="G64" s="104" t="n">
        <v>95012</v>
      </c>
      <c r="H64" s="104" t="n">
        <v>9213</v>
      </c>
      <c r="I64" s="104" t="n">
        <v>75600</v>
      </c>
      <c r="J64" s="104" t="n">
        <v>1200659</v>
      </c>
      <c r="K64" s="104" t="n">
        <v>141698</v>
      </c>
      <c r="L64" s="104" t="n">
        <v>251171</v>
      </c>
      <c r="M64" s="104" t="n">
        <v>10000</v>
      </c>
      <c r="N64" s="104" t="n">
        <v>2703526</v>
      </c>
    </row>
    <row r="65" ht="15" customHeight="1" s="84">
      <c r="A65" s="10" t="inlineStr">
        <is>
          <t>全期合計</t>
        </is>
      </c>
      <c r="B65" s="106" t="n">
        <v>2173350</v>
      </c>
      <c r="C65" s="106" t="n">
        <v>5494650</v>
      </c>
      <c r="D65" s="106" t="n">
        <v>13852236</v>
      </c>
      <c r="E65" s="106" t="n">
        <v>8143141</v>
      </c>
      <c r="F65" s="106" t="n">
        <v>7954709</v>
      </c>
      <c r="G65" s="106" t="n">
        <v>6522042</v>
      </c>
      <c r="H65" s="106" t="n">
        <v>301678</v>
      </c>
      <c r="I65" s="106" t="n">
        <v>5242447</v>
      </c>
      <c r="J65" s="106" t="n">
        <v>14431215</v>
      </c>
      <c r="K65" s="106" t="n">
        <v>745560</v>
      </c>
      <c r="L65" s="106" t="n">
        <v>5564236</v>
      </c>
      <c r="M65" s="106" t="n">
        <v>20867630</v>
      </c>
      <c r="N65" s="106" t="n">
        <v>91292894</v>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F671"/>
  <sheetViews>
    <sheetView zoomScaleNormal="100" workbookViewId="0">
      <pane xSplit="1" ySplit="1" topLeftCell="B552" activePane="bottomRight" state="frozen"/>
      <selection pane="topRight" activeCell="B1" sqref="B1"/>
      <selection pane="bottomLeft" activeCell="A2" sqref="A2"/>
      <selection pane="bottomRight" activeCell="A582" sqref="A582:XFD582"/>
    </sheetView>
  </sheetViews>
  <sheetFormatPr baseColWidth="10" defaultColWidth="7.83203125" defaultRowHeight="17"/>
  <cols>
    <col width="11" customWidth="1" style="84" min="1" max="1"/>
    <col width="16.33203125" customWidth="1" style="84" min="2" max="2"/>
    <col width="14.5" customWidth="1" style="84" min="3" max="3"/>
    <col width="29.1640625" customWidth="1" style="84" min="4" max="4"/>
    <col width="12.6640625" customWidth="1" style="84" min="5" max="5"/>
    <col width="16.33203125" customWidth="1" style="84" min="6" max="6"/>
  </cols>
  <sheetData>
    <row r="1" ht="15" customHeight="1" s="84">
      <c r="A1" s="6" t="inlineStr">
        <is>
          <t>月份</t>
        </is>
      </c>
      <c r="B1" s="6" t="inlineStr">
        <is>
          <t>主類</t>
        </is>
      </c>
      <c r="C1" s="6" t="inlineStr">
        <is>
          <t>子類</t>
        </is>
      </c>
      <c r="D1" s="6" t="inlineStr">
        <is>
          <t>顯示名稱</t>
        </is>
      </c>
      <c r="E1" s="6" t="inlineStr">
        <is>
          <t>金額</t>
        </is>
      </c>
      <c r="F1" s="6" t="inlineStr">
        <is>
          <t>分類</t>
        </is>
      </c>
    </row>
    <row r="2" ht="15" customHeight="1" s="84">
      <c r="A2" s="7" t="inlineStr">
        <is>
          <t>2021-01</t>
        </is>
      </c>
      <c r="B2" s="13" t="inlineStr">
        <is>
          <t>元大定存利息</t>
        </is>
      </c>
      <c r="C2" s="7" t="n"/>
      <c r="D2" s="13" t="inlineStr">
        <is>
          <t>元大定存利息</t>
        </is>
      </c>
      <c r="E2" s="104" t="n">
        <v>416</v>
      </c>
      <c r="F2" s="108" t="inlineStr">
        <is>
          <t>利息收入</t>
        </is>
      </c>
    </row>
    <row r="3" ht="16.5" customHeight="1" s="84">
      <c r="A3" s="15" t="inlineStr">
        <is>
          <t>2021-01</t>
        </is>
      </c>
      <c r="B3" s="16" t="inlineStr">
        <is>
          <t>元大定存利息</t>
        </is>
      </c>
      <c r="C3" s="15" t="n"/>
      <c r="D3" s="15" t="inlineStr">
        <is>
          <t>(未命名)</t>
        </is>
      </c>
      <c r="E3" s="109" t="n">
        <v>314</v>
      </c>
      <c r="F3" s="110" t="inlineStr">
        <is>
          <t>其他收入</t>
        </is>
      </c>
    </row>
    <row r="4" ht="16.5" customHeight="1" s="84">
      <c r="A4" s="15" t="inlineStr">
        <is>
          <t>2021-01</t>
        </is>
      </c>
      <c r="B4" s="16" t="inlineStr">
        <is>
          <t>元大定存利息</t>
        </is>
      </c>
      <c r="C4" s="15" t="n"/>
      <c r="D4" s="15" t="inlineStr">
        <is>
          <t>(未命名)</t>
        </is>
      </c>
      <c r="E4" s="109" t="n">
        <v>416</v>
      </c>
      <c r="F4" s="110" t="inlineStr">
        <is>
          <t>其他收入</t>
        </is>
      </c>
    </row>
    <row r="5" ht="16.5" customHeight="1" s="84">
      <c r="A5" s="15" t="inlineStr">
        <is>
          <t>2021-01</t>
        </is>
      </c>
      <c r="B5" s="16" t="inlineStr">
        <is>
          <t>元大定存利息</t>
        </is>
      </c>
      <c r="C5" s="15" t="n"/>
      <c r="D5" s="15" t="inlineStr">
        <is>
          <t>(未命名)</t>
        </is>
      </c>
      <c r="E5" s="109" t="n">
        <v>654</v>
      </c>
      <c r="F5" s="110" t="inlineStr">
        <is>
          <t>其他收入</t>
        </is>
      </c>
    </row>
    <row r="6" ht="16.5" customHeight="1" s="84">
      <c r="A6" s="15" t="inlineStr">
        <is>
          <t>2021-01</t>
        </is>
      </c>
      <c r="B6" s="16" t="inlineStr">
        <is>
          <t>元大定存利息</t>
        </is>
      </c>
      <c r="C6" s="15" t="n"/>
      <c r="D6" s="15" t="inlineStr">
        <is>
          <t>(未命名)</t>
        </is>
      </c>
      <c r="E6" s="109" t="n">
        <v>1308</v>
      </c>
      <c r="F6" s="110" t="inlineStr">
        <is>
          <t>其他收入</t>
        </is>
      </c>
    </row>
    <row r="7" ht="15" customHeight="1" s="84">
      <c r="A7" s="7" t="inlineStr">
        <is>
          <t>2021-01</t>
        </is>
      </c>
      <c r="B7" s="13" t="inlineStr">
        <is>
          <t>管理費收入</t>
        </is>
      </c>
      <c r="C7" s="7" t="n"/>
      <c r="D7" s="13" t="inlineStr">
        <is>
          <t>管理費收入</t>
        </is>
      </c>
      <c r="E7" s="104" t="n">
        <v>5919</v>
      </c>
      <c r="F7" s="108" t="inlineStr">
        <is>
          <t>管理費收入</t>
        </is>
      </c>
    </row>
    <row r="8" ht="16.5" customHeight="1" s="84">
      <c r="A8" s="15" t="inlineStr">
        <is>
          <t>2021-01</t>
        </is>
      </c>
      <c r="B8" s="16" t="inlineStr">
        <is>
          <t>管理費收入</t>
        </is>
      </c>
      <c r="C8" s="15" t="n"/>
      <c r="D8" s="15" t="inlineStr">
        <is>
          <t>(未命名)</t>
        </is>
      </c>
      <c r="E8" s="109" t="n">
        <v>13746</v>
      </c>
      <c r="F8" s="110" t="inlineStr">
        <is>
          <t>其他收入</t>
        </is>
      </c>
    </row>
    <row r="9" ht="16.5" customHeight="1" s="84">
      <c r="A9" s="15" t="inlineStr">
        <is>
          <t>2021-01</t>
        </is>
      </c>
      <c r="B9" s="16" t="inlineStr">
        <is>
          <t>管理費收入</t>
        </is>
      </c>
      <c r="C9" s="15" t="n"/>
      <c r="D9" s="15" t="inlineStr">
        <is>
          <t>(未命名)</t>
        </is>
      </c>
      <c r="E9" s="109" t="n">
        <v>2145711</v>
      </c>
      <c r="F9" s="110" t="inlineStr">
        <is>
          <t>其他收入</t>
        </is>
      </c>
    </row>
    <row r="10" ht="15" customHeight="1" s="84">
      <c r="A10" s="7" t="inlineStr">
        <is>
          <t>2021-01</t>
        </is>
      </c>
      <c r="B10" s="13" t="inlineStr">
        <is>
          <t>裝潢保證金</t>
        </is>
      </c>
      <c r="C10" s="7" t="n"/>
      <c r="D10" s="13" t="inlineStr">
        <is>
          <t>裝潢保證金</t>
        </is>
      </c>
      <c r="E10" s="104" t="n">
        <v>0</v>
      </c>
      <c r="F10" s="108" t="inlineStr">
        <is>
          <t>暫收款進</t>
        </is>
      </c>
    </row>
    <row r="11" ht="15" customHeight="1" s="84">
      <c r="A11" s="7" t="inlineStr">
        <is>
          <t>2021-01</t>
        </is>
      </c>
      <c r="B11" s="13" t="inlineStr">
        <is>
          <t>公設收入</t>
        </is>
      </c>
      <c r="C11" s="7" t="n"/>
      <c r="D11" s="13" t="inlineStr">
        <is>
          <t>公設收入</t>
        </is>
      </c>
      <c r="E11" s="104" t="n">
        <v>8810</v>
      </c>
      <c r="F11" s="108" t="inlineStr">
        <is>
          <t>公設收入</t>
        </is>
      </c>
    </row>
    <row r="12" ht="15" customHeight="1" s="84">
      <c r="A12" s="7" t="inlineStr">
        <is>
          <t>2021-01</t>
        </is>
      </c>
      <c r="B12" s="13" t="inlineStr">
        <is>
          <t>管委會出席費回存</t>
        </is>
      </c>
      <c r="C12" s="7" t="n"/>
      <c r="D12" s="13" t="inlineStr">
        <is>
          <t>管委會出席費回存</t>
        </is>
      </c>
      <c r="E12" s="104" t="n">
        <v>2000</v>
      </c>
      <c r="F12" s="108" t="inlineStr">
        <is>
          <t>出席費回存</t>
        </is>
      </c>
    </row>
    <row r="13" ht="15" customHeight="1" s="84">
      <c r="A13" s="7" t="inlineStr">
        <is>
          <t>2021-02</t>
        </is>
      </c>
      <c r="B13" s="13" t="inlineStr">
        <is>
          <t>元大活期利息</t>
        </is>
      </c>
      <c r="C13" s="7" t="n"/>
      <c r="D13" s="13" t="inlineStr">
        <is>
          <t>元大活期利息</t>
        </is>
      </c>
      <c r="E13" s="104" t="n">
        <v>0</v>
      </c>
      <c r="F13" s="108" t="inlineStr">
        <is>
          <t>利息收入</t>
        </is>
      </c>
    </row>
    <row r="14" ht="16.5" customHeight="1" s="84">
      <c r="A14" s="7" t="inlineStr">
        <is>
          <t>2021-02</t>
        </is>
      </c>
      <c r="B14" s="13" t="inlineStr">
        <is>
          <t>元大定存利息</t>
        </is>
      </c>
      <c r="C14" s="7" t="inlineStr">
        <is>
          <t>683000006773</t>
        </is>
      </c>
      <c r="D14" s="13" t="inlineStr">
        <is>
          <t>元大定存利息 683000006773</t>
        </is>
      </c>
      <c r="E14" s="104" t="n">
        <v>416</v>
      </c>
      <c r="F14" s="108" t="inlineStr">
        <is>
          <t>利息收入</t>
        </is>
      </c>
    </row>
    <row r="15" ht="16.5" customHeight="1" s="84">
      <c r="A15" s="7" t="inlineStr">
        <is>
          <t>2021-02</t>
        </is>
      </c>
      <c r="B15" s="13" t="inlineStr">
        <is>
          <t>元大定存利息</t>
        </is>
      </c>
      <c r="C15" s="7" t="inlineStr">
        <is>
          <t>683000014551</t>
        </is>
      </c>
      <c r="D15" s="13" t="inlineStr">
        <is>
          <t>元大定存利息 683000014551</t>
        </is>
      </c>
      <c r="E15" s="104" t="n">
        <v>314</v>
      </c>
      <c r="F15" s="108" t="inlineStr">
        <is>
          <t>利息收入</t>
        </is>
      </c>
    </row>
    <row r="16" ht="16.5" customHeight="1" s="84">
      <c r="A16" s="7" t="inlineStr">
        <is>
          <t>2021-02</t>
        </is>
      </c>
      <c r="B16" s="13" t="inlineStr">
        <is>
          <t>元大定存利息</t>
        </is>
      </c>
      <c r="C16" s="7" t="inlineStr">
        <is>
          <t>683000006745</t>
        </is>
      </c>
      <c r="D16" s="13" t="inlineStr">
        <is>
          <t>元大定存利息 683000006745</t>
        </is>
      </c>
      <c r="E16" s="104" t="n">
        <v>416</v>
      </c>
      <c r="F16" s="108" t="inlineStr">
        <is>
          <t>利息收入</t>
        </is>
      </c>
    </row>
    <row r="17" ht="16.5" customHeight="1" s="84">
      <c r="A17" s="7" t="inlineStr">
        <is>
          <t>2021-02</t>
        </is>
      </c>
      <c r="B17" s="13" t="inlineStr">
        <is>
          <t>元大定存利息</t>
        </is>
      </c>
      <c r="C17" s="7" t="inlineStr">
        <is>
          <t>683000013365</t>
        </is>
      </c>
      <c r="D17" s="13" t="inlineStr">
        <is>
          <t>元大定存利息 683000013365</t>
        </is>
      </c>
      <c r="E17" s="104" t="n">
        <v>654</v>
      </c>
      <c r="F17" s="108" t="inlineStr">
        <is>
          <t>利息收入</t>
        </is>
      </c>
    </row>
    <row r="18" ht="16.5" customHeight="1" s="84">
      <c r="A18" s="7" t="inlineStr">
        <is>
          <t>2021-02</t>
        </is>
      </c>
      <c r="B18" s="13" t="inlineStr">
        <is>
          <t>元大定存利息</t>
        </is>
      </c>
      <c r="C18" s="7" t="inlineStr">
        <is>
          <t>683000016001</t>
        </is>
      </c>
      <c r="D18" s="13" t="inlineStr">
        <is>
          <t>元大定存利息 683000016001</t>
        </is>
      </c>
      <c r="E18" s="104" t="n">
        <v>0</v>
      </c>
      <c r="F18" s="108" t="inlineStr">
        <is>
          <t>利息收入</t>
        </is>
      </c>
    </row>
    <row r="19" ht="16.5" customHeight="1" s="84">
      <c r="A19" s="7" t="inlineStr">
        <is>
          <t>2021-02</t>
        </is>
      </c>
      <c r="B19" s="13" t="inlineStr">
        <is>
          <t>管理費收入</t>
        </is>
      </c>
      <c r="C19" s="7" t="inlineStr">
        <is>
          <t>109第三季</t>
        </is>
      </c>
      <c r="D19" s="13" t="inlineStr">
        <is>
          <t>管理費收入 109第三季</t>
        </is>
      </c>
      <c r="E19" s="104" t="n">
        <v>4350</v>
      </c>
      <c r="F19" s="108" t="inlineStr">
        <is>
          <t>管理費收入</t>
        </is>
      </c>
    </row>
    <row r="20" ht="16.5" customHeight="1" s="84">
      <c r="A20" s="7" t="inlineStr">
        <is>
          <t>2021-02</t>
        </is>
      </c>
      <c r="B20" s="13" t="inlineStr">
        <is>
          <t>管理費收入</t>
        </is>
      </c>
      <c r="C20" s="7" t="inlineStr">
        <is>
          <t>109第四季</t>
        </is>
      </c>
      <c r="D20" s="13" t="inlineStr">
        <is>
          <t>管理費收入 109第四季</t>
        </is>
      </c>
      <c r="E20" s="104" t="n">
        <v>4350</v>
      </c>
      <c r="F20" s="108" t="inlineStr">
        <is>
          <t>管理費收入</t>
        </is>
      </c>
    </row>
    <row r="21" ht="16.5" customHeight="1" s="84">
      <c r="A21" s="7" t="inlineStr">
        <is>
          <t>2021-02</t>
        </is>
      </c>
      <c r="B21" s="13" t="inlineStr">
        <is>
          <t>管理費收入</t>
        </is>
      </c>
      <c r="C21" s="7" t="inlineStr">
        <is>
          <t>110第一季</t>
        </is>
      </c>
      <c r="D21" s="13" t="inlineStr">
        <is>
          <t>管理費收入 110第一季</t>
        </is>
      </c>
      <c r="E21" s="104" t="n">
        <v>862002</v>
      </c>
      <c r="F21" s="108" t="inlineStr">
        <is>
          <t>管理費收入</t>
        </is>
      </c>
    </row>
    <row r="22" ht="16.5" customHeight="1" s="84">
      <c r="A22" s="7" t="inlineStr">
        <is>
          <t>2021-02</t>
        </is>
      </c>
      <c r="B22" s="13" t="inlineStr">
        <is>
          <t>管理費收入</t>
        </is>
      </c>
      <c r="C22" s="7" t="inlineStr">
        <is>
          <t>110第二季</t>
        </is>
      </c>
      <c r="D22" s="13" t="inlineStr">
        <is>
          <t>管理費收入 110第二季</t>
        </is>
      </c>
      <c r="E22" s="104" t="n">
        <v>7812</v>
      </c>
      <c r="F22" s="108" t="inlineStr">
        <is>
          <t>管理費收入</t>
        </is>
      </c>
    </row>
    <row r="23" ht="15" customHeight="1" s="84">
      <c r="A23" s="7" t="inlineStr">
        <is>
          <t>2021-02</t>
        </is>
      </c>
      <c r="B23" s="13" t="inlineStr">
        <is>
          <t>公設收入</t>
        </is>
      </c>
      <c r="C23" s="7" t="n"/>
      <c r="D23" s="13" t="inlineStr">
        <is>
          <t>公設收入</t>
        </is>
      </c>
      <c r="E23" s="104" t="n">
        <v>6320</v>
      </c>
      <c r="F23" s="108" t="inlineStr">
        <is>
          <t>公設收入</t>
        </is>
      </c>
    </row>
    <row r="24" ht="15" customHeight="1" s="84">
      <c r="A24" s="7" t="inlineStr">
        <is>
          <t>2021-02</t>
        </is>
      </c>
      <c r="B24" s="13" t="inlineStr">
        <is>
          <t>管委會出席費回存</t>
        </is>
      </c>
      <c r="C24" s="7" t="n"/>
      <c r="D24" s="13" t="inlineStr">
        <is>
          <t>管委會出席費回存</t>
        </is>
      </c>
      <c r="E24" s="104" t="n">
        <v>3000</v>
      </c>
      <c r="F24" s="108" t="inlineStr">
        <is>
          <t>出席費回存</t>
        </is>
      </c>
    </row>
    <row r="25" ht="15" customHeight="1" s="84">
      <c r="A25" s="7" t="inlineStr">
        <is>
          <t>2021-03</t>
        </is>
      </c>
      <c r="B25" s="13" t="inlineStr">
        <is>
          <t>元大活期利息</t>
        </is>
      </c>
      <c r="C25" s="7" t="n"/>
      <c r="D25" s="13" t="inlineStr">
        <is>
          <t>元大活期利息</t>
        </is>
      </c>
      <c r="E25" s="104" t="n">
        <v>0</v>
      </c>
      <c r="F25" s="108" t="inlineStr">
        <is>
          <t>利息收入</t>
        </is>
      </c>
    </row>
    <row r="26" ht="16.5" customHeight="1" s="84">
      <c r="A26" s="7" t="inlineStr">
        <is>
          <t>2021-03</t>
        </is>
      </c>
      <c r="B26" s="13" t="inlineStr">
        <is>
          <t>元大定存利息</t>
        </is>
      </c>
      <c r="C26" s="7" t="inlineStr">
        <is>
          <t>683000006773</t>
        </is>
      </c>
      <c r="D26" s="13" t="inlineStr">
        <is>
          <t>元大定存利息 683000006773</t>
        </is>
      </c>
      <c r="E26" s="104" t="n">
        <v>376</v>
      </c>
      <c r="F26" s="108" t="inlineStr">
        <is>
          <t>利息收入</t>
        </is>
      </c>
    </row>
    <row r="27" ht="16.5" customHeight="1" s="84">
      <c r="A27" s="7" t="inlineStr">
        <is>
          <t>2021-03</t>
        </is>
      </c>
      <c r="B27" s="13" t="inlineStr">
        <is>
          <t>元大定存利息</t>
        </is>
      </c>
      <c r="C27" s="7" t="inlineStr">
        <is>
          <t>683000014551</t>
        </is>
      </c>
      <c r="D27" s="13" t="inlineStr">
        <is>
          <t>元大定存利息 683000014551</t>
        </is>
      </c>
      <c r="E27" s="104" t="n">
        <v>284</v>
      </c>
      <c r="F27" s="108" t="inlineStr">
        <is>
          <t>利息收入</t>
        </is>
      </c>
    </row>
    <row r="28" ht="16.5" customHeight="1" s="84">
      <c r="A28" s="7" t="inlineStr">
        <is>
          <t>2021-03</t>
        </is>
      </c>
      <c r="B28" s="13" t="inlineStr">
        <is>
          <t>元大定存利息</t>
        </is>
      </c>
      <c r="C28" s="7" t="inlineStr">
        <is>
          <t>683000006745</t>
        </is>
      </c>
      <c r="D28" s="13" t="inlineStr">
        <is>
          <t>元大定存利息 683000006745</t>
        </is>
      </c>
      <c r="E28" s="104" t="n">
        <v>376</v>
      </c>
      <c r="F28" s="108" t="inlineStr">
        <is>
          <t>利息收入</t>
        </is>
      </c>
    </row>
    <row r="29" ht="16.5" customHeight="1" s="84">
      <c r="A29" s="7" t="inlineStr">
        <is>
          <t>2021-03</t>
        </is>
      </c>
      <c r="B29" s="13" t="inlineStr">
        <is>
          <t>元大定存利息</t>
        </is>
      </c>
      <c r="C29" s="7" t="inlineStr">
        <is>
          <t>683000013365</t>
        </is>
      </c>
      <c r="D29" s="13" t="inlineStr">
        <is>
          <t>元大定存利息 683000013365</t>
        </is>
      </c>
      <c r="E29" s="104" t="n">
        <v>591</v>
      </c>
      <c r="F29" s="108" t="inlineStr">
        <is>
          <t>利息收入</t>
        </is>
      </c>
    </row>
    <row r="30" ht="16.5" customHeight="1" s="84">
      <c r="A30" s="7" t="inlineStr">
        <is>
          <t>2021-03</t>
        </is>
      </c>
      <c r="B30" s="13" t="inlineStr">
        <is>
          <t>元大定存利息</t>
        </is>
      </c>
      <c r="C30" s="7" t="inlineStr">
        <is>
          <t>683000016001</t>
        </is>
      </c>
      <c r="D30" s="13" t="inlineStr">
        <is>
          <t>元大定存利息 683000016001</t>
        </is>
      </c>
      <c r="E30" s="104" t="n">
        <v>1308</v>
      </c>
      <c r="F30" s="108" t="inlineStr">
        <is>
          <t>利息收入</t>
        </is>
      </c>
    </row>
    <row r="31" ht="16.5" customHeight="1" s="84">
      <c r="A31" s="7" t="inlineStr">
        <is>
          <t>2021-03</t>
        </is>
      </c>
      <c r="B31" s="13" t="inlineStr">
        <is>
          <t>元大定存利息</t>
        </is>
      </c>
      <c r="C31" s="7" t="inlineStr">
        <is>
          <t>683000016001</t>
        </is>
      </c>
      <c r="D31" s="13" t="inlineStr">
        <is>
          <t>元大定存利息 683000016001</t>
        </is>
      </c>
      <c r="E31" s="104" t="n">
        <v>1181</v>
      </c>
      <c r="F31" s="108" t="inlineStr">
        <is>
          <t>利息收入</t>
        </is>
      </c>
    </row>
    <row r="32" ht="16.5" customHeight="1" s="84">
      <c r="A32" s="7" t="inlineStr">
        <is>
          <t>2021-03</t>
        </is>
      </c>
      <c r="B32" s="13" t="inlineStr">
        <is>
          <t>管理費收入</t>
        </is>
      </c>
      <c r="C32" s="7" t="inlineStr">
        <is>
          <t>110年度Q1</t>
        </is>
      </c>
      <c r="D32" s="13" t="inlineStr">
        <is>
          <t>管理費收入 110年度Q1</t>
        </is>
      </c>
      <c r="E32" s="104" t="n">
        <v>28632</v>
      </c>
      <c r="F32" s="108" t="inlineStr">
        <is>
          <t>管理費收入</t>
        </is>
      </c>
    </row>
    <row r="33" ht="16.5" customHeight="1" s="84">
      <c r="A33" s="7" t="inlineStr">
        <is>
          <t>2021-03</t>
        </is>
      </c>
      <c r="B33" s="13" t="inlineStr">
        <is>
          <t>管理費收入</t>
        </is>
      </c>
      <c r="C33" s="7" t="inlineStr">
        <is>
          <t>110年度Q2</t>
        </is>
      </c>
      <c r="D33" s="13" t="inlineStr">
        <is>
          <t>管理費收入 110年度Q2</t>
        </is>
      </c>
      <c r="E33" s="104" t="n">
        <v>40056</v>
      </c>
      <c r="F33" s="108" t="inlineStr">
        <is>
          <t>管理費收入</t>
        </is>
      </c>
    </row>
    <row r="34" ht="15" customHeight="1" s="84">
      <c r="A34" s="7" t="inlineStr">
        <is>
          <t>2021-03</t>
        </is>
      </c>
      <c r="B34" s="13" t="inlineStr">
        <is>
          <t>公設收入</t>
        </is>
      </c>
      <c r="C34" s="7" t="n"/>
      <c r="D34" s="13" t="inlineStr">
        <is>
          <t>公設收入</t>
        </is>
      </c>
      <c r="E34" s="104" t="n">
        <v>11345</v>
      </c>
      <c r="F34" s="108" t="inlineStr">
        <is>
          <t>公設收入</t>
        </is>
      </c>
    </row>
    <row r="35" ht="15" customHeight="1" s="84">
      <c r="A35" s="7" t="inlineStr">
        <is>
          <t>2021-03</t>
        </is>
      </c>
      <c r="B35" s="13" t="inlineStr">
        <is>
          <t>管委會出席費回存</t>
        </is>
      </c>
      <c r="C35" s="7" t="n"/>
      <c r="D35" s="13" t="inlineStr">
        <is>
          <t>管委會出席費回存</t>
        </is>
      </c>
      <c r="E35" s="104" t="n">
        <v>4000</v>
      </c>
      <c r="F35" s="108" t="inlineStr">
        <is>
          <t>出席費回存</t>
        </is>
      </c>
    </row>
    <row r="36" ht="15" customHeight="1" s="84">
      <c r="A36" s="15" t="inlineStr">
        <is>
          <t>2021-03</t>
        </is>
      </c>
      <c r="B36" s="16" t="inlineStr">
        <is>
          <t>金創舊衣回收回饋金</t>
        </is>
      </c>
      <c r="C36" s="15" t="n"/>
      <c r="D36" s="16" t="inlineStr">
        <is>
          <t>金創舊衣回收回饋金</t>
        </is>
      </c>
      <c r="E36" s="109" t="n">
        <v>10000</v>
      </c>
      <c r="F36" s="110" t="inlineStr">
        <is>
          <t>其他收入</t>
        </is>
      </c>
    </row>
    <row r="37" ht="15" customHeight="1" s="84">
      <c r="A37" s="7" t="inlineStr">
        <is>
          <t>2021-04</t>
        </is>
      </c>
      <c r="B37" s="13" t="inlineStr">
        <is>
          <t>元大活期利息</t>
        </is>
      </c>
      <c r="C37" s="7" t="n"/>
      <c r="D37" s="13" t="inlineStr">
        <is>
          <t>元大活期利息</t>
        </is>
      </c>
      <c r="E37" s="104" t="n">
        <v>0</v>
      </c>
      <c r="F37" s="108" t="inlineStr">
        <is>
          <t>利息收入</t>
        </is>
      </c>
    </row>
    <row r="38" ht="16.5" customHeight="1" s="84">
      <c r="A38" s="7" t="inlineStr">
        <is>
          <t>2021-04</t>
        </is>
      </c>
      <c r="B38" s="13" t="inlineStr">
        <is>
          <t>元大定存利息</t>
        </is>
      </c>
      <c r="C38" s="7" t="inlineStr">
        <is>
          <t>683000006773</t>
        </is>
      </c>
      <c r="D38" s="13" t="inlineStr">
        <is>
          <t>元大定存利息 683000006773</t>
        </is>
      </c>
      <c r="E38" s="104" t="n">
        <v>416</v>
      </c>
      <c r="F38" s="108" t="inlineStr">
        <is>
          <t>利息收入</t>
        </is>
      </c>
    </row>
    <row r="39" ht="16.5" customHeight="1" s="84">
      <c r="A39" s="7" t="inlineStr">
        <is>
          <t>2021-04</t>
        </is>
      </c>
      <c r="B39" s="13" t="inlineStr">
        <is>
          <t>元大定存利息</t>
        </is>
      </c>
      <c r="C39" s="7" t="inlineStr">
        <is>
          <t>683000014551</t>
        </is>
      </c>
      <c r="D39" s="13" t="inlineStr">
        <is>
          <t>元大定存利息 683000014551</t>
        </is>
      </c>
      <c r="E39" s="104" t="n">
        <v>314</v>
      </c>
      <c r="F39" s="108" t="inlineStr">
        <is>
          <t>利息收入</t>
        </is>
      </c>
    </row>
    <row r="40" ht="16.5" customHeight="1" s="84">
      <c r="A40" s="7" t="inlineStr">
        <is>
          <t>2021-04</t>
        </is>
      </c>
      <c r="B40" s="13" t="inlineStr">
        <is>
          <t>元大定存利息</t>
        </is>
      </c>
      <c r="C40" s="7" t="inlineStr">
        <is>
          <t>683000006745</t>
        </is>
      </c>
      <c r="D40" s="13" t="inlineStr">
        <is>
          <t>元大定存利息 683000006745</t>
        </is>
      </c>
      <c r="E40" s="104" t="n">
        <v>416</v>
      </c>
      <c r="F40" s="108" t="inlineStr">
        <is>
          <t>利息收入</t>
        </is>
      </c>
    </row>
    <row r="41" ht="16.5" customHeight="1" s="84">
      <c r="A41" s="7" t="inlineStr">
        <is>
          <t>2021-04</t>
        </is>
      </c>
      <c r="B41" s="13" t="inlineStr">
        <is>
          <t>元大定存利息</t>
        </is>
      </c>
      <c r="C41" s="7" t="inlineStr">
        <is>
          <t>683000013365</t>
        </is>
      </c>
      <c r="D41" s="13" t="inlineStr">
        <is>
          <t>元大定存利息 683000013365</t>
        </is>
      </c>
      <c r="E41" s="104" t="n">
        <v>654</v>
      </c>
      <c r="F41" s="108" t="inlineStr">
        <is>
          <t>利息收入</t>
        </is>
      </c>
    </row>
    <row r="42" ht="16.5" customHeight="1" s="84">
      <c r="A42" s="7" t="inlineStr">
        <is>
          <t>2021-04</t>
        </is>
      </c>
      <c r="B42" s="13" t="inlineStr">
        <is>
          <t>元大定存利息</t>
        </is>
      </c>
      <c r="C42" s="7" t="inlineStr">
        <is>
          <t>683000016001</t>
        </is>
      </c>
      <c r="D42" s="13" t="inlineStr">
        <is>
          <t>元大定存利息 683000016001</t>
        </is>
      </c>
      <c r="E42" s="104" t="n">
        <v>1308</v>
      </c>
      <c r="F42" s="108" t="inlineStr">
        <is>
          <t>利息收入</t>
        </is>
      </c>
    </row>
    <row r="43" ht="16.5" customHeight="1" s="84">
      <c r="A43" s="7" t="inlineStr">
        <is>
          <t>2021-04</t>
        </is>
      </c>
      <c r="B43" s="13" t="inlineStr">
        <is>
          <t>管理費收入</t>
        </is>
      </c>
      <c r="C43" s="7" t="inlineStr">
        <is>
          <t>110年度Q1</t>
        </is>
      </c>
      <c r="D43" s="13" t="inlineStr">
        <is>
          <t>管理費收入 110年度Q1</t>
        </is>
      </c>
      <c r="E43" s="104" t="n">
        <v>0</v>
      </c>
      <c r="F43" s="108" t="inlineStr">
        <is>
          <t>管理費收入</t>
        </is>
      </c>
    </row>
    <row r="44" ht="16.5" customHeight="1" s="84">
      <c r="A44" s="7" t="inlineStr">
        <is>
          <t>2021-04</t>
        </is>
      </c>
      <c r="B44" s="13" t="inlineStr">
        <is>
          <t>管理費收入</t>
        </is>
      </c>
      <c r="C44" s="7" t="inlineStr">
        <is>
          <t>110年度Q2</t>
        </is>
      </c>
      <c r="D44" s="13" t="inlineStr">
        <is>
          <t>管理費收入 110年度Q2</t>
        </is>
      </c>
      <c r="E44" s="104" t="n">
        <v>2301010</v>
      </c>
      <c r="F44" s="108" t="inlineStr">
        <is>
          <t>管理費收入</t>
        </is>
      </c>
    </row>
    <row r="45" ht="15" customHeight="1" s="84">
      <c r="A45" s="7" t="inlineStr">
        <is>
          <t>2021-04</t>
        </is>
      </c>
      <c r="B45" s="13" t="inlineStr">
        <is>
          <t>公設收入</t>
        </is>
      </c>
      <c r="C45" s="7" t="n"/>
      <c r="D45" s="13" t="inlineStr">
        <is>
          <t>公設收入</t>
        </is>
      </c>
      <c r="E45" s="104" t="n">
        <v>8140</v>
      </c>
      <c r="F45" s="108" t="inlineStr">
        <is>
          <t>公設收入</t>
        </is>
      </c>
    </row>
    <row r="46" ht="15" customHeight="1" s="84">
      <c r="A46" s="7" t="inlineStr">
        <is>
          <t>2021-04</t>
        </is>
      </c>
      <c r="B46" s="13" t="inlineStr">
        <is>
          <t>管委會出席費回存</t>
        </is>
      </c>
      <c r="C46" s="7" t="n"/>
      <c r="D46" s="13" t="inlineStr">
        <is>
          <t>管委會出席費回存</t>
        </is>
      </c>
      <c r="E46" s="104" t="n">
        <v>3000</v>
      </c>
      <c r="F46" s="108" t="inlineStr">
        <is>
          <t>出席費回存</t>
        </is>
      </c>
    </row>
    <row r="47" ht="15" customHeight="1" s="84">
      <c r="A47" s="7" t="inlineStr">
        <is>
          <t>2021-05</t>
        </is>
      </c>
      <c r="B47" s="13" t="inlineStr">
        <is>
          <t>元大活期利息</t>
        </is>
      </c>
      <c r="C47" s="7" t="n"/>
      <c r="D47" s="13" t="inlineStr">
        <is>
          <t>元大活期利息</t>
        </is>
      </c>
      <c r="E47" s="104" t="n">
        <v>0</v>
      </c>
      <c r="F47" s="108" t="inlineStr">
        <is>
          <t>利息收入</t>
        </is>
      </c>
    </row>
    <row r="48" ht="16.5" customHeight="1" s="84">
      <c r="A48" s="7" t="inlineStr">
        <is>
          <t>2021-05</t>
        </is>
      </c>
      <c r="B48" s="13" t="inlineStr">
        <is>
          <t>元大定存利息</t>
        </is>
      </c>
      <c r="C48" s="7" t="inlineStr">
        <is>
          <t>683000006773</t>
        </is>
      </c>
      <c r="D48" s="13" t="inlineStr">
        <is>
          <t>元大定存利息 683000006773</t>
        </is>
      </c>
      <c r="E48" s="104" t="n">
        <v>403</v>
      </c>
      <c r="F48" s="108" t="inlineStr">
        <is>
          <t>利息收入</t>
        </is>
      </c>
    </row>
    <row r="49" ht="16.5" customHeight="1" s="84">
      <c r="A49" s="7" t="inlineStr">
        <is>
          <t>2021-05</t>
        </is>
      </c>
      <c r="B49" s="13" t="inlineStr">
        <is>
          <t>元大定存利息</t>
        </is>
      </c>
      <c r="C49" s="7" t="inlineStr">
        <is>
          <t>683000014551</t>
        </is>
      </c>
      <c r="D49" s="13" t="inlineStr">
        <is>
          <t>元大定存利息 683000014551</t>
        </is>
      </c>
      <c r="E49" s="104" t="n">
        <v>304</v>
      </c>
      <c r="F49" s="108" t="inlineStr">
        <is>
          <t>利息收入</t>
        </is>
      </c>
    </row>
    <row r="50" ht="16.5" customHeight="1" s="84">
      <c r="A50" s="7" t="inlineStr">
        <is>
          <t>2021-05</t>
        </is>
      </c>
      <c r="B50" s="13" t="inlineStr">
        <is>
          <t>元大定存利息</t>
        </is>
      </c>
      <c r="C50" s="7" t="inlineStr">
        <is>
          <t>683000006745</t>
        </is>
      </c>
      <c r="D50" s="13" t="inlineStr">
        <is>
          <t>元大定存利息 683000006745</t>
        </is>
      </c>
      <c r="E50" s="104" t="n">
        <v>403</v>
      </c>
      <c r="F50" s="108" t="inlineStr">
        <is>
          <t>利息收入</t>
        </is>
      </c>
    </row>
    <row r="51" ht="16.5" customHeight="1" s="84">
      <c r="A51" s="7" t="inlineStr">
        <is>
          <t>2021-05</t>
        </is>
      </c>
      <c r="B51" s="13" t="inlineStr">
        <is>
          <t>元大定存利息</t>
        </is>
      </c>
      <c r="C51" s="7" t="inlineStr">
        <is>
          <t>683000013365</t>
        </is>
      </c>
      <c r="D51" s="13" t="inlineStr">
        <is>
          <t>元大定存利息 683000013365</t>
        </is>
      </c>
      <c r="E51" s="104" t="n">
        <v>633</v>
      </c>
      <c r="F51" s="108" t="inlineStr">
        <is>
          <t>利息收入</t>
        </is>
      </c>
    </row>
    <row r="52" ht="16.5" customHeight="1" s="84">
      <c r="A52" s="7" t="inlineStr">
        <is>
          <t>2021-05</t>
        </is>
      </c>
      <c r="B52" s="13" t="inlineStr">
        <is>
          <t>元大定存利息</t>
        </is>
      </c>
      <c r="C52" s="7" t="inlineStr">
        <is>
          <t>683000016001</t>
        </is>
      </c>
      <c r="D52" s="13" t="inlineStr">
        <is>
          <t>元大定存利息 683000016001</t>
        </is>
      </c>
      <c r="E52" s="104" t="n">
        <v>1266</v>
      </c>
      <c r="F52" s="108" t="inlineStr">
        <is>
          <t>利息收入</t>
        </is>
      </c>
    </row>
    <row r="53" ht="16.5" customHeight="1" s="84">
      <c r="A53" s="7" t="inlineStr">
        <is>
          <t>2021-05</t>
        </is>
      </c>
      <c r="B53" s="13" t="inlineStr">
        <is>
          <t>管理費收入</t>
        </is>
      </c>
      <c r="C53" s="7" t="inlineStr">
        <is>
          <t>110年度Q1</t>
        </is>
      </c>
      <c r="D53" s="13" t="inlineStr">
        <is>
          <t>管理費收入 110年度Q1</t>
        </is>
      </c>
      <c r="E53" s="104" t="n">
        <v>6594</v>
      </c>
      <c r="F53" s="108" t="inlineStr">
        <is>
          <t>管理費收入</t>
        </is>
      </c>
    </row>
    <row r="54" ht="16.5" customHeight="1" s="84">
      <c r="A54" s="7" t="inlineStr">
        <is>
          <t>2021-05</t>
        </is>
      </c>
      <c r="B54" s="13" t="inlineStr">
        <is>
          <t>管理費收入</t>
        </is>
      </c>
      <c r="C54" s="7" t="inlineStr">
        <is>
          <t>110年度Q2</t>
        </is>
      </c>
      <c r="D54" s="13" t="inlineStr">
        <is>
          <t>管理費收入 110年度Q2</t>
        </is>
      </c>
      <c r="E54" s="104" t="n">
        <v>491571</v>
      </c>
      <c r="F54" s="108" t="inlineStr">
        <is>
          <t>管理費收入</t>
        </is>
      </c>
    </row>
    <row r="55" ht="15" customHeight="1" s="84">
      <c r="A55" s="7" t="inlineStr">
        <is>
          <t>2021-05</t>
        </is>
      </c>
      <c r="B55" s="13" t="inlineStr">
        <is>
          <t>公設收入</t>
        </is>
      </c>
      <c r="C55" s="7" t="n"/>
      <c r="D55" s="13" t="inlineStr">
        <is>
          <t>公設收入</t>
        </is>
      </c>
      <c r="E55" s="104" t="n">
        <v>4375</v>
      </c>
      <c r="F55" s="108" t="inlineStr">
        <is>
          <t>公設收入</t>
        </is>
      </c>
    </row>
    <row r="56" ht="15" customHeight="1" s="84">
      <c r="A56" s="7" t="inlineStr">
        <is>
          <t>2021-05</t>
        </is>
      </c>
      <c r="B56" s="13" t="inlineStr">
        <is>
          <t>管委會出席費回存</t>
        </is>
      </c>
      <c r="C56" s="7" t="n"/>
      <c r="D56" s="13" t="inlineStr">
        <is>
          <t>管委會出席費回存</t>
        </is>
      </c>
      <c r="E56" s="104" t="n">
        <v>2000</v>
      </c>
      <c r="F56" s="108" t="inlineStr">
        <is>
          <t>出席費回存</t>
        </is>
      </c>
    </row>
    <row r="57" ht="15" customHeight="1" s="84">
      <c r="A57" s="7" t="inlineStr">
        <is>
          <t>2021-06</t>
        </is>
      </c>
      <c r="B57" s="13" t="inlineStr">
        <is>
          <t>元大活期利息</t>
        </is>
      </c>
      <c r="C57" s="7" t="n"/>
      <c r="D57" s="13" t="inlineStr">
        <is>
          <t>元大活期利息</t>
        </is>
      </c>
      <c r="E57" s="104" t="n">
        <v>4493</v>
      </c>
      <c r="F57" s="108" t="inlineStr">
        <is>
          <t>利息收入</t>
        </is>
      </c>
    </row>
    <row r="58" ht="16.5" customHeight="1" s="84">
      <c r="A58" s="7" t="inlineStr">
        <is>
          <t>2021-06</t>
        </is>
      </c>
      <c r="B58" s="13" t="inlineStr">
        <is>
          <t>元大定存利息</t>
        </is>
      </c>
      <c r="C58" s="7" t="inlineStr">
        <is>
          <t>683000006773</t>
        </is>
      </c>
      <c r="D58" s="13" t="inlineStr">
        <is>
          <t>元大定存利息 683000006773</t>
        </is>
      </c>
      <c r="E58" s="104" t="n">
        <v>416</v>
      </c>
      <c r="F58" s="108" t="inlineStr">
        <is>
          <t>利息收入</t>
        </is>
      </c>
    </row>
    <row r="59" ht="16.5" customHeight="1" s="84">
      <c r="A59" s="7" t="inlineStr">
        <is>
          <t>2021-06</t>
        </is>
      </c>
      <c r="B59" s="13" t="inlineStr">
        <is>
          <t>元大定存利息</t>
        </is>
      </c>
      <c r="C59" s="7" t="inlineStr">
        <is>
          <t>683000014551</t>
        </is>
      </c>
      <c r="D59" s="13" t="inlineStr">
        <is>
          <t>元大定存利息 683000014551</t>
        </is>
      </c>
      <c r="E59" s="104" t="n">
        <v>314</v>
      </c>
      <c r="F59" s="108" t="inlineStr">
        <is>
          <t>利息收入</t>
        </is>
      </c>
    </row>
    <row r="60" ht="16.5" customHeight="1" s="84">
      <c r="A60" s="7" t="inlineStr">
        <is>
          <t>2021-06</t>
        </is>
      </c>
      <c r="B60" s="13" t="inlineStr">
        <is>
          <t>元大定存利息</t>
        </is>
      </c>
      <c r="C60" s="7" t="inlineStr">
        <is>
          <t>683000006745</t>
        </is>
      </c>
      <c r="D60" s="13" t="inlineStr">
        <is>
          <t>元大定存利息 683000006745</t>
        </is>
      </c>
      <c r="E60" s="104" t="n">
        <v>416</v>
      </c>
      <c r="F60" s="108" t="inlineStr">
        <is>
          <t>利息收入</t>
        </is>
      </c>
    </row>
    <row r="61" ht="16.5" customHeight="1" s="84">
      <c r="A61" s="7" t="inlineStr">
        <is>
          <t>2021-06</t>
        </is>
      </c>
      <c r="B61" s="13" t="inlineStr">
        <is>
          <t>元大定存利息</t>
        </is>
      </c>
      <c r="C61" s="7" t="inlineStr">
        <is>
          <t>683000013365</t>
        </is>
      </c>
      <c r="D61" s="13" t="inlineStr">
        <is>
          <t>元大定存利息 683000013365</t>
        </is>
      </c>
      <c r="E61" s="104" t="n">
        <v>654</v>
      </c>
      <c r="F61" s="108" t="inlineStr">
        <is>
          <t>利息收入</t>
        </is>
      </c>
    </row>
    <row r="62" ht="16.5" customHeight="1" s="84">
      <c r="A62" s="7" t="inlineStr">
        <is>
          <t>2021-06</t>
        </is>
      </c>
      <c r="B62" s="13" t="inlineStr">
        <is>
          <t>元大定存利息</t>
        </is>
      </c>
      <c r="C62" s="7" t="inlineStr">
        <is>
          <t>683000016001</t>
        </is>
      </c>
      <c r="D62" s="13" t="inlineStr">
        <is>
          <t>元大定存利息 683000016001</t>
        </is>
      </c>
      <c r="E62" s="104" t="n">
        <v>1308</v>
      </c>
      <c r="F62" s="108" t="inlineStr">
        <is>
          <t>利息收入</t>
        </is>
      </c>
    </row>
    <row r="63" ht="16.5" customHeight="1" s="84">
      <c r="A63" s="7" t="inlineStr">
        <is>
          <t>2021-06</t>
        </is>
      </c>
      <c r="B63" s="13" t="inlineStr">
        <is>
          <t>管理費收入</t>
        </is>
      </c>
      <c r="C63" s="7" t="inlineStr">
        <is>
          <t>110年度Q1(N5)</t>
        </is>
      </c>
      <c r="D63" s="13" t="inlineStr">
        <is>
          <t>管理費收入 110年度Q1(N5)</t>
        </is>
      </c>
      <c r="E63" s="104" t="n">
        <v>8733</v>
      </c>
      <c r="F63" s="108" t="inlineStr">
        <is>
          <t>管理費收入</t>
        </is>
      </c>
    </row>
    <row r="64" ht="16.5" customHeight="1" s="84">
      <c r="A64" s="7" t="inlineStr">
        <is>
          <t>2021-06</t>
        </is>
      </c>
      <c r="B64" s="13" t="inlineStr">
        <is>
          <t>管理費收入</t>
        </is>
      </c>
      <c r="C64" s="7" t="inlineStr">
        <is>
          <t>110年度Q2</t>
        </is>
      </c>
      <c r="D64" s="13" t="inlineStr">
        <is>
          <t>管理費收入 110年度Q2</t>
        </is>
      </c>
      <c r="E64" s="104" t="n">
        <v>93930</v>
      </c>
      <c r="F64" s="108" t="inlineStr">
        <is>
          <t>管理費收入</t>
        </is>
      </c>
    </row>
    <row r="65" ht="16.5" customHeight="1" s="84">
      <c r="A65" s="7" t="inlineStr">
        <is>
          <t>2021-06</t>
        </is>
      </c>
      <c r="B65" s="13" t="inlineStr">
        <is>
          <t>管理費收入</t>
        </is>
      </c>
      <c r="C65" s="7" t="inlineStr">
        <is>
          <t>110年度Q3(R22)</t>
        </is>
      </c>
      <c r="D65" s="13" t="inlineStr">
        <is>
          <t>管理費收入 110年度Q3(R22)</t>
        </is>
      </c>
      <c r="E65" s="104" t="n">
        <v>8997</v>
      </c>
      <c r="F65" s="108" t="inlineStr">
        <is>
          <t>管理費收入</t>
        </is>
      </c>
    </row>
    <row r="66" ht="15" customHeight="1" s="84">
      <c r="A66" s="7" t="inlineStr">
        <is>
          <t>2021-06</t>
        </is>
      </c>
      <c r="B66" s="13" t="inlineStr">
        <is>
          <t>公設收入</t>
        </is>
      </c>
      <c r="C66" s="7" t="n"/>
      <c r="D66" s="13" t="inlineStr">
        <is>
          <t>公設收入</t>
        </is>
      </c>
      <c r="E66" s="104" t="n">
        <v>750</v>
      </c>
      <c r="F66" s="108" t="inlineStr">
        <is>
          <t>公設收入</t>
        </is>
      </c>
    </row>
    <row r="67" ht="15" customHeight="1" s="84">
      <c r="A67" s="7" t="inlineStr">
        <is>
          <t>2021-06</t>
        </is>
      </c>
      <c r="B67" s="13" t="inlineStr">
        <is>
          <t>管委會出席費回存</t>
        </is>
      </c>
      <c r="C67" s="7" t="n"/>
      <c r="D67" s="13" t="inlineStr">
        <is>
          <t>管委會出席費回存</t>
        </is>
      </c>
      <c r="E67" s="104" t="n">
        <v>1500</v>
      </c>
      <c r="F67" s="108" t="inlineStr">
        <is>
          <t>出席費回存</t>
        </is>
      </c>
    </row>
    <row r="68" ht="15" customHeight="1" s="84">
      <c r="A68" s="7" t="inlineStr">
        <is>
          <t>2021-07</t>
        </is>
      </c>
      <c r="B68" s="13" t="inlineStr">
        <is>
          <t>元大活期利息</t>
        </is>
      </c>
      <c r="C68" s="7" t="n"/>
      <c r="D68" s="13" t="inlineStr">
        <is>
          <t>元大活期利息</t>
        </is>
      </c>
      <c r="E68" s="104" t="n">
        <v>0</v>
      </c>
      <c r="F68" s="108" t="inlineStr">
        <is>
          <t>利息收入</t>
        </is>
      </c>
    </row>
    <row r="69" ht="16.5" customHeight="1" s="84">
      <c r="A69" s="7" t="inlineStr">
        <is>
          <t>2021-07</t>
        </is>
      </c>
      <c r="B69" s="13" t="inlineStr">
        <is>
          <t>元大定存利息</t>
        </is>
      </c>
      <c r="C69" s="7" t="inlineStr">
        <is>
          <t>683000006773</t>
        </is>
      </c>
      <c r="D69" s="13" t="inlineStr">
        <is>
          <t>元大定存利息 683000006773</t>
        </is>
      </c>
      <c r="E69" s="104" t="n">
        <v>403</v>
      </c>
      <c r="F69" s="108" t="inlineStr">
        <is>
          <t>利息收入</t>
        </is>
      </c>
    </row>
    <row r="70" ht="16.5" customHeight="1" s="84">
      <c r="A70" s="7" t="inlineStr">
        <is>
          <t>2021-07</t>
        </is>
      </c>
      <c r="B70" s="13" t="inlineStr">
        <is>
          <t>元大定存利息</t>
        </is>
      </c>
      <c r="C70" s="7" t="inlineStr">
        <is>
          <t>683000014551</t>
        </is>
      </c>
      <c r="D70" s="13" t="inlineStr">
        <is>
          <t>元大定存利息 683000014551</t>
        </is>
      </c>
      <c r="E70" s="104" t="n">
        <v>304</v>
      </c>
      <c r="F70" s="108" t="inlineStr">
        <is>
          <t>利息收入</t>
        </is>
      </c>
    </row>
    <row r="71" ht="16.5" customHeight="1" s="84">
      <c r="A71" s="7" t="inlineStr">
        <is>
          <t>2021-07</t>
        </is>
      </c>
      <c r="B71" s="13" t="inlineStr">
        <is>
          <t>元大定存利息</t>
        </is>
      </c>
      <c r="C71" s="7" t="inlineStr">
        <is>
          <t>683000006745</t>
        </is>
      </c>
      <c r="D71" s="13" t="inlineStr">
        <is>
          <t>元大定存利息 683000006745</t>
        </is>
      </c>
      <c r="E71" s="104" t="n">
        <v>403</v>
      </c>
      <c r="F71" s="108" t="inlineStr">
        <is>
          <t>利息收入</t>
        </is>
      </c>
    </row>
    <row r="72" ht="16.5" customHeight="1" s="84">
      <c r="A72" s="7" t="inlineStr">
        <is>
          <t>2021-07</t>
        </is>
      </c>
      <c r="B72" s="13" t="inlineStr">
        <is>
          <t>元大定存利息</t>
        </is>
      </c>
      <c r="C72" s="7" t="inlineStr">
        <is>
          <t>683000013365</t>
        </is>
      </c>
      <c r="D72" s="13" t="inlineStr">
        <is>
          <t>元大定存利息 683000013365</t>
        </is>
      </c>
      <c r="E72" s="104" t="n">
        <v>633</v>
      </c>
      <c r="F72" s="108" t="inlineStr">
        <is>
          <t>利息收入</t>
        </is>
      </c>
    </row>
    <row r="73" ht="16.5" customHeight="1" s="84">
      <c r="A73" s="7" t="inlineStr">
        <is>
          <t>2021-07</t>
        </is>
      </c>
      <c r="B73" s="13" t="inlineStr">
        <is>
          <t>元大定存利息</t>
        </is>
      </c>
      <c r="C73" s="7" t="inlineStr">
        <is>
          <t>683000016001</t>
        </is>
      </c>
      <c r="D73" s="13" t="inlineStr">
        <is>
          <t>元大定存利息 683000016001</t>
        </is>
      </c>
      <c r="E73" s="104" t="n">
        <v>1266</v>
      </c>
      <c r="F73" s="108" t="inlineStr">
        <is>
          <t>利息收入</t>
        </is>
      </c>
    </row>
    <row r="74" ht="16.5" customHeight="1" s="84">
      <c r="A74" s="7" t="inlineStr">
        <is>
          <t>2021-07</t>
        </is>
      </c>
      <c r="B74" s="13" t="inlineStr">
        <is>
          <t>管理費收入</t>
        </is>
      </c>
      <c r="C74" s="7" t="inlineStr">
        <is>
          <t>110年度Q1 (E07、F20、S16)</t>
        </is>
      </c>
      <c r="D74" s="13" t="inlineStr">
        <is>
          <t>管理費收入 110年度Q1 (E07、F20、S16)</t>
        </is>
      </c>
      <c r="E74" s="104" t="n">
        <v>18363</v>
      </c>
      <c r="F74" s="108" t="inlineStr">
        <is>
          <t>管理費收入</t>
        </is>
      </c>
    </row>
    <row r="75" ht="16.5" customHeight="1" s="84">
      <c r="A75" s="7" t="inlineStr">
        <is>
          <t>2021-07</t>
        </is>
      </c>
      <c r="B75" s="13" t="inlineStr">
        <is>
          <t>管理費收入</t>
        </is>
      </c>
      <c r="C75" s="7" t="inlineStr">
        <is>
          <t>110年度Q2 (B18、E07、E21、F13、F20、G09、I11、J18、K08、L06、M17、N05、O22、R10、S16)</t>
        </is>
      </c>
      <c r="D75" s="13" t="inlineStr">
        <is>
          <t>管理費收入 110年度Q2 (B18、E07、E21、F13、F20、G09、I11、J18、K08、L06、M17、N05、O22、R10、S16)</t>
        </is>
      </c>
      <c r="E75" s="104" t="n">
        <v>106068</v>
      </c>
      <c r="F75" s="108" t="inlineStr">
        <is>
          <t>管理費收入</t>
        </is>
      </c>
    </row>
    <row r="76" ht="16.5" customHeight="1" s="84">
      <c r="A76" s="7" t="inlineStr">
        <is>
          <t>2021-07</t>
        </is>
      </c>
      <c r="B76" s="13" t="inlineStr">
        <is>
          <t>管理費收入</t>
        </is>
      </c>
      <c r="C76" s="7" t="inlineStr">
        <is>
          <t>110年度Q3</t>
        </is>
      </c>
      <c r="D76" s="13" t="inlineStr">
        <is>
          <t>管理費收入 110年度Q3</t>
        </is>
      </c>
      <c r="E76" s="104" t="n">
        <v>2448944</v>
      </c>
      <c r="F76" s="108" t="inlineStr">
        <is>
          <t>管理費收入</t>
        </is>
      </c>
    </row>
    <row r="77" ht="16.5" customHeight="1" s="84">
      <c r="A77" s="7" t="inlineStr">
        <is>
          <t>2021-07</t>
        </is>
      </c>
      <c r="B77" s="13" t="inlineStr">
        <is>
          <t>管理費收入</t>
        </is>
      </c>
      <c r="C77" s="7" t="inlineStr">
        <is>
          <t>110年度Q4(G09)</t>
        </is>
      </c>
      <c r="D77" s="13" t="inlineStr">
        <is>
          <t>管理費收入 110年度Q4(G09)</t>
        </is>
      </c>
      <c r="E77" s="104" t="n">
        <v>6450</v>
      </c>
      <c r="F77" s="108" t="inlineStr">
        <is>
          <t>管理費收入</t>
        </is>
      </c>
    </row>
    <row r="78" ht="16.5" customHeight="1" s="84">
      <c r="A78" s="7" t="inlineStr">
        <is>
          <t>2021-07</t>
        </is>
      </c>
      <c r="B78" s="13" t="inlineStr">
        <is>
          <t>管理費收入</t>
        </is>
      </c>
      <c r="C78" s="7" t="inlineStr">
        <is>
          <t>111年度Q1(G09)</t>
        </is>
      </c>
      <c r="D78" s="13" t="inlineStr">
        <is>
          <t>管理費收入 111年度Q1(G09)</t>
        </is>
      </c>
      <c r="E78" s="104" t="n">
        <v>6450</v>
      </c>
      <c r="F78" s="108" t="inlineStr">
        <is>
          <t>管理費收入</t>
        </is>
      </c>
    </row>
    <row r="79" ht="15" customHeight="1" s="84">
      <c r="A79" s="7" t="inlineStr">
        <is>
          <t>2021-07</t>
        </is>
      </c>
      <c r="B79" s="13" t="inlineStr">
        <is>
          <t>公設收入</t>
        </is>
      </c>
      <c r="C79" s="7" t="n"/>
      <c r="D79" s="13" t="inlineStr">
        <is>
          <t>公設收入</t>
        </is>
      </c>
      <c r="E79" s="104" t="n">
        <v>500</v>
      </c>
      <c r="F79" s="108" t="inlineStr">
        <is>
          <t>公設收入</t>
        </is>
      </c>
    </row>
    <row r="80" ht="15" customHeight="1" s="84">
      <c r="A80" s="7" t="inlineStr">
        <is>
          <t>2021-07</t>
        </is>
      </c>
      <c r="B80" s="13" t="inlineStr">
        <is>
          <t>管委會出席費回存</t>
        </is>
      </c>
      <c r="C80" s="7" t="n"/>
      <c r="D80" s="13" t="inlineStr">
        <is>
          <t>管委會出席費回存</t>
        </is>
      </c>
      <c r="E80" s="104" t="n">
        <v>500</v>
      </c>
      <c r="F80" s="108" t="inlineStr">
        <is>
          <t>出席費回存</t>
        </is>
      </c>
    </row>
    <row r="81" ht="16.5" customHeight="1" s="84">
      <c r="A81" s="15" t="inlineStr">
        <is>
          <t>2021-07</t>
        </is>
      </c>
      <c r="B81" s="16" t="inlineStr">
        <is>
          <t>郁緁廠商賠償6萬元分別 7/6 $20000元，7/29 $40000元</t>
        </is>
      </c>
      <c r="C81" s="15" t="n"/>
      <c r="D81" s="16" t="inlineStr">
        <is>
          <t>郁緁廠商賠償6萬元分別 7/6 $20000元，7/29 $40000元</t>
        </is>
      </c>
      <c r="E81" s="109" t="n">
        <v>60000</v>
      </c>
      <c r="F81" s="110" t="inlineStr">
        <is>
          <t>其他收入</t>
        </is>
      </c>
    </row>
    <row r="82" ht="15" customHeight="1" s="84">
      <c r="A82" s="7" t="inlineStr">
        <is>
          <t>2021-08</t>
        </is>
      </c>
      <c r="B82" s="13" t="inlineStr">
        <is>
          <t>元大活期利息</t>
        </is>
      </c>
      <c r="C82" s="7" t="n"/>
      <c r="D82" s="13" t="inlineStr">
        <is>
          <t>元大活期利息</t>
        </is>
      </c>
      <c r="E82" s="104" t="n">
        <v>0</v>
      </c>
      <c r="F82" s="108" t="inlineStr">
        <is>
          <t>利息收入</t>
        </is>
      </c>
    </row>
    <row r="83" ht="16.5" customHeight="1" s="84">
      <c r="A83" s="7" t="inlineStr">
        <is>
          <t>2021-08</t>
        </is>
      </c>
      <c r="B83" s="13" t="inlineStr">
        <is>
          <t>元大定存利息</t>
        </is>
      </c>
      <c r="C83" s="7" t="inlineStr">
        <is>
          <t>683000006773</t>
        </is>
      </c>
      <c r="D83" s="13" t="inlineStr">
        <is>
          <t>元大定存利息 683000006773</t>
        </is>
      </c>
      <c r="E83" s="104" t="n">
        <v>416</v>
      </c>
      <c r="F83" s="108" t="inlineStr">
        <is>
          <t>利息收入</t>
        </is>
      </c>
    </row>
    <row r="84" ht="16.5" customHeight="1" s="84">
      <c r="A84" s="7" t="inlineStr">
        <is>
          <t>2021-08</t>
        </is>
      </c>
      <c r="B84" s="13" t="inlineStr">
        <is>
          <t>元大定存利息</t>
        </is>
      </c>
      <c r="C84" s="7" t="inlineStr">
        <is>
          <t>683000014551</t>
        </is>
      </c>
      <c r="D84" s="13" t="inlineStr">
        <is>
          <t>元大定存利息 683000014551</t>
        </is>
      </c>
      <c r="E84" s="104" t="n">
        <v>314</v>
      </c>
      <c r="F84" s="108" t="inlineStr">
        <is>
          <t>利息收入</t>
        </is>
      </c>
    </row>
    <row r="85" ht="16.5" customHeight="1" s="84">
      <c r="A85" s="7" t="inlineStr">
        <is>
          <t>2021-08</t>
        </is>
      </c>
      <c r="B85" s="13" t="inlineStr">
        <is>
          <t>元大定存利息</t>
        </is>
      </c>
      <c r="C85" s="7" t="inlineStr">
        <is>
          <t>683000006745</t>
        </is>
      </c>
      <c r="D85" s="13" t="inlineStr">
        <is>
          <t>元大定存利息 683000006745</t>
        </is>
      </c>
      <c r="E85" s="104" t="n">
        <v>416</v>
      </c>
      <c r="F85" s="108" t="inlineStr">
        <is>
          <t>利息收入</t>
        </is>
      </c>
    </row>
    <row r="86" ht="16.5" customHeight="1" s="84">
      <c r="A86" s="7" t="inlineStr">
        <is>
          <t>2021-08</t>
        </is>
      </c>
      <c r="B86" s="13" t="inlineStr">
        <is>
          <t>元大定存利息</t>
        </is>
      </c>
      <c r="C86" s="7" t="inlineStr">
        <is>
          <t>683000013365</t>
        </is>
      </c>
      <c r="D86" s="13" t="inlineStr">
        <is>
          <t>元大定存利息 683000013365</t>
        </is>
      </c>
      <c r="E86" s="104" t="n">
        <v>654</v>
      </c>
      <c r="F86" s="108" t="inlineStr">
        <is>
          <t>利息收入</t>
        </is>
      </c>
    </row>
    <row r="87" ht="16.5" customHeight="1" s="84">
      <c r="A87" s="7" t="inlineStr">
        <is>
          <t>2021-08</t>
        </is>
      </c>
      <c r="B87" s="13" t="inlineStr">
        <is>
          <t>元大定存利息</t>
        </is>
      </c>
      <c r="C87" s="7" t="inlineStr">
        <is>
          <t>683000016001</t>
        </is>
      </c>
      <c r="D87" s="13" t="inlineStr">
        <is>
          <t>元大定存利息 683000016001</t>
        </is>
      </c>
      <c r="E87" s="104" t="n">
        <v>1308</v>
      </c>
      <c r="F87" s="108" t="inlineStr">
        <is>
          <t>利息收入</t>
        </is>
      </c>
    </row>
    <row r="88" ht="16.5" customHeight="1" s="84">
      <c r="A88" s="7" t="inlineStr">
        <is>
          <t>2021-08</t>
        </is>
      </c>
      <c r="B88" s="13" t="inlineStr">
        <is>
          <t>管理費收入</t>
        </is>
      </c>
      <c r="C88" s="7" t="inlineStr">
        <is>
          <t>110年度Q2(G10、J21、J22、Q4、R11)</t>
        </is>
      </c>
      <c r="D88" s="13" t="inlineStr">
        <is>
          <t>管理費收入 110年度Q2(G10、J21、J22、Q4、R11)</t>
        </is>
      </c>
      <c r="E88" s="104" t="n">
        <v>35868</v>
      </c>
      <c r="F88" s="108" t="inlineStr">
        <is>
          <t>管理費收入</t>
        </is>
      </c>
    </row>
    <row r="89" ht="16.5" customHeight="1" s="84">
      <c r="A89" s="7" t="inlineStr">
        <is>
          <t>2021-08</t>
        </is>
      </c>
      <c r="B89" s="13" t="inlineStr">
        <is>
          <t>管理費收入</t>
        </is>
      </c>
      <c r="C89" s="7" t="inlineStr">
        <is>
          <t>110年度Q3</t>
        </is>
      </c>
      <c r="D89" s="13" t="inlineStr">
        <is>
          <t>管理費收入 110年度Q3</t>
        </is>
      </c>
      <c r="E89" s="104" t="n">
        <v>466275</v>
      </c>
      <c r="F89" s="108" t="inlineStr">
        <is>
          <t>管理費收入</t>
        </is>
      </c>
    </row>
    <row r="90" ht="15" customHeight="1" s="84">
      <c r="A90" s="7" t="inlineStr">
        <is>
          <t>2021-08</t>
        </is>
      </c>
      <c r="B90" s="13" t="inlineStr">
        <is>
          <t>公設收入</t>
        </is>
      </c>
      <c r="C90" s="7" t="n"/>
      <c r="D90" s="13" t="inlineStr">
        <is>
          <t>公設收入</t>
        </is>
      </c>
      <c r="E90" s="104" t="n">
        <v>960</v>
      </c>
      <c r="F90" s="108" t="inlineStr">
        <is>
          <t>公設收入</t>
        </is>
      </c>
    </row>
    <row r="91" ht="15" customHeight="1" s="84">
      <c r="A91" s="7" t="inlineStr">
        <is>
          <t>2021-08</t>
        </is>
      </c>
      <c r="B91" s="13" t="inlineStr">
        <is>
          <t>管委會出席費回存</t>
        </is>
      </c>
      <c r="C91" s="7" t="n"/>
      <c r="D91" s="13" t="inlineStr">
        <is>
          <t>管委會出席費回存</t>
        </is>
      </c>
      <c r="E91" s="104" t="n">
        <v>1000</v>
      </c>
      <c r="F91" s="108" t="inlineStr">
        <is>
          <t>出席費回存</t>
        </is>
      </c>
    </row>
    <row r="92" ht="15" customHeight="1" s="84">
      <c r="A92" s="7" t="inlineStr">
        <is>
          <t>2021-09</t>
        </is>
      </c>
      <c r="B92" s="13" t="inlineStr">
        <is>
          <t>元大活期利息</t>
        </is>
      </c>
      <c r="C92" s="7" t="n"/>
      <c r="D92" s="13" t="inlineStr">
        <is>
          <t>元大活期利息</t>
        </is>
      </c>
      <c r="E92" s="104" t="n">
        <v>0</v>
      </c>
      <c r="F92" s="108" t="inlineStr">
        <is>
          <t>利息收入</t>
        </is>
      </c>
    </row>
    <row r="93" ht="16.5" customHeight="1" s="84">
      <c r="A93" s="7" t="inlineStr">
        <is>
          <t>2021-09</t>
        </is>
      </c>
      <c r="B93" s="13" t="inlineStr">
        <is>
          <t>元大定存利息</t>
        </is>
      </c>
      <c r="C93" s="7" t="inlineStr">
        <is>
          <t>683000006773</t>
        </is>
      </c>
      <c r="D93" s="13" t="inlineStr">
        <is>
          <t>元大定存利息 683000006773</t>
        </is>
      </c>
      <c r="E93" s="104" t="n">
        <v>416</v>
      </c>
      <c r="F93" s="108" t="inlineStr">
        <is>
          <t>利息收入</t>
        </is>
      </c>
    </row>
    <row r="94" ht="16.5" customHeight="1" s="84">
      <c r="A94" s="7" t="inlineStr">
        <is>
          <t>2021-09</t>
        </is>
      </c>
      <c r="B94" s="13" t="inlineStr">
        <is>
          <t>元大定存利息</t>
        </is>
      </c>
      <c r="C94" s="7" t="inlineStr">
        <is>
          <t>683000014551</t>
        </is>
      </c>
      <c r="D94" s="13" t="inlineStr">
        <is>
          <t>元大定存利息 683000014551</t>
        </is>
      </c>
      <c r="E94" s="104" t="n">
        <v>314</v>
      </c>
      <c r="F94" s="108" t="inlineStr">
        <is>
          <t>利息收入</t>
        </is>
      </c>
    </row>
    <row r="95" ht="16.5" customHeight="1" s="84">
      <c r="A95" s="7" t="inlineStr">
        <is>
          <t>2021-09</t>
        </is>
      </c>
      <c r="B95" s="13" t="inlineStr">
        <is>
          <t>元大定存利息</t>
        </is>
      </c>
      <c r="C95" s="7" t="inlineStr">
        <is>
          <t>683000006745</t>
        </is>
      </c>
      <c r="D95" s="13" t="inlineStr">
        <is>
          <t>元大定存利息 683000006745</t>
        </is>
      </c>
      <c r="E95" s="104" t="n">
        <v>416</v>
      </c>
      <c r="F95" s="108" t="inlineStr">
        <is>
          <t>利息收入</t>
        </is>
      </c>
    </row>
    <row r="96" ht="16.5" customHeight="1" s="84">
      <c r="A96" s="7" t="inlineStr">
        <is>
          <t>2021-09</t>
        </is>
      </c>
      <c r="B96" s="13" t="inlineStr">
        <is>
          <t>元大定存利息</t>
        </is>
      </c>
      <c r="C96" s="7" t="inlineStr">
        <is>
          <t>683000013365</t>
        </is>
      </c>
      <c r="D96" s="13" t="inlineStr">
        <is>
          <t>元大定存利息 683000013365</t>
        </is>
      </c>
      <c r="E96" s="104" t="n">
        <v>654</v>
      </c>
      <c r="F96" s="108" t="inlineStr">
        <is>
          <t>利息收入</t>
        </is>
      </c>
    </row>
    <row r="97" ht="16.5" customHeight="1" s="84">
      <c r="A97" s="7" t="inlineStr">
        <is>
          <t>2021-09</t>
        </is>
      </c>
      <c r="B97" s="13" t="inlineStr">
        <is>
          <t>元大定存利息</t>
        </is>
      </c>
      <c r="C97" s="7" t="inlineStr">
        <is>
          <t>683000016001</t>
        </is>
      </c>
      <c r="D97" s="13" t="inlineStr">
        <is>
          <t>元大定存利息 683000016001</t>
        </is>
      </c>
      <c r="E97" s="104" t="n">
        <v>1308</v>
      </c>
      <c r="F97" s="108" t="inlineStr">
        <is>
          <t>利息收入</t>
        </is>
      </c>
    </row>
    <row r="98" ht="16.5" customHeight="1" s="84">
      <c r="A98" s="7" t="inlineStr">
        <is>
          <t>2021-09</t>
        </is>
      </c>
      <c r="B98" s="13" t="inlineStr">
        <is>
          <t>管理費收入</t>
        </is>
      </c>
      <c r="C98" s="7" t="inlineStr">
        <is>
          <t>110年度Q2(C10)</t>
        </is>
      </c>
      <c r="D98" s="13" t="inlineStr">
        <is>
          <t>管理費收入 110年度Q2(C10)</t>
        </is>
      </c>
      <c r="E98" s="104" t="n">
        <v>7827</v>
      </c>
      <c r="F98" s="108" t="inlineStr">
        <is>
          <t>管理費收入</t>
        </is>
      </c>
    </row>
    <row r="99" ht="16.5" customHeight="1" s="84">
      <c r="A99" s="7" t="inlineStr">
        <is>
          <t>2021-09</t>
        </is>
      </c>
      <c r="B99" s="13" t="inlineStr">
        <is>
          <t>管理費收入</t>
        </is>
      </c>
      <c r="C99" s="7" t="inlineStr">
        <is>
          <t>110年度Q3</t>
        </is>
      </c>
      <c r="D99" s="13" t="inlineStr">
        <is>
          <t>管理費收入 110年度Q3</t>
        </is>
      </c>
      <c r="E99" s="104" t="n">
        <v>65712</v>
      </c>
      <c r="F99" s="108" t="inlineStr">
        <is>
          <t>管理費收入</t>
        </is>
      </c>
    </row>
    <row r="100" ht="15" customHeight="1" s="84">
      <c r="A100" s="7" t="inlineStr">
        <is>
          <t>2021-09</t>
        </is>
      </c>
      <c r="B100" s="13" t="inlineStr">
        <is>
          <t>公設收入</t>
        </is>
      </c>
      <c r="C100" s="7" t="n"/>
      <c r="D100" s="13" t="inlineStr">
        <is>
          <t>公設收入</t>
        </is>
      </c>
      <c r="E100" s="104" t="n">
        <v>3200</v>
      </c>
      <c r="F100" s="108" t="inlineStr">
        <is>
          <t>公設收入</t>
        </is>
      </c>
    </row>
    <row r="101" ht="15" customHeight="1" s="84">
      <c r="A101" s="7" t="inlineStr">
        <is>
          <t>2021-09</t>
        </is>
      </c>
      <c r="B101" s="13" t="inlineStr">
        <is>
          <t>管委會出席費回存</t>
        </is>
      </c>
      <c r="C101" s="7" t="n"/>
      <c r="D101" s="13" t="inlineStr">
        <is>
          <t>管委會出席費回存</t>
        </is>
      </c>
      <c r="E101" s="104" t="n">
        <v>1000</v>
      </c>
      <c r="F101" s="108" t="inlineStr">
        <is>
          <t>出席費回存</t>
        </is>
      </c>
    </row>
    <row r="102" ht="15" customHeight="1" s="84">
      <c r="A102" s="7" t="inlineStr">
        <is>
          <t>2021-10</t>
        </is>
      </c>
      <c r="B102" s="13" t="inlineStr">
        <is>
          <t>元大活期利息</t>
        </is>
      </c>
      <c r="C102" s="7" t="n"/>
      <c r="D102" s="13" t="inlineStr">
        <is>
          <t>元大活期利息</t>
        </is>
      </c>
      <c r="E102" s="104" t="n">
        <v>0</v>
      </c>
      <c r="F102" s="108" t="inlineStr">
        <is>
          <t>利息收入</t>
        </is>
      </c>
    </row>
    <row r="103" ht="16.5" customHeight="1" s="84">
      <c r="A103" s="7" t="inlineStr">
        <is>
          <t>2021-10</t>
        </is>
      </c>
      <c r="B103" s="13" t="inlineStr">
        <is>
          <t>元大定存利息</t>
        </is>
      </c>
      <c r="C103" s="7" t="inlineStr">
        <is>
          <t>683000006773</t>
        </is>
      </c>
      <c r="D103" s="13" t="inlineStr">
        <is>
          <t>元大定存利息 683000006773</t>
        </is>
      </c>
      <c r="E103" s="104" t="n">
        <v>403</v>
      </c>
      <c r="F103" s="108" t="inlineStr">
        <is>
          <t>利息收入</t>
        </is>
      </c>
    </row>
    <row r="104" ht="16.5" customHeight="1" s="84">
      <c r="A104" s="7" t="inlineStr">
        <is>
          <t>2021-10</t>
        </is>
      </c>
      <c r="B104" s="13" t="inlineStr">
        <is>
          <t>元大定存利息</t>
        </is>
      </c>
      <c r="C104" s="7" t="inlineStr">
        <is>
          <t>683000014551</t>
        </is>
      </c>
      <c r="D104" s="13" t="inlineStr">
        <is>
          <t>元大定存利息 683000014551</t>
        </is>
      </c>
      <c r="E104" s="104" t="n">
        <v>304</v>
      </c>
      <c r="F104" s="108" t="inlineStr">
        <is>
          <t>利息收入</t>
        </is>
      </c>
    </row>
    <row r="105" ht="16.5" customHeight="1" s="84">
      <c r="A105" s="7" t="inlineStr">
        <is>
          <t>2021-10</t>
        </is>
      </c>
      <c r="B105" s="13" t="inlineStr">
        <is>
          <t>元大定存利息</t>
        </is>
      </c>
      <c r="C105" s="7" t="inlineStr">
        <is>
          <t>683000006745</t>
        </is>
      </c>
      <c r="D105" s="13" t="inlineStr">
        <is>
          <t>元大定存利息 683000006745</t>
        </is>
      </c>
      <c r="E105" s="104" t="n">
        <v>403</v>
      </c>
      <c r="F105" s="108" t="inlineStr">
        <is>
          <t>利息收入</t>
        </is>
      </c>
    </row>
    <row r="106" ht="16.5" customHeight="1" s="84">
      <c r="A106" s="7" t="inlineStr">
        <is>
          <t>2021-10</t>
        </is>
      </c>
      <c r="B106" s="13" t="inlineStr">
        <is>
          <t>元大定存利息</t>
        </is>
      </c>
      <c r="C106" s="7" t="inlineStr">
        <is>
          <t>683000013365</t>
        </is>
      </c>
      <c r="D106" s="13" t="inlineStr">
        <is>
          <t>元大定存利息 683000013365</t>
        </is>
      </c>
      <c r="E106" s="104" t="n">
        <v>633</v>
      </c>
      <c r="F106" s="108" t="inlineStr">
        <is>
          <t>利息收入</t>
        </is>
      </c>
    </row>
    <row r="107" ht="16.5" customHeight="1" s="84">
      <c r="A107" s="7" t="inlineStr">
        <is>
          <t>2021-10</t>
        </is>
      </c>
      <c r="B107" s="13" t="inlineStr">
        <is>
          <t>元大定存利息</t>
        </is>
      </c>
      <c r="C107" s="7" t="inlineStr">
        <is>
          <t>683000016001</t>
        </is>
      </c>
      <c r="D107" s="13" t="inlineStr">
        <is>
          <t>元大定存利息 683000016001</t>
        </is>
      </c>
      <c r="E107" s="104" t="n">
        <v>1266</v>
      </c>
      <c r="F107" s="108" t="inlineStr">
        <is>
          <t>利息收入</t>
        </is>
      </c>
    </row>
    <row r="108" ht="16.5" customHeight="1" s="84">
      <c r="A108" s="7" t="inlineStr">
        <is>
          <t>2021-10</t>
        </is>
      </c>
      <c r="B108" s="13" t="inlineStr">
        <is>
          <t>管理費收入</t>
        </is>
      </c>
      <c r="C108" s="7" t="inlineStr">
        <is>
          <t>110年度Q3</t>
        </is>
      </c>
      <c r="D108" s="13" t="inlineStr">
        <is>
          <t>管理費收入 110年度Q3</t>
        </is>
      </c>
      <c r="E108" s="104" t="n">
        <v>69672</v>
      </c>
      <c r="F108" s="108" t="inlineStr">
        <is>
          <t>管理費收入</t>
        </is>
      </c>
    </row>
    <row r="109" ht="16.5" customHeight="1" s="84">
      <c r="A109" s="7" t="inlineStr">
        <is>
          <t>2021-10</t>
        </is>
      </c>
      <c r="B109" s="13" t="inlineStr">
        <is>
          <t>管理費收入</t>
        </is>
      </c>
      <c r="C109" s="7" t="inlineStr">
        <is>
          <t>110年度Q4</t>
        </is>
      </c>
      <c r="D109" s="13" t="inlineStr">
        <is>
          <t>管理費收入 110年度Q4</t>
        </is>
      </c>
      <c r="E109" s="104" t="n">
        <v>2284107</v>
      </c>
      <c r="F109" s="108" t="inlineStr">
        <is>
          <t>管理費收入</t>
        </is>
      </c>
    </row>
    <row r="110" ht="16.5" customHeight="1" s="84">
      <c r="A110" s="7" t="inlineStr">
        <is>
          <t>2021-10</t>
        </is>
      </c>
      <c r="B110" s="13" t="inlineStr">
        <is>
          <t>管理費收入</t>
        </is>
      </c>
      <c r="C110" s="7" t="inlineStr">
        <is>
          <t>111年度Q1</t>
        </is>
      </c>
      <c r="D110" s="13" t="inlineStr">
        <is>
          <t>管理費收入 111年度Q1</t>
        </is>
      </c>
      <c r="E110" s="104" t="n">
        <v>8937</v>
      </c>
      <c r="F110" s="108" t="inlineStr">
        <is>
          <t>管理費收入</t>
        </is>
      </c>
    </row>
    <row r="111" ht="15" customHeight="1" s="84">
      <c r="A111" s="7" t="inlineStr">
        <is>
          <t>2021-10</t>
        </is>
      </c>
      <c r="B111" s="13" t="inlineStr">
        <is>
          <t>公設收入</t>
        </is>
      </c>
      <c r="C111" s="7" t="n"/>
      <c r="D111" s="13" t="inlineStr">
        <is>
          <t>公設收入</t>
        </is>
      </c>
      <c r="E111" s="104" t="n">
        <v>5320</v>
      </c>
      <c r="F111" s="108" t="inlineStr">
        <is>
          <t>公設收入</t>
        </is>
      </c>
    </row>
    <row r="112" ht="15" customHeight="1" s="84">
      <c r="A112" s="7" t="inlineStr">
        <is>
          <t>2021-10</t>
        </is>
      </c>
      <c r="B112" s="13" t="inlineStr">
        <is>
          <t>管委會出席費回存</t>
        </is>
      </c>
      <c r="C112" s="7" t="n"/>
      <c r="D112" s="13" t="inlineStr">
        <is>
          <t>管委會出席費回存</t>
        </is>
      </c>
      <c r="E112" s="104" t="n">
        <v>2500</v>
      </c>
      <c r="F112" s="108" t="inlineStr">
        <is>
          <t>出席費回存</t>
        </is>
      </c>
    </row>
    <row r="113" ht="15" customHeight="1" s="84">
      <c r="A113" s="7" t="inlineStr">
        <is>
          <t>2021-11</t>
        </is>
      </c>
      <c r="B113" s="13" t="inlineStr">
        <is>
          <t>元大活期利息</t>
        </is>
      </c>
      <c r="C113" s="7" t="n"/>
      <c r="D113" s="13" t="inlineStr">
        <is>
          <t>元大活期利息</t>
        </is>
      </c>
      <c r="E113" s="104" t="n">
        <v>0</v>
      </c>
      <c r="F113" s="108" t="inlineStr">
        <is>
          <t>利息收入</t>
        </is>
      </c>
    </row>
    <row r="114" ht="16.5" customHeight="1" s="84">
      <c r="A114" s="7" t="inlineStr">
        <is>
          <t>2021-11</t>
        </is>
      </c>
      <c r="B114" s="13" t="inlineStr">
        <is>
          <t>元大定存利息</t>
        </is>
      </c>
      <c r="C114" s="7" t="inlineStr">
        <is>
          <t>683000006773</t>
        </is>
      </c>
      <c r="D114" s="13" t="inlineStr">
        <is>
          <t>元大定存利息 683000006773</t>
        </is>
      </c>
      <c r="E114" s="104" t="n">
        <v>416</v>
      </c>
      <c r="F114" s="108" t="inlineStr">
        <is>
          <t>利息收入</t>
        </is>
      </c>
    </row>
    <row r="115" ht="16.5" customHeight="1" s="84">
      <c r="A115" s="7" t="inlineStr">
        <is>
          <t>2021-11</t>
        </is>
      </c>
      <c r="B115" s="13" t="inlineStr">
        <is>
          <t>元大定存利息</t>
        </is>
      </c>
      <c r="C115" s="7" t="inlineStr">
        <is>
          <t>683000014551</t>
        </is>
      </c>
      <c r="D115" s="13" t="inlineStr">
        <is>
          <t>元大定存利息 683000014551</t>
        </is>
      </c>
      <c r="E115" s="104" t="n">
        <v>314</v>
      </c>
      <c r="F115" s="108" t="inlineStr">
        <is>
          <t>利息收入</t>
        </is>
      </c>
    </row>
    <row r="116" ht="16.5" customHeight="1" s="84">
      <c r="A116" s="7" t="inlineStr">
        <is>
          <t>2021-11</t>
        </is>
      </c>
      <c r="B116" s="13" t="inlineStr">
        <is>
          <t>元大定存利息</t>
        </is>
      </c>
      <c r="C116" s="7" t="inlineStr">
        <is>
          <t>683000006745</t>
        </is>
      </c>
      <c r="D116" s="13" t="inlineStr">
        <is>
          <t>元大定存利息 683000006745</t>
        </is>
      </c>
      <c r="E116" s="104" t="n">
        <v>416</v>
      </c>
      <c r="F116" s="108" t="inlineStr">
        <is>
          <t>利息收入</t>
        </is>
      </c>
    </row>
    <row r="117" ht="16.5" customHeight="1" s="84">
      <c r="A117" s="7" t="inlineStr">
        <is>
          <t>2021-11</t>
        </is>
      </c>
      <c r="B117" s="13" t="inlineStr">
        <is>
          <t>元大定存利息</t>
        </is>
      </c>
      <c r="C117" s="7" t="inlineStr">
        <is>
          <t>683000013365</t>
        </is>
      </c>
      <c r="D117" s="13" t="inlineStr">
        <is>
          <t>元大定存利息 683000013365</t>
        </is>
      </c>
      <c r="E117" s="104" t="n">
        <v>654</v>
      </c>
      <c r="F117" s="108" t="inlineStr">
        <is>
          <t>利息收入</t>
        </is>
      </c>
    </row>
    <row r="118" ht="16.5" customHeight="1" s="84">
      <c r="A118" s="7" t="inlineStr">
        <is>
          <t>2021-11</t>
        </is>
      </c>
      <c r="B118" s="13" t="inlineStr">
        <is>
          <t>元大定存利息</t>
        </is>
      </c>
      <c r="C118" s="7" t="inlineStr">
        <is>
          <t>683000016001</t>
        </is>
      </c>
      <c r="D118" s="13" t="inlineStr">
        <is>
          <t>元大定存利息 683000016001</t>
        </is>
      </c>
      <c r="E118" s="104" t="n">
        <v>1308</v>
      </c>
      <c r="F118" s="108" t="inlineStr">
        <is>
          <t>利息收入</t>
        </is>
      </c>
    </row>
    <row r="119" ht="16.5" customHeight="1" s="84">
      <c r="A119" s="7" t="inlineStr">
        <is>
          <t>2021-11</t>
        </is>
      </c>
      <c r="B119" s="13" t="inlineStr">
        <is>
          <t>管理費收入</t>
        </is>
      </c>
      <c r="C119" s="7" t="inlineStr">
        <is>
          <t>110年度Q4</t>
        </is>
      </c>
      <c r="D119" s="13" t="inlineStr">
        <is>
          <t>管理費收入 110年度Q4</t>
        </is>
      </c>
      <c r="E119" s="104" t="n">
        <v>584076</v>
      </c>
      <c r="F119" s="108" t="inlineStr">
        <is>
          <t>管理費收入</t>
        </is>
      </c>
    </row>
    <row r="120" ht="15" customHeight="1" s="84">
      <c r="A120" s="7" t="inlineStr">
        <is>
          <t>2021-11</t>
        </is>
      </c>
      <c r="B120" s="13" t="inlineStr">
        <is>
          <t>公設收入</t>
        </is>
      </c>
      <c r="C120" s="7" t="n"/>
      <c r="D120" s="13" t="inlineStr">
        <is>
          <t>公設收入</t>
        </is>
      </c>
      <c r="E120" s="104" t="n">
        <v>7710</v>
      </c>
      <c r="F120" s="108" t="inlineStr">
        <is>
          <t>公設收入</t>
        </is>
      </c>
    </row>
    <row r="121" ht="15" customHeight="1" s="84">
      <c r="A121" s="7" t="inlineStr">
        <is>
          <t>2021-11</t>
        </is>
      </c>
      <c r="B121" s="13" t="inlineStr">
        <is>
          <t>管委會出席費回存</t>
        </is>
      </c>
      <c r="C121" s="7" t="n"/>
      <c r="D121" s="13" t="inlineStr">
        <is>
          <t>管委會出席費回存</t>
        </is>
      </c>
      <c r="E121" s="104" t="n">
        <v>2500</v>
      </c>
      <c r="F121" s="108" t="inlineStr">
        <is>
          <t>出席費回存</t>
        </is>
      </c>
    </row>
    <row r="122" ht="16.5" customHeight="1" s="84">
      <c r="A122" s="15" t="inlineStr">
        <is>
          <t>2021-11</t>
        </is>
      </c>
      <c r="B122" s="15" t="inlineStr">
        <is>
          <t>A11電梯維修款</t>
        </is>
      </c>
      <c r="C122" s="15" t="n"/>
      <c r="D122" s="15" t="inlineStr">
        <is>
          <t>A11電梯維修款</t>
        </is>
      </c>
      <c r="E122" s="109" t="n">
        <v>21210</v>
      </c>
      <c r="F122" s="110" t="inlineStr">
        <is>
          <t>其他收入</t>
        </is>
      </c>
    </row>
    <row r="123" ht="15" customHeight="1" s="84">
      <c r="A123" s="7" t="inlineStr">
        <is>
          <t>2021-12</t>
        </is>
      </c>
      <c r="B123" s="13" t="inlineStr">
        <is>
          <t>元大活期利息</t>
        </is>
      </c>
      <c r="C123" s="7" t="n"/>
      <c r="D123" s="13" t="inlineStr">
        <is>
          <t>元大活期利息</t>
        </is>
      </c>
      <c r="E123" s="104" t="n">
        <v>2853</v>
      </c>
      <c r="F123" s="108" t="inlineStr">
        <is>
          <t>利息收入</t>
        </is>
      </c>
    </row>
    <row r="124" ht="16.5" customHeight="1" s="84">
      <c r="A124" s="7" t="inlineStr">
        <is>
          <t>2021-12</t>
        </is>
      </c>
      <c r="B124" s="13" t="inlineStr">
        <is>
          <t>元大定存利息</t>
        </is>
      </c>
      <c r="C124" s="7" t="inlineStr">
        <is>
          <t>683000006773</t>
        </is>
      </c>
      <c r="D124" s="13" t="inlineStr">
        <is>
          <t>元大定存利息 683000006773</t>
        </is>
      </c>
      <c r="E124" s="104" t="n">
        <v>403</v>
      </c>
      <c r="F124" s="108" t="inlineStr">
        <is>
          <t>利息收入</t>
        </is>
      </c>
    </row>
    <row r="125" ht="16.5" customHeight="1" s="84">
      <c r="A125" s="7" t="inlineStr">
        <is>
          <t>2021-12</t>
        </is>
      </c>
      <c r="B125" s="13" t="inlineStr">
        <is>
          <t>元大定存利息</t>
        </is>
      </c>
      <c r="C125" s="7" t="inlineStr">
        <is>
          <t>683000014551</t>
        </is>
      </c>
      <c r="D125" s="13" t="inlineStr">
        <is>
          <t>元大定存利息 683000014551</t>
        </is>
      </c>
      <c r="E125" s="104" t="n">
        <v>304</v>
      </c>
      <c r="F125" s="108" t="inlineStr">
        <is>
          <t>利息收入</t>
        </is>
      </c>
    </row>
    <row r="126" ht="16.5" customHeight="1" s="84">
      <c r="A126" s="7" t="inlineStr">
        <is>
          <t>2021-12</t>
        </is>
      </c>
      <c r="B126" s="13" t="inlineStr">
        <is>
          <t>元大定存利息</t>
        </is>
      </c>
      <c r="C126" s="7" t="inlineStr">
        <is>
          <t>683000006745</t>
        </is>
      </c>
      <c r="D126" s="13" t="inlineStr">
        <is>
          <t>元大定存利息 683000006745</t>
        </is>
      </c>
      <c r="E126" s="104" t="n">
        <v>403</v>
      </c>
      <c r="F126" s="108" t="inlineStr">
        <is>
          <t>利息收入</t>
        </is>
      </c>
    </row>
    <row r="127" ht="16.5" customHeight="1" s="84">
      <c r="A127" s="7" t="inlineStr">
        <is>
          <t>2021-12</t>
        </is>
      </c>
      <c r="B127" s="13" t="inlineStr">
        <is>
          <t>元大定存利息</t>
        </is>
      </c>
      <c r="C127" s="7" t="inlineStr">
        <is>
          <t>683000013365</t>
        </is>
      </c>
      <c r="D127" s="13" t="inlineStr">
        <is>
          <t>元大定存利息 683000013365</t>
        </is>
      </c>
      <c r="E127" s="104" t="n">
        <v>633</v>
      </c>
      <c r="F127" s="108" t="inlineStr">
        <is>
          <t>利息收入</t>
        </is>
      </c>
    </row>
    <row r="128" ht="16.5" customHeight="1" s="84">
      <c r="A128" s="7" t="inlineStr">
        <is>
          <t>2021-12</t>
        </is>
      </c>
      <c r="B128" s="13" t="inlineStr">
        <is>
          <t>元大定存利息</t>
        </is>
      </c>
      <c r="C128" s="7" t="inlineStr">
        <is>
          <t>683000016001</t>
        </is>
      </c>
      <c r="D128" s="13" t="inlineStr">
        <is>
          <t>元大定存利息 683000016001</t>
        </is>
      </c>
      <c r="E128" s="104" t="n">
        <v>1266</v>
      </c>
      <c r="F128" s="108" t="inlineStr">
        <is>
          <t>利息收入</t>
        </is>
      </c>
    </row>
    <row r="129" ht="16.5" customHeight="1" s="84">
      <c r="A129" s="7" t="inlineStr">
        <is>
          <t>2021-12</t>
        </is>
      </c>
      <c r="B129" s="13" t="inlineStr">
        <is>
          <t>管理費收入</t>
        </is>
      </c>
      <c r="C129" s="7" t="inlineStr">
        <is>
          <t>110年度Q3(S08、S18)</t>
        </is>
      </c>
      <c r="D129" s="13" t="inlineStr">
        <is>
          <t>管理費收入 110年度Q3(S08、S18)</t>
        </is>
      </c>
      <c r="E129" s="104" t="n">
        <v>10317</v>
      </c>
      <c r="F129" s="108" t="inlineStr">
        <is>
          <t>管理費收入</t>
        </is>
      </c>
    </row>
    <row r="130" ht="16.5" customHeight="1" s="84">
      <c r="A130" s="7" t="inlineStr">
        <is>
          <t>2021-12</t>
        </is>
      </c>
      <c r="B130" s="13" t="inlineStr">
        <is>
          <t>管理費收入</t>
        </is>
      </c>
      <c r="C130" s="7" t="inlineStr">
        <is>
          <t>110年度Q4</t>
        </is>
      </c>
      <c r="D130" s="13" t="inlineStr">
        <is>
          <t>管理費收入 110年度Q4</t>
        </is>
      </c>
      <c r="E130" s="104" t="n">
        <v>174027</v>
      </c>
      <c r="F130" s="108" t="inlineStr">
        <is>
          <t>管理費收入</t>
        </is>
      </c>
    </row>
    <row r="131" ht="15" customHeight="1" s="84">
      <c r="A131" s="7" t="inlineStr">
        <is>
          <t>2021-12</t>
        </is>
      </c>
      <c r="B131" s="13" t="inlineStr">
        <is>
          <t>公設收入</t>
        </is>
      </c>
      <c r="C131" s="7" t="n"/>
      <c r="D131" s="13" t="inlineStr">
        <is>
          <t>公設收入</t>
        </is>
      </c>
      <c r="E131" s="104" t="n">
        <v>8435</v>
      </c>
      <c r="F131" s="108" t="inlineStr">
        <is>
          <t>公設收入</t>
        </is>
      </c>
    </row>
    <row r="132" ht="15" customHeight="1" s="84">
      <c r="A132" s="7" t="inlineStr">
        <is>
          <t>2021-12</t>
        </is>
      </c>
      <c r="B132" s="13" t="inlineStr">
        <is>
          <t>管委會出席費回存</t>
        </is>
      </c>
      <c r="C132" s="7" t="n"/>
      <c r="D132" s="13" t="inlineStr">
        <is>
          <t>管委會出席費回存</t>
        </is>
      </c>
      <c r="E132" s="104" t="n">
        <v>500</v>
      </c>
      <c r="F132" s="108" t="inlineStr">
        <is>
          <t>出席費回存</t>
        </is>
      </c>
    </row>
    <row r="133" ht="15" customHeight="1" s="84">
      <c r="A133" s="7" t="inlineStr">
        <is>
          <t>2022-01</t>
        </is>
      </c>
      <c r="B133" s="13" t="inlineStr">
        <is>
          <t>元大活期利息</t>
        </is>
      </c>
      <c r="C133" s="7" t="n"/>
      <c r="D133" s="13" t="inlineStr">
        <is>
          <t>元大活期利息</t>
        </is>
      </c>
      <c r="E133" s="104" t="n">
        <v>0</v>
      </c>
      <c r="F133" s="108" t="inlineStr">
        <is>
          <t>利息收入</t>
        </is>
      </c>
    </row>
    <row r="134" ht="16.5" customHeight="1" s="84">
      <c r="A134" s="7" t="inlineStr">
        <is>
          <t>2022-01</t>
        </is>
      </c>
      <c r="B134" s="13" t="inlineStr">
        <is>
          <t>元大定存利息</t>
        </is>
      </c>
      <c r="C134" s="7" t="inlineStr">
        <is>
          <t>683000006773</t>
        </is>
      </c>
      <c r="D134" s="13" t="inlineStr">
        <is>
          <t>元大定存利息 683000006773</t>
        </is>
      </c>
      <c r="E134" s="104" t="n">
        <v>416</v>
      </c>
      <c r="F134" s="108" t="inlineStr">
        <is>
          <t>利息收入</t>
        </is>
      </c>
    </row>
    <row r="135" ht="16.5" customHeight="1" s="84">
      <c r="A135" s="7" t="inlineStr">
        <is>
          <t>2022-01</t>
        </is>
      </c>
      <c r="B135" s="13" t="inlineStr">
        <is>
          <t>元大定存利息</t>
        </is>
      </c>
      <c r="C135" s="7" t="inlineStr">
        <is>
          <t>683000014551</t>
        </is>
      </c>
      <c r="D135" s="13" t="inlineStr">
        <is>
          <t>元大定存利息 683000014551</t>
        </is>
      </c>
      <c r="E135" s="104" t="n">
        <v>314</v>
      </c>
      <c r="F135" s="108" t="inlineStr">
        <is>
          <t>利息收入</t>
        </is>
      </c>
    </row>
    <row r="136" ht="16.5" customHeight="1" s="84">
      <c r="A136" s="7" t="inlineStr">
        <is>
          <t>2022-01</t>
        </is>
      </c>
      <c r="B136" s="13" t="inlineStr">
        <is>
          <t>元大定存利息</t>
        </is>
      </c>
      <c r="C136" s="7" t="inlineStr">
        <is>
          <t>683000006745</t>
        </is>
      </c>
      <c r="D136" s="13" t="inlineStr">
        <is>
          <t>元大定存利息 683000006745</t>
        </is>
      </c>
      <c r="E136" s="104" t="n">
        <v>416</v>
      </c>
      <c r="F136" s="108" t="inlineStr">
        <is>
          <t>利息收入</t>
        </is>
      </c>
    </row>
    <row r="137" ht="16.5" customHeight="1" s="84">
      <c r="A137" s="7" t="inlineStr">
        <is>
          <t>2022-01</t>
        </is>
      </c>
      <c r="B137" s="13" t="inlineStr">
        <is>
          <t>元大定存利息</t>
        </is>
      </c>
      <c r="C137" s="7" t="inlineStr">
        <is>
          <t>683000013365</t>
        </is>
      </c>
      <c r="D137" s="13" t="inlineStr">
        <is>
          <t>元大定存利息 683000013365</t>
        </is>
      </c>
      <c r="E137" s="104" t="n">
        <v>654</v>
      </c>
      <c r="F137" s="108" t="inlineStr">
        <is>
          <t>利息收入</t>
        </is>
      </c>
    </row>
    <row r="138" ht="16.5" customHeight="1" s="84">
      <c r="A138" s="7" t="inlineStr">
        <is>
          <t>2022-01</t>
        </is>
      </c>
      <c r="B138" s="13" t="inlineStr">
        <is>
          <t>元大定存利息</t>
        </is>
      </c>
      <c r="C138" s="7" t="inlineStr">
        <is>
          <t>683000016001</t>
        </is>
      </c>
      <c r="D138" s="13" t="inlineStr">
        <is>
          <t>元大定存利息 683000016001</t>
        </is>
      </c>
      <c r="E138" s="104" t="n">
        <v>1308</v>
      </c>
      <c r="F138" s="108" t="inlineStr">
        <is>
          <t>利息收入</t>
        </is>
      </c>
    </row>
    <row r="139" ht="16.5" customHeight="1" s="84">
      <c r="A139" s="7" t="inlineStr">
        <is>
          <t>2022-01</t>
        </is>
      </c>
      <c r="B139" s="13" t="inlineStr">
        <is>
          <t>管理費收入</t>
        </is>
      </c>
      <c r="C139" s="7" t="inlineStr">
        <is>
          <t>110年度Q3(S16、Q04)</t>
        </is>
      </c>
      <c r="D139" s="13" t="inlineStr">
        <is>
          <t>管理費收入 110年度Q3(S16、Q04)</t>
        </is>
      </c>
      <c r="E139" s="104" t="n">
        <v>14145</v>
      </c>
      <c r="F139" s="108" t="inlineStr">
        <is>
          <t>管理費收入</t>
        </is>
      </c>
    </row>
    <row r="140" ht="16.5" customHeight="1" s="84">
      <c r="A140" s="7" t="inlineStr">
        <is>
          <t>2022-01</t>
        </is>
      </c>
      <c r="B140" s="13" t="inlineStr">
        <is>
          <t>管理費收入</t>
        </is>
      </c>
      <c r="C140" s="7" t="inlineStr">
        <is>
          <t>110年度Q4(J04、N06、Q04)</t>
        </is>
      </c>
      <c r="D140" s="13" t="inlineStr">
        <is>
          <t>管理費收入 110年度Q4(J04、N06、Q04)</t>
        </is>
      </c>
      <c r="E140" s="104" t="n">
        <v>23313</v>
      </c>
      <c r="F140" s="108" t="inlineStr">
        <is>
          <t>管理費收入</t>
        </is>
      </c>
    </row>
    <row r="141" ht="16.5" customHeight="1" s="84">
      <c r="A141" s="7" t="inlineStr">
        <is>
          <t>2022-01</t>
        </is>
      </c>
      <c r="B141" s="13" t="inlineStr">
        <is>
          <t>管理費收入</t>
        </is>
      </c>
      <c r="C141" s="7" t="inlineStr">
        <is>
          <t>111年度Q1</t>
        </is>
      </c>
      <c r="D141" s="13" t="inlineStr">
        <is>
          <t>管理費收入 111年度Q1</t>
        </is>
      </c>
      <c r="E141" s="104" t="n">
        <v>2357064</v>
      </c>
      <c r="F141" s="108" t="inlineStr">
        <is>
          <t>管理費收入</t>
        </is>
      </c>
    </row>
    <row r="142" ht="15" customHeight="1" s="84">
      <c r="A142" s="7" t="inlineStr">
        <is>
          <t>2022-01</t>
        </is>
      </c>
      <c r="B142" s="13" t="inlineStr">
        <is>
          <t>公設收入</t>
        </is>
      </c>
      <c r="C142" s="7" t="n"/>
      <c r="D142" s="13" t="inlineStr">
        <is>
          <t>公設收入</t>
        </is>
      </c>
      <c r="E142" s="104" t="n">
        <v>5605</v>
      </c>
      <c r="F142" s="108" t="inlineStr">
        <is>
          <t>公設收入</t>
        </is>
      </c>
    </row>
    <row r="143" ht="15" customHeight="1" s="84">
      <c r="A143" s="7" t="inlineStr">
        <is>
          <t>2022-01</t>
        </is>
      </c>
      <c r="B143" s="13" t="inlineStr">
        <is>
          <t>管委會出席費回存</t>
        </is>
      </c>
      <c r="C143" s="7" t="n"/>
      <c r="D143" s="13" t="inlineStr">
        <is>
          <t>管委會出席費回存</t>
        </is>
      </c>
      <c r="E143" s="104" t="n">
        <v>1000</v>
      </c>
      <c r="F143" s="108" t="inlineStr">
        <is>
          <t>出席費回存</t>
        </is>
      </c>
    </row>
    <row r="144" ht="15" customHeight="1" s="84">
      <c r="A144" s="15" t="inlineStr">
        <is>
          <t>2022-01</t>
        </is>
      </c>
      <c r="B144" s="16" t="inlineStr">
        <is>
          <t>台灣地方法院</t>
        </is>
      </c>
      <c r="C144" s="15" t="n"/>
      <c r="D144" s="16" t="inlineStr">
        <is>
          <t>台灣地方法院</t>
        </is>
      </c>
      <c r="E144" s="109" t="n">
        <v>970</v>
      </c>
      <c r="F144" s="110" t="inlineStr">
        <is>
          <t>其他收入</t>
        </is>
      </c>
    </row>
    <row r="145" ht="15" customHeight="1" s="84">
      <c r="A145" s="7" t="inlineStr">
        <is>
          <t>2022-02</t>
        </is>
      </c>
      <c r="B145" s="13" t="inlineStr">
        <is>
          <t>元大活期利息</t>
        </is>
      </c>
      <c r="C145" s="7" t="n"/>
      <c r="D145" s="13" t="inlineStr">
        <is>
          <t>元大活期利息</t>
        </is>
      </c>
      <c r="E145" s="104" t="n">
        <v>0</v>
      </c>
      <c r="F145" s="108" t="inlineStr">
        <is>
          <t>利息收入</t>
        </is>
      </c>
    </row>
    <row r="146" ht="16.5" customHeight="1" s="84">
      <c r="A146" s="7" t="inlineStr">
        <is>
          <t>2022-02</t>
        </is>
      </c>
      <c r="B146" s="13" t="inlineStr">
        <is>
          <t>元大定存利息</t>
        </is>
      </c>
      <c r="C146" s="7" t="inlineStr">
        <is>
          <t>683000006773</t>
        </is>
      </c>
      <c r="D146" s="13" t="inlineStr">
        <is>
          <t>元大定存利息 683000006773</t>
        </is>
      </c>
      <c r="E146" s="104" t="n">
        <v>416</v>
      </c>
      <c r="F146" s="108" t="inlineStr">
        <is>
          <t>利息收入</t>
        </is>
      </c>
    </row>
    <row r="147" ht="16.5" customHeight="1" s="84">
      <c r="A147" s="7" t="inlineStr">
        <is>
          <t>2022-02</t>
        </is>
      </c>
      <c r="B147" s="13" t="inlineStr">
        <is>
          <t>元大定存利息</t>
        </is>
      </c>
      <c r="C147" s="7" t="inlineStr">
        <is>
          <t>683000014551</t>
        </is>
      </c>
      <c r="D147" s="13" t="inlineStr">
        <is>
          <t>元大定存利息 683000014551</t>
        </is>
      </c>
      <c r="E147" s="104" t="n">
        <v>314</v>
      </c>
      <c r="F147" s="108" t="inlineStr">
        <is>
          <t>利息收入</t>
        </is>
      </c>
    </row>
    <row r="148" ht="16.5" customHeight="1" s="84">
      <c r="A148" s="7" t="inlineStr">
        <is>
          <t>2022-02</t>
        </is>
      </c>
      <c r="B148" s="13" t="inlineStr">
        <is>
          <t>元大定存利息</t>
        </is>
      </c>
      <c r="C148" s="7" t="inlineStr">
        <is>
          <t>683000006745</t>
        </is>
      </c>
      <c r="D148" s="13" t="inlineStr">
        <is>
          <t>元大定存利息 683000006745</t>
        </is>
      </c>
      <c r="E148" s="104" t="n">
        <v>416</v>
      </c>
      <c r="F148" s="108" t="inlineStr">
        <is>
          <t>利息收入</t>
        </is>
      </c>
    </row>
    <row r="149" ht="16.5" customHeight="1" s="84">
      <c r="A149" s="7" t="inlineStr">
        <is>
          <t>2022-02</t>
        </is>
      </c>
      <c r="B149" s="13" t="inlineStr">
        <is>
          <t>元大定存利息</t>
        </is>
      </c>
      <c r="C149" s="7" t="inlineStr">
        <is>
          <t>683000013365</t>
        </is>
      </c>
      <c r="D149" s="13" t="inlineStr">
        <is>
          <t>元大定存利息 683000013365</t>
        </is>
      </c>
      <c r="E149" s="104" t="n">
        <v>654</v>
      </c>
      <c r="F149" s="108" t="inlineStr">
        <is>
          <t>利息收入</t>
        </is>
      </c>
    </row>
    <row r="150" ht="16.5" customHeight="1" s="84">
      <c r="A150" s="7" t="inlineStr">
        <is>
          <t>2022-02</t>
        </is>
      </c>
      <c r="B150" s="13" t="inlineStr">
        <is>
          <t>元大定存利息</t>
        </is>
      </c>
      <c r="C150" s="7" t="inlineStr">
        <is>
          <t>683000016001</t>
        </is>
      </c>
      <c r="D150" s="13" t="inlineStr">
        <is>
          <t>元大定存利息 683000016001</t>
        </is>
      </c>
      <c r="E150" s="104" t="n">
        <v>0</v>
      </c>
      <c r="F150" s="108" t="inlineStr">
        <is>
          <t>利息收入</t>
        </is>
      </c>
    </row>
    <row r="151" ht="16.5" customHeight="1" s="84">
      <c r="A151" s="7" t="inlineStr">
        <is>
          <t>2022-02</t>
        </is>
      </c>
      <c r="B151" s="13" t="inlineStr">
        <is>
          <t>管理費收入</t>
        </is>
      </c>
      <c r="C151" s="7" t="inlineStr">
        <is>
          <t>110年度Q4(F20)</t>
        </is>
      </c>
      <c r="D151" s="13" t="inlineStr">
        <is>
          <t>管理費收入 110年度Q4(F20)</t>
        </is>
      </c>
      <c r="E151" s="104" t="n">
        <v>6300</v>
      </c>
      <c r="F151" s="108" t="inlineStr">
        <is>
          <t>管理費收入</t>
        </is>
      </c>
    </row>
    <row r="152" ht="16.5" customHeight="1" s="84">
      <c r="A152" s="7" t="inlineStr">
        <is>
          <t>2022-02</t>
        </is>
      </c>
      <c r="B152" s="13" t="inlineStr">
        <is>
          <t>管理費收入</t>
        </is>
      </c>
      <c r="C152" s="7" t="inlineStr">
        <is>
          <t>111年度Q1</t>
        </is>
      </c>
      <c r="D152" s="13" t="inlineStr">
        <is>
          <t>管理費收入 111年度Q1</t>
        </is>
      </c>
      <c r="E152" s="104" t="n">
        <v>649362</v>
      </c>
      <c r="F152" s="108" t="inlineStr">
        <is>
          <t>管理費收入</t>
        </is>
      </c>
    </row>
    <row r="153" ht="16.5" customHeight="1" s="84">
      <c r="A153" s="7" t="inlineStr">
        <is>
          <t>2022-02</t>
        </is>
      </c>
      <c r="B153" s="13" t="inlineStr">
        <is>
          <t>公設收入(本月並列在三月收入)</t>
        </is>
      </c>
      <c r="C153" s="7" t="n"/>
      <c r="D153" s="13" t="inlineStr">
        <is>
          <t>公設收入(本月並列在三月收入)</t>
        </is>
      </c>
      <c r="E153" s="104" t="n">
        <v>0</v>
      </c>
      <c r="F153" s="108" t="inlineStr">
        <is>
          <t>公設收入</t>
        </is>
      </c>
    </row>
    <row r="154" ht="16.5" customHeight="1" s="84">
      <c r="A154" s="7" t="inlineStr">
        <is>
          <t>2022-02</t>
        </is>
      </c>
      <c r="B154" s="13" t="inlineStr">
        <is>
          <t>管委會出席費回存(本月並列在三月收入)</t>
        </is>
      </c>
      <c r="C154" s="7" t="n"/>
      <c r="D154" s="13" t="inlineStr">
        <is>
          <t>管委會出席費回存(本月並列在三月收入)</t>
        </is>
      </c>
      <c r="E154" s="104" t="n">
        <v>0</v>
      </c>
      <c r="F154" s="108" t="inlineStr">
        <is>
          <t>出席費回存</t>
        </is>
      </c>
    </row>
    <row r="155" ht="15" customHeight="1" s="84">
      <c r="A155" s="7" t="inlineStr">
        <is>
          <t>2022-03</t>
        </is>
      </c>
      <c r="B155" s="13" t="inlineStr">
        <is>
          <t>元大活期利息</t>
        </is>
      </c>
      <c r="C155" s="7" t="n"/>
      <c r="D155" s="13" t="inlineStr">
        <is>
          <t>元大活期利息</t>
        </is>
      </c>
      <c r="E155" s="104" t="n">
        <v>0</v>
      </c>
      <c r="F155" s="108" t="inlineStr">
        <is>
          <t>利息收入</t>
        </is>
      </c>
    </row>
    <row r="156" ht="16.5" customHeight="1" s="84">
      <c r="A156" s="7" t="inlineStr">
        <is>
          <t>2022-03</t>
        </is>
      </c>
      <c r="B156" s="13" t="inlineStr">
        <is>
          <t>元大定存利息</t>
        </is>
      </c>
      <c r="C156" s="7" t="inlineStr">
        <is>
          <t>683000006773</t>
        </is>
      </c>
      <c r="D156" s="13" t="inlineStr">
        <is>
          <t>元大定存利息 683000006773</t>
        </is>
      </c>
      <c r="E156" s="104" t="n">
        <v>376</v>
      </c>
      <c r="F156" s="108" t="inlineStr">
        <is>
          <t>利息收入</t>
        </is>
      </c>
    </row>
    <row r="157" ht="16.5" customHeight="1" s="84">
      <c r="A157" s="7" t="inlineStr">
        <is>
          <t>2022-03</t>
        </is>
      </c>
      <c r="B157" s="13" t="inlineStr">
        <is>
          <t>元大定存利息</t>
        </is>
      </c>
      <c r="C157" s="7" t="inlineStr">
        <is>
          <t>683000014551</t>
        </is>
      </c>
      <c r="D157" s="13" t="inlineStr">
        <is>
          <t>元大定存利息 683000014551</t>
        </is>
      </c>
      <c r="E157" s="104" t="n">
        <v>284</v>
      </c>
      <c r="F157" s="108" t="inlineStr">
        <is>
          <t>利息收入</t>
        </is>
      </c>
    </row>
    <row r="158" ht="16.5" customHeight="1" s="84">
      <c r="A158" s="7" t="inlineStr">
        <is>
          <t>2022-03</t>
        </is>
      </c>
      <c r="B158" s="13" t="inlineStr">
        <is>
          <t>元大定存利息</t>
        </is>
      </c>
      <c r="C158" s="7" t="inlineStr">
        <is>
          <t>683000006745</t>
        </is>
      </c>
      <c r="D158" s="13" t="inlineStr">
        <is>
          <t>元大定存利息 683000006745</t>
        </is>
      </c>
      <c r="E158" s="104" t="n">
        <v>376</v>
      </c>
      <c r="F158" s="108" t="inlineStr">
        <is>
          <t>利息收入</t>
        </is>
      </c>
    </row>
    <row r="159" ht="16.5" customHeight="1" s="84">
      <c r="A159" s="7" t="inlineStr">
        <is>
          <t>2022-03</t>
        </is>
      </c>
      <c r="B159" s="13" t="inlineStr">
        <is>
          <t>元大定存利息</t>
        </is>
      </c>
      <c r="C159" s="7" t="inlineStr">
        <is>
          <t>683000013365</t>
        </is>
      </c>
      <c r="D159" s="13" t="inlineStr">
        <is>
          <t>元大定存利息 683000013365</t>
        </is>
      </c>
      <c r="E159" s="104" t="n">
        <v>591</v>
      </c>
      <c r="F159" s="108" t="inlineStr">
        <is>
          <t>利息收入</t>
        </is>
      </c>
    </row>
    <row r="160" ht="16.5" customHeight="1" s="84">
      <c r="A160" s="7" t="inlineStr">
        <is>
          <t>2022-03</t>
        </is>
      </c>
      <c r="B160" s="13" t="inlineStr">
        <is>
          <t>元大定存利息</t>
        </is>
      </c>
      <c r="C160" s="7" t="inlineStr">
        <is>
          <t>683000016001</t>
        </is>
      </c>
      <c r="D160" s="13" t="inlineStr">
        <is>
          <t>元大定存利息 683000016001</t>
        </is>
      </c>
      <c r="E160" s="104" t="n">
        <v>2489</v>
      </c>
      <c r="F160" s="108" t="inlineStr">
        <is>
          <t>利息收入</t>
        </is>
      </c>
    </row>
    <row r="161" ht="16.5" customHeight="1" s="84">
      <c r="A161" s="7" t="inlineStr">
        <is>
          <t>2022-03</t>
        </is>
      </c>
      <c r="B161" s="13" t="inlineStr">
        <is>
          <t>管理費收入</t>
        </is>
      </c>
      <c r="C161" s="7" t="inlineStr">
        <is>
          <t>110年度Q4(S16)</t>
        </is>
      </c>
      <c r="D161" s="13" t="inlineStr">
        <is>
          <t>管理費收入 110年度Q4(S16)</t>
        </is>
      </c>
      <c r="E161" s="104" t="n">
        <v>5990</v>
      </c>
      <c r="F161" s="108" t="inlineStr">
        <is>
          <t>管理費收入</t>
        </is>
      </c>
    </row>
    <row r="162" ht="16.5" customHeight="1" s="84">
      <c r="A162" s="7" t="inlineStr">
        <is>
          <t>2022-03</t>
        </is>
      </c>
      <c r="B162" s="13" t="inlineStr">
        <is>
          <t>管理費收入</t>
        </is>
      </c>
      <c r="C162" s="7" t="inlineStr">
        <is>
          <t>111年度Q1</t>
        </is>
      </c>
      <c r="D162" s="13" t="inlineStr">
        <is>
          <t>管理費收入 111年度Q1</t>
        </is>
      </c>
      <c r="E162" s="104" t="n">
        <v>49881</v>
      </c>
      <c r="F162" s="108" t="inlineStr">
        <is>
          <t>管理費收入</t>
        </is>
      </c>
    </row>
    <row r="163" ht="16.5" customHeight="1" s="84">
      <c r="A163" s="7" t="inlineStr">
        <is>
          <t>2022-03</t>
        </is>
      </c>
      <c r="B163" s="13" t="inlineStr">
        <is>
          <t>管理費收入</t>
        </is>
      </c>
      <c r="C163" s="7" t="inlineStr">
        <is>
          <t>111年度Q2</t>
        </is>
      </c>
      <c r="D163" s="13" t="inlineStr">
        <is>
          <t>管理費收入 111年度Q2</t>
        </is>
      </c>
      <c r="E163" s="104" t="n">
        <v>21069</v>
      </c>
      <c r="F163" s="108" t="inlineStr">
        <is>
          <t>管理費收入</t>
        </is>
      </c>
    </row>
    <row r="164" ht="16.5" customHeight="1" s="84">
      <c r="A164" s="7" t="inlineStr">
        <is>
          <t>2022-03</t>
        </is>
      </c>
      <c r="B164" s="13" t="inlineStr">
        <is>
          <t>公設收入(二月)</t>
        </is>
      </c>
      <c r="C164" s="7" t="n"/>
      <c r="D164" s="13" t="inlineStr">
        <is>
          <t>公設收入(二月)</t>
        </is>
      </c>
      <c r="E164" s="104" t="n">
        <v>6955</v>
      </c>
      <c r="F164" s="108" t="inlineStr">
        <is>
          <t>公設收入</t>
        </is>
      </c>
    </row>
    <row r="165" ht="16.5" customHeight="1" s="84">
      <c r="A165" s="7" t="inlineStr">
        <is>
          <t>2022-03</t>
        </is>
      </c>
      <c r="B165" s="13" t="inlineStr">
        <is>
          <t>管委會出席費回存(二月)</t>
        </is>
      </c>
      <c r="C165" s="7" t="n"/>
      <c r="D165" s="13" t="inlineStr">
        <is>
          <t>管委會出席費回存(二月)</t>
        </is>
      </c>
      <c r="E165" s="104" t="n">
        <v>1500</v>
      </c>
      <c r="F165" s="108" t="inlineStr">
        <is>
          <t>出席費回存</t>
        </is>
      </c>
    </row>
    <row r="166" ht="16.5" customHeight="1" s="84">
      <c r="A166" s="7" t="inlineStr">
        <is>
          <t>2022-03</t>
        </is>
      </c>
      <c r="B166" s="13" t="inlineStr">
        <is>
          <t>公設收入(三月)</t>
        </is>
      </c>
      <c r="C166" s="7" t="n"/>
      <c r="D166" s="13" t="inlineStr">
        <is>
          <t>公設收入(三月)</t>
        </is>
      </c>
      <c r="E166" s="104" t="n">
        <v>8350</v>
      </c>
      <c r="F166" s="108" t="inlineStr">
        <is>
          <t>公設收入</t>
        </is>
      </c>
    </row>
    <row r="167" ht="16.5" customHeight="1" s="84">
      <c r="A167" s="7" t="inlineStr">
        <is>
          <t>2022-03</t>
        </is>
      </c>
      <c r="B167" s="13" t="inlineStr">
        <is>
          <t>管委會出席費回存(三月)</t>
        </is>
      </c>
      <c r="C167" s="7" t="n"/>
      <c r="D167" s="13" t="inlineStr">
        <is>
          <t>管委會出席費回存(三月)</t>
        </is>
      </c>
      <c r="E167" s="104" t="n">
        <v>1500</v>
      </c>
      <c r="F167" s="108" t="inlineStr">
        <is>
          <t>出席費回存</t>
        </is>
      </c>
    </row>
    <row r="168" ht="16.5" customHeight="1" s="84">
      <c r="A168" s="15" t="inlineStr">
        <is>
          <t>2022-03</t>
        </is>
      </c>
      <c r="B168" s="16" t="inlineStr">
        <is>
          <t>解定存2168-3000014551</t>
        </is>
      </c>
      <c r="C168" s="15" t="n"/>
      <c r="D168" s="16" t="inlineStr">
        <is>
          <t>解定存2168-3000014551</t>
        </is>
      </c>
      <c r="E168" s="109" t="n">
        <v>1000000</v>
      </c>
      <c r="F168" s="110" t="inlineStr">
        <is>
          <t>其他收入</t>
        </is>
      </c>
    </row>
    <row r="169" ht="16.5" customHeight="1" s="84">
      <c r="A169" s="15" t="inlineStr">
        <is>
          <t>2022-03</t>
        </is>
      </c>
      <c r="B169" s="15" t="inlineStr">
        <is>
          <t>L5管理費溢繳</t>
        </is>
      </c>
      <c r="C169" s="15" t="n"/>
      <c r="D169" s="15" t="inlineStr">
        <is>
          <t>L5管理費溢繳</t>
        </is>
      </c>
      <c r="E169" s="109" t="n">
        <v>6507</v>
      </c>
      <c r="F169" s="110" t="inlineStr">
        <is>
          <t>其他收入</t>
        </is>
      </c>
    </row>
    <row r="170" ht="15" customHeight="1" s="84">
      <c r="A170" s="15" t="inlineStr">
        <is>
          <t>2022-03</t>
        </is>
      </c>
      <c r="B170" s="16" t="inlineStr">
        <is>
          <t>今創舊衣回收回饋金</t>
        </is>
      </c>
      <c r="C170" s="15" t="n"/>
      <c r="D170" s="16" t="inlineStr">
        <is>
          <t>今創舊衣回收回饋金</t>
        </is>
      </c>
      <c r="E170" s="109" t="n">
        <v>10000</v>
      </c>
      <c r="F170" s="110" t="inlineStr">
        <is>
          <t>其他收入</t>
        </is>
      </c>
    </row>
    <row r="171" ht="16.5" customHeight="1" s="84">
      <c r="A171" s="15" t="inlineStr">
        <is>
          <t>2022-03</t>
        </is>
      </c>
      <c r="B171" s="15" t="inlineStr">
        <is>
          <t>B18住戶匯錯銀行</t>
        </is>
      </c>
      <c r="C171" s="15" t="n"/>
      <c r="D171" s="15" t="inlineStr">
        <is>
          <t>B18住戶匯錯銀行</t>
        </is>
      </c>
      <c r="E171" s="109" t="n">
        <v>100000</v>
      </c>
      <c r="F171" s="110" t="inlineStr">
        <is>
          <t>其他收入</t>
        </is>
      </c>
    </row>
    <row r="172" ht="15" customHeight="1" s="84">
      <c r="A172" s="7" t="inlineStr">
        <is>
          <t>2022-04</t>
        </is>
      </c>
      <c r="B172" s="13" t="inlineStr">
        <is>
          <t>元大活期利息</t>
        </is>
      </c>
      <c r="C172" s="7" t="n"/>
      <c r="D172" s="13" t="inlineStr">
        <is>
          <t>元大活期利息</t>
        </is>
      </c>
      <c r="E172" s="104" t="n">
        <v>0</v>
      </c>
      <c r="F172" s="108" t="inlineStr">
        <is>
          <t>利息收入</t>
        </is>
      </c>
    </row>
    <row r="173" ht="16.5" customHeight="1" s="84">
      <c r="A173" s="7" t="inlineStr">
        <is>
          <t>2022-04</t>
        </is>
      </c>
      <c r="B173" s="13" t="inlineStr">
        <is>
          <t>元大定存利息</t>
        </is>
      </c>
      <c r="C173" s="7" t="inlineStr">
        <is>
          <t>683000006773</t>
        </is>
      </c>
      <c r="D173" s="13" t="inlineStr">
        <is>
          <t>元大定存利息 683000006773</t>
        </is>
      </c>
      <c r="E173" s="104" t="n">
        <v>416</v>
      </c>
      <c r="F173" s="108" t="inlineStr">
        <is>
          <t>利息收入</t>
        </is>
      </c>
    </row>
    <row r="174" ht="16.5" customHeight="1" s="84">
      <c r="A174" s="7" t="inlineStr">
        <is>
          <t>2022-04</t>
        </is>
      </c>
      <c r="B174" s="13" t="inlineStr">
        <is>
          <t>元大定存利息</t>
        </is>
      </c>
      <c r="C174" s="7" t="inlineStr">
        <is>
          <t>683000006745</t>
        </is>
      </c>
      <c r="D174" s="13" t="inlineStr">
        <is>
          <t>元大定存利息 683000006745</t>
        </is>
      </c>
      <c r="E174" s="104" t="n">
        <v>416</v>
      </c>
      <c r="F174" s="108" t="inlineStr">
        <is>
          <t>利息收入</t>
        </is>
      </c>
    </row>
    <row r="175" ht="16.5" customHeight="1" s="84">
      <c r="A175" s="7" t="inlineStr">
        <is>
          <t>2022-04</t>
        </is>
      </c>
      <c r="B175" s="13" t="inlineStr">
        <is>
          <t>元大定存利息</t>
        </is>
      </c>
      <c r="C175" s="7" t="inlineStr">
        <is>
          <t>683000013365</t>
        </is>
      </c>
      <c r="D175" s="13" t="inlineStr">
        <is>
          <t>元大定存利息 683000013365</t>
        </is>
      </c>
      <c r="E175" s="104" t="n">
        <v>654</v>
      </c>
      <c r="F175" s="108" t="inlineStr">
        <is>
          <t>利息收入</t>
        </is>
      </c>
    </row>
    <row r="176" ht="16.5" customHeight="1" s="84">
      <c r="A176" s="7" t="inlineStr">
        <is>
          <t>2022-04</t>
        </is>
      </c>
      <c r="B176" s="13" t="inlineStr">
        <is>
          <t>元大定存利息</t>
        </is>
      </c>
      <c r="C176" s="7" t="inlineStr">
        <is>
          <t>683000016001</t>
        </is>
      </c>
      <c r="D176" s="13" t="inlineStr">
        <is>
          <t>元大定存利息 683000016001</t>
        </is>
      </c>
      <c r="E176" s="104" t="n">
        <v>1308</v>
      </c>
      <c r="F176" s="108" t="inlineStr">
        <is>
          <t>利息收入</t>
        </is>
      </c>
    </row>
    <row r="177" ht="16.5" customHeight="1" s="84">
      <c r="A177" s="7" t="inlineStr">
        <is>
          <t>2022-04</t>
        </is>
      </c>
      <c r="B177" s="13" t="inlineStr">
        <is>
          <t>管理費收入</t>
        </is>
      </c>
      <c r="C177" s="7" t="inlineStr">
        <is>
          <t>111年度Q1(I11)</t>
        </is>
      </c>
      <c r="D177" s="13" t="inlineStr">
        <is>
          <t>管理費收入 111年度Q1(I11)</t>
        </is>
      </c>
      <c r="E177" s="104" t="n">
        <v>6177</v>
      </c>
      <c r="F177" s="108" t="inlineStr">
        <is>
          <t>管理費收入</t>
        </is>
      </c>
    </row>
    <row r="178" ht="16.5" customHeight="1" s="84">
      <c r="A178" s="7" t="inlineStr">
        <is>
          <t>2022-04</t>
        </is>
      </c>
      <c r="B178" s="13" t="inlineStr">
        <is>
          <t>管理費收入</t>
        </is>
      </c>
      <c r="C178" s="7" t="inlineStr">
        <is>
          <t>111年度Q2</t>
        </is>
      </c>
      <c r="D178" s="13" t="inlineStr">
        <is>
          <t>管理費收入 111年度Q2</t>
        </is>
      </c>
      <c r="E178" s="104" t="n">
        <v>2949204</v>
      </c>
      <c r="F178" s="108" t="inlineStr">
        <is>
          <t>管理費收入</t>
        </is>
      </c>
    </row>
    <row r="179" ht="15" customHeight="1" s="84">
      <c r="A179" s="7" t="inlineStr">
        <is>
          <t>2022-04</t>
        </is>
      </c>
      <c r="B179" s="13" t="inlineStr">
        <is>
          <t>公設收入</t>
        </is>
      </c>
      <c r="C179" s="7" t="n"/>
      <c r="D179" s="13" t="inlineStr">
        <is>
          <t>公設收入</t>
        </is>
      </c>
      <c r="E179" s="104" t="n">
        <v>6160</v>
      </c>
      <c r="F179" s="108" t="inlineStr">
        <is>
          <t>公設收入</t>
        </is>
      </c>
    </row>
    <row r="180" ht="15" customHeight="1" s="84">
      <c r="A180" s="7" t="inlineStr">
        <is>
          <t>2022-04</t>
        </is>
      </c>
      <c r="B180" s="13" t="inlineStr">
        <is>
          <t>管委會出席費回存</t>
        </is>
      </c>
      <c r="C180" s="7" t="n"/>
      <c r="D180" s="13" t="inlineStr">
        <is>
          <t>管委會出席費回存</t>
        </is>
      </c>
      <c r="E180" s="104" t="n">
        <v>4000</v>
      </c>
      <c r="F180" s="108" t="inlineStr">
        <is>
          <t>出席費回存</t>
        </is>
      </c>
    </row>
    <row r="181" ht="15" customHeight="1" s="84">
      <c r="A181" s="7" t="inlineStr">
        <is>
          <t>2022-05</t>
        </is>
      </c>
      <c r="B181" s="13" t="inlineStr">
        <is>
          <t>元大活期利息</t>
        </is>
      </c>
      <c r="C181" s="7" t="n"/>
      <c r="D181" s="13" t="inlineStr">
        <is>
          <t>元大活期利息</t>
        </is>
      </c>
      <c r="E181" s="104" t="n">
        <v>0</v>
      </c>
      <c r="F181" s="108" t="inlineStr">
        <is>
          <t>利息收入</t>
        </is>
      </c>
    </row>
    <row r="182" ht="16.5" customHeight="1" s="84">
      <c r="A182" s="7" t="inlineStr">
        <is>
          <t>2022-05</t>
        </is>
      </c>
      <c r="B182" s="13" t="inlineStr">
        <is>
          <t>元大定存利息</t>
        </is>
      </c>
      <c r="C182" s="7" t="inlineStr">
        <is>
          <t>683000006773</t>
        </is>
      </c>
      <c r="D182" s="13" t="inlineStr">
        <is>
          <t>元大定存利息 683000006773</t>
        </is>
      </c>
      <c r="E182" s="104" t="n">
        <v>403</v>
      </c>
      <c r="F182" s="108" t="inlineStr">
        <is>
          <t>利息收入</t>
        </is>
      </c>
    </row>
    <row r="183" ht="16.5" customHeight="1" s="84">
      <c r="A183" s="7" t="inlineStr">
        <is>
          <t>2022-05</t>
        </is>
      </c>
      <c r="B183" s="13" t="inlineStr">
        <is>
          <t>元大定存利息</t>
        </is>
      </c>
      <c r="C183" s="7" t="inlineStr">
        <is>
          <t>683000006745</t>
        </is>
      </c>
      <c r="D183" s="13" t="inlineStr">
        <is>
          <t>元大定存利息 683000006745</t>
        </is>
      </c>
      <c r="E183" s="104" t="n">
        <v>403</v>
      </c>
      <c r="F183" s="108" t="inlineStr">
        <is>
          <t>利息收入</t>
        </is>
      </c>
    </row>
    <row r="184" ht="16.5" customHeight="1" s="84">
      <c r="A184" s="7" t="inlineStr">
        <is>
          <t>2022-05</t>
        </is>
      </c>
      <c r="B184" s="13" t="inlineStr">
        <is>
          <t>元大定存利息</t>
        </is>
      </c>
      <c r="C184" s="7" t="inlineStr">
        <is>
          <t>683000013365</t>
        </is>
      </c>
      <c r="D184" s="13" t="inlineStr">
        <is>
          <t>元大定存利息 683000013365</t>
        </is>
      </c>
      <c r="E184" s="104" t="n">
        <v>633</v>
      </c>
      <c r="F184" s="108" t="inlineStr">
        <is>
          <t>利息收入</t>
        </is>
      </c>
    </row>
    <row r="185" ht="16.5" customHeight="1" s="84">
      <c r="A185" s="7" t="inlineStr">
        <is>
          <t>2022-05</t>
        </is>
      </c>
      <c r="B185" s="13" t="inlineStr">
        <is>
          <t>元大定存利息</t>
        </is>
      </c>
      <c r="C185" s="7" t="inlineStr">
        <is>
          <t>683000016001</t>
        </is>
      </c>
      <c r="D185" s="13" t="inlineStr">
        <is>
          <t>元大定存利息 683000016001</t>
        </is>
      </c>
      <c r="E185" s="104" t="n">
        <v>1693</v>
      </c>
      <c r="F185" s="108" t="inlineStr">
        <is>
          <t>利息收入</t>
        </is>
      </c>
    </row>
    <row r="186" ht="16.5" customHeight="1" s="84">
      <c r="A186" s="7" t="inlineStr">
        <is>
          <t>2022-05</t>
        </is>
      </c>
      <c r="B186" s="13" t="inlineStr">
        <is>
          <t>管理費收入</t>
        </is>
      </c>
      <c r="C186" s="7" t="inlineStr">
        <is>
          <t>111年度Q2</t>
        </is>
      </c>
      <c r="D186" s="13" t="inlineStr">
        <is>
          <t>管理費收入 111年度Q2</t>
        </is>
      </c>
      <c r="E186" s="104" t="n">
        <v>703893</v>
      </c>
      <c r="F186" s="108" t="inlineStr">
        <is>
          <t>管理費收入</t>
        </is>
      </c>
    </row>
    <row r="187" ht="15" customHeight="1" s="84">
      <c r="A187" s="7" t="inlineStr">
        <is>
          <t>2022-05</t>
        </is>
      </c>
      <c r="B187" s="13" t="inlineStr">
        <is>
          <t>公設收入</t>
        </is>
      </c>
      <c r="C187" s="7" t="n"/>
      <c r="D187" s="13" t="inlineStr">
        <is>
          <t>公設收入</t>
        </is>
      </c>
      <c r="E187" s="104" t="n">
        <v>5895</v>
      </c>
      <c r="F187" s="108" t="inlineStr">
        <is>
          <t>公設收入</t>
        </is>
      </c>
    </row>
    <row r="188" ht="15" customHeight="1" s="84">
      <c r="A188" s="7" t="inlineStr">
        <is>
          <t>2022-05</t>
        </is>
      </c>
      <c r="B188" s="13" t="inlineStr">
        <is>
          <t>管委會出席費回存</t>
        </is>
      </c>
      <c r="C188" s="7" t="n"/>
      <c r="D188" s="13" t="inlineStr">
        <is>
          <t>管委會出席費回存</t>
        </is>
      </c>
      <c r="E188" s="104" t="n">
        <v>1500</v>
      </c>
      <c r="F188" s="108" t="inlineStr">
        <is>
          <t>出席費回存</t>
        </is>
      </c>
    </row>
    <row r="189" ht="15" customHeight="1" s="84">
      <c r="A189" s="7" t="inlineStr">
        <is>
          <t>2022-06</t>
        </is>
      </c>
      <c r="B189" s="13" t="inlineStr">
        <is>
          <t>元大活期利息</t>
        </is>
      </c>
      <c r="C189" s="7" t="n"/>
      <c r="D189" s="13" t="inlineStr">
        <is>
          <t>元大活期利息</t>
        </is>
      </c>
      <c r="E189" s="104" t="n">
        <v>1969</v>
      </c>
      <c r="F189" s="108" t="inlineStr">
        <is>
          <t>利息收入</t>
        </is>
      </c>
    </row>
    <row r="190" ht="16.5" customHeight="1" s="84">
      <c r="A190" s="7" t="inlineStr">
        <is>
          <t>2022-06</t>
        </is>
      </c>
      <c r="B190" s="13" t="inlineStr">
        <is>
          <t>元大定存利息</t>
        </is>
      </c>
      <c r="C190" s="7" t="inlineStr">
        <is>
          <t>683000006773</t>
        </is>
      </c>
      <c r="D190" s="13" t="inlineStr">
        <is>
          <t>元大定存利息 683000006773</t>
        </is>
      </c>
      <c r="E190" s="104" t="n">
        <v>416</v>
      </c>
      <c r="F190" s="108" t="inlineStr">
        <is>
          <t>利息收入</t>
        </is>
      </c>
    </row>
    <row r="191" ht="16.5" customHeight="1" s="84">
      <c r="A191" s="7" t="inlineStr">
        <is>
          <t>2022-06</t>
        </is>
      </c>
      <c r="B191" s="13" t="inlineStr">
        <is>
          <t>元大定存利息</t>
        </is>
      </c>
      <c r="C191" s="7" t="inlineStr">
        <is>
          <t>683000006745</t>
        </is>
      </c>
      <c r="D191" s="13" t="inlineStr">
        <is>
          <t>元大定存利息 683000006745</t>
        </is>
      </c>
      <c r="E191" s="104" t="n">
        <v>416</v>
      </c>
      <c r="F191" s="108" t="inlineStr">
        <is>
          <t>利息收入</t>
        </is>
      </c>
    </row>
    <row r="192" ht="16.5" customHeight="1" s="84">
      <c r="A192" s="7" t="inlineStr">
        <is>
          <t>2022-06</t>
        </is>
      </c>
      <c r="B192" s="13" t="inlineStr">
        <is>
          <t>元大定存利息</t>
        </is>
      </c>
      <c r="C192" s="7" t="inlineStr">
        <is>
          <t>683000013365</t>
        </is>
      </c>
      <c r="D192" s="13" t="inlineStr">
        <is>
          <t>元大定存利息 683000013365</t>
        </is>
      </c>
      <c r="E192" s="104" t="n">
        <v>654</v>
      </c>
      <c r="F192" s="108" t="inlineStr">
        <is>
          <t>利息收入</t>
        </is>
      </c>
    </row>
    <row r="193" ht="16.5" customHeight="1" s="84">
      <c r="A193" s="7" t="inlineStr">
        <is>
          <t>2022-06</t>
        </is>
      </c>
      <c r="B193" s="13" t="inlineStr">
        <is>
          <t>元大定存利息</t>
        </is>
      </c>
      <c r="C193" s="7" t="inlineStr">
        <is>
          <t>683000016001</t>
        </is>
      </c>
      <c r="D193" s="13" t="inlineStr">
        <is>
          <t>元大定存利息 683000016001</t>
        </is>
      </c>
      <c r="E193" s="104" t="n">
        <v>1750</v>
      </c>
      <c r="F193" s="108" t="inlineStr">
        <is>
          <t>利息收入</t>
        </is>
      </c>
    </row>
    <row r="194" ht="16.5" customHeight="1" s="84">
      <c r="A194" s="7" t="inlineStr">
        <is>
          <t>2022-06</t>
        </is>
      </c>
      <c r="B194" s="13" t="inlineStr">
        <is>
          <t>管理費收入</t>
        </is>
      </c>
      <c r="C194" s="7" t="inlineStr">
        <is>
          <t>111年度Q2</t>
        </is>
      </c>
      <c r="D194" s="13" t="inlineStr">
        <is>
          <t>管理費收入 111年度Q2</t>
        </is>
      </c>
      <c r="E194" s="104" t="n">
        <v>79311</v>
      </c>
      <c r="F194" s="108" t="inlineStr">
        <is>
          <t>管理費收入</t>
        </is>
      </c>
    </row>
    <row r="195" ht="16.5" customHeight="1" s="84">
      <c r="A195" s="7" t="inlineStr">
        <is>
          <t>2022-06</t>
        </is>
      </c>
      <c r="B195" s="13" t="inlineStr">
        <is>
          <t>管理費收入</t>
        </is>
      </c>
      <c r="C195" s="7" t="inlineStr">
        <is>
          <t>111年度Q1(S08)</t>
        </is>
      </c>
      <c r="D195" s="13" t="inlineStr">
        <is>
          <t>管理費收入 111年度Q1(S08)</t>
        </is>
      </c>
      <c r="E195" s="104" t="n">
        <v>6141</v>
      </c>
      <c r="F195" s="108" t="inlineStr">
        <is>
          <t>管理費收入</t>
        </is>
      </c>
    </row>
    <row r="196" ht="15" customHeight="1" s="84">
      <c r="A196" s="7" t="inlineStr">
        <is>
          <t>2022-06</t>
        </is>
      </c>
      <c r="B196" s="13" t="inlineStr">
        <is>
          <t>公設收入</t>
        </is>
      </c>
      <c r="C196" s="7" t="n"/>
      <c r="D196" s="13" t="inlineStr">
        <is>
          <t>公設收入</t>
        </is>
      </c>
      <c r="E196" s="104" t="n">
        <v>9560</v>
      </c>
      <c r="F196" s="108" t="inlineStr">
        <is>
          <t>公設收入</t>
        </is>
      </c>
    </row>
    <row r="197" ht="15" customHeight="1" s="84">
      <c r="A197" s="7" t="inlineStr">
        <is>
          <t>2022-06</t>
        </is>
      </c>
      <c r="B197" s="13" t="inlineStr">
        <is>
          <t>管委會出席費回存</t>
        </is>
      </c>
      <c r="C197" s="7" t="n"/>
      <c r="D197" s="13" t="inlineStr">
        <is>
          <t>管委會出席費回存</t>
        </is>
      </c>
      <c r="E197" s="104" t="n">
        <v>2000</v>
      </c>
      <c r="F197" s="108" t="inlineStr">
        <is>
          <t>出席費回存</t>
        </is>
      </c>
    </row>
    <row r="198" ht="15" customHeight="1" s="84">
      <c r="A198" s="7" t="inlineStr">
        <is>
          <t>2022-07</t>
        </is>
      </c>
      <c r="B198" s="13" t="inlineStr">
        <is>
          <t>元大活期利息</t>
        </is>
      </c>
      <c r="C198" s="7" t="n"/>
      <c r="D198" s="13" t="inlineStr">
        <is>
          <t>元大活期利息</t>
        </is>
      </c>
      <c r="E198" s="104" t="n">
        <v>728</v>
      </c>
      <c r="F198" s="108" t="inlineStr">
        <is>
          <t>利息收入</t>
        </is>
      </c>
    </row>
    <row r="199" ht="16.5" customHeight="1" s="84">
      <c r="A199" s="7" t="inlineStr">
        <is>
          <t>2022-07</t>
        </is>
      </c>
      <c r="B199" s="13" t="inlineStr">
        <is>
          <t>元大定存利息</t>
        </is>
      </c>
      <c r="C199" s="7" t="inlineStr">
        <is>
          <t>683000006773</t>
        </is>
      </c>
      <c r="D199" s="13" t="inlineStr">
        <is>
          <t>元大定存利息 683000006773</t>
        </is>
      </c>
      <c r="E199" s="104" t="n">
        <v>403</v>
      </c>
      <c r="F199" s="108" t="inlineStr">
        <is>
          <t>利息收入</t>
        </is>
      </c>
    </row>
    <row r="200" ht="16.5" customHeight="1" s="84">
      <c r="A200" s="7" t="inlineStr">
        <is>
          <t>2022-07</t>
        </is>
      </c>
      <c r="B200" s="13" t="inlineStr">
        <is>
          <t>元大定存利息</t>
        </is>
      </c>
      <c r="C200" s="7" t="inlineStr">
        <is>
          <t>683000006745</t>
        </is>
      </c>
      <c r="D200" s="13" t="inlineStr">
        <is>
          <t>元大定存利息 683000006745</t>
        </is>
      </c>
      <c r="E200" s="104" t="n">
        <v>403</v>
      </c>
      <c r="F200" s="108" t="inlineStr">
        <is>
          <t>利息收入</t>
        </is>
      </c>
    </row>
    <row r="201" ht="16.5" customHeight="1" s="84">
      <c r="A201" s="7" t="inlineStr">
        <is>
          <t>2022-07</t>
        </is>
      </c>
      <c r="B201" s="13" t="inlineStr">
        <is>
          <t>元大定存利息</t>
        </is>
      </c>
      <c r="C201" s="7" t="inlineStr">
        <is>
          <t>683000013365</t>
        </is>
      </c>
      <c r="D201" s="13" t="inlineStr">
        <is>
          <t>元大定存利息 683000013365</t>
        </is>
      </c>
      <c r="E201" s="104" t="n">
        <v>633</v>
      </c>
      <c r="F201" s="108" t="inlineStr">
        <is>
          <t>利息收入</t>
        </is>
      </c>
    </row>
    <row r="202" ht="16.5" customHeight="1" s="84">
      <c r="A202" s="7" t="inlineStr">
        <is>
          <t>2022-07</t>
        </is>
      </c>
      <c r="B202" s="13" t="inlineStr">
        <is>
          <t>元大定存利息</t>
        </is>
      </c>
      <c r="C202" s="7" t="inlineStr">
        <is>
          <t>683000016001</t>
        </is>
      </c>
      <c r="D202" s="13" t="inlineStr">
        <is>
          <t>元大定存利息 683000016001</t>
        </is>
      </c>
      <c r="E202" s="104" t="n">
        <v>1693</v>
      </c>
      <c r="F202" s="108" t="inlineStr">
        <is>
          <t>利息收入</t>
        </is>
      </c>
    </row>
    <row r="203" ht="16.5" customHeight="1" s="84">
      <c r="A203" s="7" t="inlineStr">
        <is>
          <t>2022-07</t>
        </is>
      </c>
      <c r="B203" s="13" t="inlineStr">
        <is>
          <t>管理費收入</t>
        </is>
      </c>
      <c r="C203" s="7" t="inlineStr">
        <is>
          <t>111年度Q2</t>
        </is>
      </c>
      <c r="D203" s="13" t="inlineStr">
        <is>
          <t>管理費收入 111年度Q2</t>
        </is>
      </c>
      <c r="E203" s="104" t="n">
        <v>71224</v>
      </c>
      <c r="F203" s="108" t="inlineStr">
        <is>
          <t>管理費收入</t>
        </is>
      </c>
    </row>
    <row r="204" ht="16.5" customHeight="1" s="84">
      <c r="A204" s="7" t="inlineStr">
        <is>
          <t>2022-07</t>
        </is>
      </c>
      <c r="B204" s="13" t="inlineStr">
        <is>
          <t>管理費收入</t>
        </is>
      </c>
      <c r="C204" s="7" t="inlineStr">
        <is>
          <t>111年度Q3</t>
        </is>
      </c>
      <c r="D204" s="13" t="inlineStr">
        <is>
          <t>管理費收入 111年度Q3</t>
        </is>
      </c>
      <c r="E204" s="104" t="n">
        <v>2876628</v>
      </c>
      <c r="F204" s="108" t="inlineStr">
        <is>
          <t>管理費收入</t>
        </is>
      </c>
    </row>
    <row r="205" ht="15" customHeight="1" s="84">
      <c r="A205" s="7" t="inlineStr">
        <is>
          <t>2022-07</t>
        </is>
      </c>
      <c r="B205" s="13" t="inlineStr">
        <is>
          <t>公設收入</t>
        </is>
      </c>
      <c r="C205" s="7" t="n"/>
      <c r="D205" s="13" t="inlineStr">
        <is>
          <t>公設收入</t>
        </is>
      </c>
      <c r="E205" s="104" t="n">
        <v>5295</v>
      </c>
      <c r="F205" s="108" t="inlineStr">
        <is>
          <t>公設收入</t>
        </is>
      </c>
    </row>
    <row r="206" ht="15" customHeight="1" s="84">
      <c r="A206" s="7" t="inlineStr">
        <is>
          <t>2022-07</t>
        </is>
      </c>
      <c r="B206" s="13" t="inlineStr">
        <is>
          <t>管委會出席費回存</t>
        </is>
      </c>
      <c r="C206" s="7" t="n"/>
      <c r="D206" s="13" t="inlineStr">
        <is>
          <t>管委會出席費回存</t>
        </is>
      </c>
      <c r="E206" s="104" t="n">
        <v>1500</v>
      </c>
      <c r="F206" s="108" t="inlineStr">
        <is>
          <t>出席費回存</t>
        </is>
      </c>
    </row>
    <row r="207" ht="16.5" customHeight="1" s="84">
      <c r="A207" s="15" t="inlineStr">
        <is>
          <t>2022-07</t>
        </is>
      </c>
      <c r="B207" s="16" t="inlineStr">
        <is>
          <t>管理費(I11)溢繳(8月退匯)</t>
        </is>
      </c>
      <c r="C207" s="15" t="n"/>
      <c r="D207" s="16" t="inlineStr">
        <is>
          <t>管理費(I11)溢繳(8月退匯)</t>
        </is>
      </c>
      <c r="E207" s="109" t="n">
        <v>6177</v>
      </c>
      <c r="F207" s="110" t="inlineStr">
        <is>
          <t>其他收入</t>
        </is>
      </c>
    </row>
    <row r="208" ht="15" customHeight="1" s="84">
      <c r="A208" s="7" t="inlineStr">
        <is>
          <t>2022-08</t>
        </is>
      </c>
      <c r="B208" s="13" t="inlineStr">
        <is>
          <t>元大活期利息</t>
        </is>
      </c>
      <c r="C208" s="7" t="n"/>
      <c r="D208" s="13" t="inlineStr">
        <is>
          <t>元大活期利息</t>
        </is>
      </c>
      <c r="E208" s="104" t="n">
        <v>1309</v>
      </c>
      <c r="F208" s="108" t="inlineStr">
        <is>
          <t>利息收入</t>
        </is>
      </c>
    </row>
    <row r="209" ht="16.5" customHeight="1" s="84">
      <c r="A209" s="7" t="inlineStr">
        <is>
          <t>2022-08</t>
        </is>
      </c>
      <c r="B209" s="13" t="inlineStr">
        <is>
          <t>元大定存利息</t>
        </is>
      </c>
      <c r="C209" s="7" t="inlineStr">
        <is>
          <t>683000006773</t>
        </is>
      </c>
      <c r="D209" s="13" t="inlineStr">
        <is>
          <t>元大定存利息 683000006773</t>
        </is>
      </c>
      <c r="E209" s="104" t="n">
        <v>416</v>
      </c>
      <c r="F209" s="108" t="inlineStr">
        <is>
          <t>利息收入</t>
        </is>
      </c>
    </row>
    <row r="210" ht="16.5" customHeight="1" s="84">
      <c r="A210" s="7" t="inlineStr">
        <is>
          <t>2022-08</t>
        </is>
      </c>
      <c r="B210" s="13" t="inlineStr">
        <is>
          <t>元大定存利息</t>
        </is>
      </c>
      <c r="C210" s="7" t="inlineStr">
        <is>
          <t>683000006745</t>
        </is>
      </c>
      <c r="D210" s="13" t="inlineStr">
        <is>
          <t>元大定存利息 683000006745</t>
        </is>
      </c>
      <c r="E210" s="104" t="n">
        <v>416</v>
      </c>
      <c r="F210" s="108" t="inlineStr">
        <is>
          <t>利息收入</t>
        </is>
      </c>
    </row>
    <row r="211" ht="16.5" customHeight="1" s="84">
      <c r="A211" s="7" t="inlineStr">
        <is>
          <t>2022-08</t>
        </is>
      </c>
      <c r="B211" s="13" t="inlineStr">
        <is>
          <t>元大定存利息</t>
        </is>
      </c>
      <c r="C211" s="7" t="inlineStr">
        <is>
          <t>683000013365</t>
        </is>
      </c>
      <c r="D211" s="13" t="inlineStr">
        <is>
          <t>元大定存利息 683000013365</t>
        </is>
      </c>
      <c r="E211" s="104" t="n">
        <v>654</v>
      </c>
      <c r="F211" s="108" t="inlineStr">
        <is>
          <t>利息收入</t>
        </is>
      </c>
    </row>
    <row r="212" ht="16.5" customHeight="1" s="84">
      <c r="A212" s="7" t="inlineStr">
        <is>
          <t>2022-08</t>
        </is>
      </c>
      <c r="B212" s="13" t="inlineStr">
        <is>
          <t>元大定存利息</t>
        </is>
      </c>
      <c r="C212" s="7" t="inlineStr">
        <is>
          <t>683000016001</t>
        </is>
      </c>
      <c r="D212" s="13" t="inlineStr">
        <is>
          <t>元大定存利息 683000016001</t>
        </is>
      </c>
      <c r="E212" s="104" t="n">
        <v>1750</v>
      </c>
      <c r="F212" s="108" t="inlineStr">
        <is>
          <t>利息收入</t>
        </is>
      </c>
    </row>
    <row r="213" ht="16.5" customHeight="1" s="84">
      <c r="A213" s="7" t="inlineStr">
        <is>
          <t>2022-08</t>
        </is>
      </c>
      <c r="B213" s="13" t="inlineStr">
        <is>
          <t>管理費收入</t>
        </is>
      </c>
      <c r="C213" s="7" t="inlineStr">
        <is>
          <t>111年度Q2 (S18、Q04、C10)</t>
        </is>
      </c>
      <c r="D213" s="13" t="inlineStr">
        <is>
          <t>管理費收入 111年度Q2 (S18、Q04、C10)</t>
        </is>
      </c>
      <c r="E213" s="104" t="n">
        <v>25359</v>
      </c>
      <c r="F213" s="108" t="inlineStr">
        <is>
          <t>管理費收入</t>
        </is>
      </c>
    </row>
    <row r="214" ht="16.5" customHeight="1" s="84">
      <c r="A214" s="7" t="inlineStr">
        <is>
          <t>2022-08</t>
        </is>
      </c>
      <c r="B214" s="13" t="inlineStr">
        <is>
          <t>管理費收入</t>
        </is>
      </c>
      <c r="C214" s="7" t="inlineStr">
        <is>
          <t>111年度Q3</t>
        </is>
      </c>
      <c r="D214" s="13" t="inlineStr">
        <is>
          <t>管理費收入 111年度Q3</t>
        </is>
      </c>
      <c r="E214" s="104" t="n">
        <v>810531</v>
      </c>
      <c r="F214" s="108" t="inlineStr">
        <is>
          <t>管理費收入</t>
        </is>
      </c>
    </row>
    <row r="215" ht="15" customHeight="1" s="84">
      <c r="A215" s="7" t="inlineStr">
        <is>
          <t>2022-08</t>
        </is>
      </c>
      <c r="B215" s="13" t="inlineStr">
        <is>
          <t>公設收入</t>
        </is>
      </c>
      <c r="C215" s="7" t="n"/>
      <c r="D215" s="13" t="inlineStr">
        <is>
          <t>公設收入</t>
        </is>
      </c>
      <c r="E215" s="104" t="n">
        <v>5035</v>
      </c>
      <c r="F215" s="108" t="inlineStr">
        <is>
          <t>公設收入</t>
        </is>
      </c>
    </row>
    <row r="216" ht="15" customHeight="1" s="84">
      <c r="A216" s="7" t="inlineStr">
        <is>
          <t>2022-08</t>
        </is>
      </c>
      <c r="B216" s="13" t="inlineStr">
        <is>
          <t>管委會出席費回存</t>
        </is>
      </c>
      <c r="C216" s="7" t="n"/>
      <c r="D216" s="13" t="inlineStr">
        <is>
          <t>管委會出席費回存</t>
        </is>
      </c>
      <c r="E216" s="104" t="n">
        <v>2500</v>
      </c>
      <c r="F216" s="108" t="inlineStr">
        <is>
          <t>出席費回存</t>
        </is>
      </c>
    </row>
    <row r="217" ht="15" customHeight="1" s="84">
      <c r="A217" s="7" t="inlineStr">
        <is>
          <t>2022-09</t>
        </is>
      </c>
      <c r="B217" s="13" t="inlineStr">
        <is>
          <t>元大活期利息</t>
        </is>
      </c>
      <c r="C217" s="7" t="n"/>
      <c r="D217" s="13" t="inlineStr">
        <is>
          <t>元大活期利息</t>
        </is>
      </c>
      <c r="E217" s="104" t="n">
        <v>1070</v>
      </c>
      <c r="F217" s="108" t="inlineStr">
        <is>
          <t>利息收入</t>
        </is>
      </c>
    </row>
    <row r="218" ht="16.5" customHeight="1" s="84">
      <c r="A218" s="7" t="inlineStr">
        <is>
          <t>2022-09</t>
        </is>
      </c>
      <c r="B218" s="13" t="inlineStr">
        <is>
          <t>元大定存利息</t>
        </is>
      </c>
      <c r="C218" s="7" t="inlineStr">
        <is>
          <t>683000006773</t>
        </is>
      </c>
      <c r="D218" s="13" t="inlineStr">
        <is>
          <t>元大定存利息 683000006773</t>
        </is>
      </c>
      <c r="E218" s="104" t="n">
        <v>416</v>
      </c>
      <c r="F218" s="108" t="inlineStr">
        <is>
          <t>利息收入</t>
        </is>
      </c>
    </row>
    <row r="219" ht="16.5" customHeight="1" s="84">
      <c r="A219" s="7" t="inlineStr">
        <is>
          <t>2022-09</t>
        </is>
      </c>
      <c r="B219" s="13" t="inlineStr">
        <is>
          <t>元大定存利息</t>
        </is>
      </c>
      <c r="C219" s="7" t="inlineStr">
        <is>
          <t>683000006745</t>
        </is>
      </c>
      <c r="D219" s="13" t="inlineStr">
        <is>
          <t>元大定存利息 683000006745</t>
        </is>
      </c>
      <c r="E219" s="104" t="n">
        <v>416</v>
      </c>
      <c r="F219" s="108" t="inlineStr">
        <is>
          <t>利息收入</t>
        </is>
      </c>
    </row>
    <row r="220" ht="16.5" customHeight="1" s="84">
      <c r="A220" s="7" t="inlineStr">
        <is>
          <t>2022-09</t>
        </is>
      </c>
      <c r="B220" s="13" t="inlineStr">
        <is>
          <t>元大定存利息</t>
        </is>
      </c>
      <c r="C220" s="7" t="inlineStr">
        <is>
          <t>683000013365</t>
        </is>
      </c>
      <c r="D220" s="13" t="inlineStr">
        <is>
          <t>元大定存利息 683000013365</t>
        </is>
      </c>
      <c r="E220" s="104" t="n">
        <v>654</v>
      </c>
      <c r="F220" s="108" t="inlineStr">
        <is>
          <t>利息收入</t>
        </is>
      </c>
    </row>
    <row r="221" ht="16.5" customHeight="1" s="84">
      <c r="A221" s="7" t="inlineStr">
        <is>
          <t>2022-09</t>
        </is>
      </c>
      <c r="B221" s="13" t="inlineStr">
        <is>
          <t>元大定存利息</t>
        </is>
      </c>
      <c r="C221" s="7" t="inlineStr">
        <is>
          <t>683000016001</t>
        </is>
      </c>
      <c r="D221" s="13" t="inlineStr">
        <is>
          <t>元大定存利息 683000016001</t>
        </is>
      </c>
      <c r="E221" s="104" t="n">
        <v>1750</v>
      </c>
      <c r="F221" s="108" t="inlineStr">
        <is>
          <t>利息收入</t>
        </is>
      </c>
    </row>
    <row r="222" ht="16.5" customHeight="1" s="84">
      <c r="A222" s="7" t="inlineStr">
        <is>
          <t>2022-09</t>
        </is>
      </c>
      <c r="B222" s="13" t="inlineStr">
        <is>
          <t>管理費收入</t>
        </is>
      </c>
      <c r="C222" s="7" t="inlineStr">
        <is>
          <t>111年度Q3</t>
        </is>
      </c>
      <c r="D222" s="13" t="inlineStr">
        <is>
          <t>管理費收入 111年度Q3</t>
        </is>
      </c>
      <c r="E222" s="104" t="n">
        <v>132612</v>
      </c>
      <c r="F222" s="108" t="inlineStr">
        <is>
          <t>管理費收入</t>
        </is>
      </c>
    </row>
    <row r="223" ht="15" customHeight="1" s="84">
      <c r="A223" s="7" t="inlineStr">
        <is>
          <t>2022-09</t>
        </is>
      </c>
      <c r="B223" s="13" t="inlineStr">
        <is>
          <t>公設收入</t>
        </is>
      </c>
      <c r="C223" s="7" t="n"/>
      <c r="D223" s="13" t="inlineStr">
        <is>
          <t>公設收入</t>
        </is>
      </c>
      <c r="E223" s="104" t="n">
        <v>9090</v>
      </c>
      <c r="F223" s="108" t="inlineStr">
        <is>
          <t>公設收入</t>
        </is>
      </c>
    </row>
    <row r="224" ht="15" customHeight="1" s="84">
      <c r="A224" s="7" t="inlineStr">
        <is>
          <t>2022-09</t>
        </is>
      </c>
      <c r="B224" s="13" t="inlineStr">
        <is>
          <t>管委會出席費回存</t>
        </is>
      </c>
      <c r="C224" s="7" t="n"/>
      <c r="D224" s="13" t="inlineStr">
        <is>
          <t>管委會出席費回存</t>
        </is>
      </c>
      <c r="E224" s="104" t="n">
        <v>3000</v>
      </c>
      <c r="F224" s="108" t="inlineStr">
        <is>
          <t>出席費回存</t>
        </is>
      </c>
    </row>
    <row r="225" ht="15" customHeight="1" s="84">
      <c r="A225" s="7" t="inlineStr">
        <is>
          <t>2022-10</t>
        </is>
      </c>
      <c r="B225" s="13" t="inlineStr">
        <is>
          <t>元大活期利息</t>
        </is>
      </c>
      <c r="C225" s="7" t="n"/>
      <c r="D225" s="13" t="inlineStr">
        <is>
          <t>元大活期利息</t>
        </is>
      </c>
      <c r="E225" s="104" t="n">
        <v>1351</v>
      </c>
      <c r="F225" s="108" t="inlineStr">
        <is>
          <t>利息收入</t>
        </is>
      </c>
    </row>
    <row r="226" ht="16.5" customHeight="1" s="84">
      <c r="A226" s="7" t="inlineStr">
        <is>
          <t>2022-10</t>
        </is>
      </c>
      <c r="B226" s="13" t="inlineStr">
        <is>
          <t>元大定存利息</t>
        </is>
      </c>
      <c r="C226" s="7" t="inlineStr">
        <is>
          <t>683000006773</t>
        </is>
      </c>
      <c r="D226" s="13" t="inlineStr">
        <is>
          <t>元大定存利息 683000006773</t>
        </is>
      </c>
      <c r="E226" s="104" t="n">
        <v>719</v>
      </c>
      <c r="F226" s="108" t="inlineStr">
        <is>
          <t>利息收入</t>
        </is>
      </c>
    </row>
    <row r="227" ht="16.5" customHeight="1" s="84">
      <c r="A227" s="7" t="inlineStr">
        <is>
          <t>2022-10</t>
        </is>
      </c>
      <c r="B227" s="13" t="inlineStr">
        <is>
          <t>元大定存利息</t>
        </is>
      </c>
      <c r="C227" s="7" t="inlineStr">
        <is>
          <t>683000006745</t>
        </is>
      </c>
      <c r="D227" s="13" t="inlineStr">
        <is>
          <t>元大定存利息 683000006745</t>
        </is>
      </c>
      <c r="E227" s="104" t="n">
        <v>719</v>
      </c>
      <c r="F227" s="108" t="inlineStr">
        <is>
          <t>利息收入</t>
        </is>
      </c>
    </row>
    <row r="228" ht="16.5" customHeight="1" s="84">
      <c r="A228" s="7" t="inlineStr">
        <is>
          <t>2022-10</t>
        </is>
      </c>
      <c r="B228" s="13" t="inlineStr">
        <is>
          <t>元大定存利息</t>
        </is>
      </c>
      <c r="C228" s="7" t="inlineStr">
        <is>
          <t>683000013365</t>
        </is>
      </c>
      <c r="D228" s="13" t="inlineStr">
        <is>
          <t>元大定存利息 683000013365</t>
        </is>
      </c>
      <c r="E228" s="104" t="n">
        <v>949</v>
      </c>
      <c r="F228" s="108" t="inlineStr">
        <is>
          <t>利息收入</t>
        </is>
      </c>
    </row>
    <row r="229" ht="16.5" customHeight="1" s="84">
      <c r="A229" s="7" t="inlineStr">
        <is>
          <t>2022-10</t>
        </is>
      </c>
      <c r="B229" s="13" t="inlineStr">
        <is>
          <t>元大定存利息</t>
        </is>
      </c>
      <c r="C229" s="7" t="inlineStr">
        <is>
          <t>683000016001</t>
        </is>
      </c>
      <c r="D229" s="13" t="inlineStr">
        <is>
          <t>元大定存利息 683000016001</t>
        </is>
      </c>
      <c r="E229" s="104" t="n">
        <v>1693</v>
      </c>
      <c r="F229" s="108" t="inlineStr">
        <is>
          <t>利息收入</t>
        </is>
      </c>
    </row>
    <row r="230" ht="16.5" customHeight="1" s="84">
      <c r="A230" s="7" t="inlineStr">
        <is>
          <t>2022-10</t>
        </is>
      </c>
      <c r="B230" s="13" t="inlineStr">
        <is>
          <t>管理費收入</t>
        </is>
      </c>
      <c r="C230" s="7" t="inlineStr">
        <is>
          <t>111年度Q2(S08)</t>
        </is>
      </c>
      <c r="D230" s="13" t="inlineStr">
        <is>
          <t>管理費收入 111年度Q2(S08)</t>
        </is>
      </c>
      <c r="E230" s="104" t="n">
        <v>7776</v>
      </c>
      <c r="F230" s="108" t="inlineStr">
        <is>
          <t>管理費收入</t>
        </is>
      </c>
    </row>
    <row r="231" ht="16.5" customHeight="1" s="84">
      <c r="A231" s="7" t="inlineStr">
        <is>
          <t>2022-10</t>
        </is>
      </c>
      <c r="B231" s="13" t="inlineStr">
        <is>
          <t>管理費收入</t>
        </is>
      </c>
      <c r="C231" s="7" t="inlineStr">
        <is>
          <t>111年度Q3(C12、S01)</t>
        </is>
      </c>
      <c r="D231" s="13" t="inlineStr">
        <is>
          <t>管理費收入 111年度Q3(C12、S01)</t>
        </is>
      </c>
      <c r="E231" s="104" t="n">
        <v>17574</v>
      </c>
      <c r="F231" s="108" t="inlineStr">
        <is>
          <t>管理費收入</t>
        </is>
      </c>
    </row>
    <row r="232" ht="16.5" customHeight="1" s="84">
      <c r="A232" s="7" t="inlineStr">
        <is>
          <t>2022-10</t>
        </is>
      </c>
      <c r="B232" s="13" t="inlineStr">
        <is>
          <t>管理費收入</t>
        </is>
      </c>
      <c r="C232" s="7" t="inlineStr">
        <is>
          <t>111年度Q4</t>
        </is>
      </c>
      <c r="D232" s="13" t="inlineStr">
        <is>
          <t>管理費收入 111年度Q4</t>
        </is>
      </c>
      <c r="E232" s="104" t="n">
        <v>3198063</v>
      </c>
      <c r="F232" s="108" t="inlineStr">
        <is>
          <t>管理費收入</t>
        </is>
      </c>
    </row>
    <row r="233" ht="15" customHeight="1" s="84">
      <c r="A233" s="7" t="inlineStr">
        <is>
          <t>2022-10</t>
        </is>
      </c>
      <c r="B233" s="13" t="inlineStr">
        <is>
          <t>公設收入</t>
        </is>
      </c>
      <c r="C233" s="7" t="n"/>
      <c r="D233" s="13" t="inlineStr">
        <is>
          <t>公設收入</t>
        </is>
      </c>
      <c r="E233" s="104" t="n">
        <v>6625</v>
      </c>
      <c r="F233" s="108" t="inlineStr">
        <is>
          <t>公設收入</t>
        </is>
      </c>
    </row>
    <row r="234" ht="15" customHeight="1" s="84">
      <c r="A234" s="7" t="inlineStr">
        <is>
          <t>2022-10</t>
        </is>
      </c>
      <c r="B234" s="13" t="inlineStr">
        <is>
          <t>管委會出席費回存</t>
        </is>
      </c>
      <c r="C234" s="7" t="n"/>
      <c r="D234" s="13" t="inlineStr">
        <is>
          <t>管委會出席費回存</t>
        </is>
      </c>
      <c r="E234" s="104" t="n">
        <v>2000</v>
      </c>
      <c r="F234" s="108" t="inlineStr">
        <is>
          <t>出席費回存</t>
        </is>
      </c>
    </row>
    <row r="235" ht="15" customHeight="1" s="84">
      <c r="A235" s="7" t="inlineStr">
        <is>
          <t>2022-11</t>
        </is>
      </c>
      <c r="B235" s="13" t="inlineStr">
        <is>
          <t>元大活期利息</t>
        </is>
      </c>
      <c r="C235" s="7" t="n"/>
      <c r="D235" s="13" t="inlineStr">
        <is>
          <t>元大活期利息</t>
        </is>
      </c>
      <c r="E235" s="104" t="n">
        <v>1972</v>
      </c>
      <c r="F235" s="108" t="inlineStr">
        <is>
          <t>利息收入</t>
        </is>
      </c>
    </row>
    <row r="236" ht="16.5" customHeight="1" s="84">
      <c r="A236" s="7" t="inlineStr">
        <is>
          <t>2022-11</t>
        </is>
      </c>
      <c r="B236" s="13" t="inlineStr">
        <is>
          <t>元大定存利息</t>
        </is>
      </c>
      <c r="C236" s="7" t="inlineStr">
        <is>
          <t>683000016001</t>
        </is>
      </c>
      <c r="D236" s="13" t="inlineStr">
        <is>
          <t>元大定存利息 683000016001</t>
        </is>
      </c>
      <c r="E236" s="104" t="n">
        <v>1750</v>
      </c>
      <c r="F236" s="108" t="inlineStr">
        <is>
          <t>利息收入</t>
        </is>
      </c>
    </row>
    <row r="237" ht="16.5" customHeight="1" s="84">
      <c r="A237" s="7" t="inlineStr">
        <is>
          <t>2022-11</t>
        </is>
      </c>
      <c r="B237" s="13" t="inlineStr">
        <is>
          <t>元大定存利息</t>
        </is>
      </c>
      <c r="C237" s="7" t="inlineStr">
        <is>
          <t>683000006773</t>
        </is>
      </c>
      <c r="D237" s="13" t="inlineStr">
        <is>
          <t>元大定存利息 683000006773</t>
        </is>
      </c>
      <c r="E237" s="104" t="n">
        <v>743</v>
      </c>
      <c r="F237" s="108" t="inlineStr">
        <is>
          <t>利息收入</t>
        </is>
      </c>
    </row>
    <row r="238" ht="16.5" customHeight="1" s="84">
      <c r="A238" s="7" t="inlineStr">
        <is>
          <t>2022-11</t>
        </is>
      </c>
      <c r="B238" s="13" t="inlineStr">
        <is>
          <t>元大定存利息</t>
        </is>
      </c>
      <c r="C238" s="7" t="inlineStr">
        <is>
          <t>683000006745</t>
        </is>
      </c>
      <c r="D238" s="13" t="inlineStr">
        <is>
          <t>元大定存利息 683000006745</t>
        </is>
      </c>
      <c r="E238" s="104" t="n">
        <v>743</v>
      </c>
      <c r="F238" s="108" t="inlineStr">
        <is>
          <t>利息收入</t>
        </is>
      </c>
    </row>
    <row r="239" ht="16.5" customHeight="1" s="84">
      <c r="A239" s="7" t="inlineStr">
        <is>
          <t>2022-11</t>
        </is>
      </c>
      <c r="B239" s="13" t="inlineStr">
        <is>
          <t>元大定存利息</t>
        </is>
      </c>
      <c r="C239" s="7" t="inlineStr">
        <is>
          <t>683000013365</t>
        </is>
      </c>
      <c r="D239" s="13" t="inlineStr">
        <is>
          <t>元大定存利息 683000013365</t>
        </is>
      </c>
      <c r="E239" s="104" t="n">
        <v>981</v>
      </c>
      <c r="F239" s="108" t="inlineStr">
        <is>
          <t>利息收入</t>
        </is>
      </c>
    </row>
    <row r="240" ht="16.5" customHeight="1" s="84">
      <c r="A240" s="7" t="inlineStr">
        <is>
          <t>2022-11</t>
        </is>
      </c>
      <c r="B240" s="13" t="inlineStr">
        <is>
          <t>管理費收入</t>
        </is>
      </c>
      <c r="C240" s="7" t="inlineStr">
        <is>
          <t>111年度Q3(S16)</t>
        </is>
      </c>
      <c r="D240" s="13" t="inlineStr">
        <is>
          <t>管理費收入 111年度Q3(S16)</t>
        </is>
      </c>
      <c r="E240" s="104" t="n">
        <v>7497</v>
      </c>
      <c r="F240" s="108" t="inlineStr">
        <is>
          <t>管理費收入</t>
        </is>
      </c>
    </row>
    <row r="241" ht="16.5" customHeight="1" s="84">
      <c r="A241" s="7" t="inlineStr">
        <is>
          <t>2022-11</t>
        </is>
      </c>
      <c r="B241" s="13" t="inlineStr">
        <is>
          <t>管理費收入</t>
        </is>
      </c>
      <c r="C241" s="7" t="inlineStr">
        <is>
          <t>111年度Q4</t>
        </is>
      </c>
      <c r="D241" s="13" t="inlineStr">
        <is>
          <t>管理費收入 111年度Q4</t>
        </is>
      </c>
      <c r="E241" s="104" t="n">
        <v>477336</v>
      </c>
      <c r="F241" s="108" t="inlineStr">
        <is>
          <t>管理費收入</t>
        </is>
      </c>
    </row>
    <row r="242" ht="15" customHeight="1" s="84">
      <c r="A242" s="7" t="inlineStr">
        <is>
          <t>2022-11</t>
        </is>
      </c>
      <c r="B242" s="13" t="inlineStr">
        <is>
          <t>公設收入</t>
        </is>
      </c>
      <c r="C242" s="7" t="n"/>
      <c r="D242" s="13" t="inlineStr">
        <is>
          <t>公設收入</t>
        </is>
      </c>
      <c r="E242" s="104" t="n">
        <v>7565</v>
      </c>
      <c r="F242" s="108" t="inlineStr">
        <is>
          <t>公設收入</t>
        </is>
      </c>
    </row>
    <row r="243" ht="15" customHeight="1" s="84">
      <c r="A243" s="7" t="inlineStr">
        <is>
          <t>2022-11</t>
        </is>
      </c>
      <c r="B243" s="13" t="inlineStr">
        <is>
          <t>管委會出席費回存</t>
        </is>
      </c>
      <c r="C243" s="7" t="n"/>
      <c r="D243" s="13" t="inlineStr">
        <is>
          <t>管委會出席費回存</t>
        </is>
      </c>
      <c r="E243" s="104" t="n">
        <v>2500</v>
      </c>
      <c r="F243" s="108" t="inlineStr">
        <is>
          <t>出席費回存</t>
        </is>
      </c>
    </row>
    <row r="244" ht="15" customHeight="1" s="84">
      <c r="A244" s="7" t="inlineStr">
        <is>
          <t>2022-12</t>
        </is>
      </c>
      <c r="B244" s="13" t="inlineStr">
        <is>
          <t>元大活期利息</t>
        </is>
      </c>
      <c r="C244" s="7" t="n"/>
      <c r="D244" s="13" t="inlineStr">
        <is>
          <t>元大活期利息</t>
        </is>
      </c>
      <c r="E244" s="104" t="n">
        <v>1624</v>
      </c>
      <c r="F244" s="108" t="inlineStr">
        <is>
          <t>利息收入</t>
        </is>
      </c>
    </row>
    <row r="245" ht="16.5" customHeight="1" s="84">
      <c r="A245" s="7" t="inlineStr">
        <is>
          <t>2022-12</t>
        </is>
      </c>
      <c r="B245" s="13" t="inlineStr">
        <is>
          <t>元大定存利息</t>
        </is>
      </c>
      <c r="C245" s="7" t="inlineStr">
        <is>
          <t>683000016001</t>
        </is>
      </c>
      <c r="D245" s="13" t="inlineStr">
        <is>
          <t>元大定存利息 683000016001</t>
        </is>
      </c>
      <c r="E245" s="104" t="n">
        <v>1693</v>
      </c>
      <c r="F245" s="108" t="inlineStr">
        <is>
          <t>利息收入</t>
        </is>
      </c>
    </row>
    <row r="246" ht="16.5" customHeight="1" s="84">
      <c r="A246" s="7" t="inlineStr">
        <is>
          <t>2022-12</t>
        </is>
      </c>
      <c r="B246" s="13" t="inlineStr">
        <is>
          <t>元大定存利息</t>
        </is>
      </c>
      <c r="C246" s="7" t="inlineStr">
        <is>
          <t>683000006773</t>
        </is>
      </c>
      <c r="D246" s="13" t="inlineStr">
        <is>
          <t>元大定存利息 683000006773</t>
        </is>
      </c>
      <c r="E246" s="104" t="n">
        <v>719</v>
      </c>
      <c r="F246" s="108" t="inlineStr">
        <is>
          <t>利息收入</t>
        </is>
      </c>
    </row>
    <row r="247" ht="16.5" customHeight="1" s="84">
      <c r="A247" s="7" t="inlineStr">
        <is>
          <t>2022-12</t>
        </is>
      </c>
      <c r="B247" s="13" t="inlineStr">
        <is>
          <t>元大定存利息</t>
        </is>
      </c>
      <c r="C247" s="7" t="inlineStr">
        <is>
          <t>683000006745</t>
        </is>
      </c>
      <c r="D247" s="13" t="inlineStr">
        <is>
          <t>元大定存利息 683000006745</t>
        </is>
      </c>
      <c r="E247" s="104" t="n">
        <v>719</v>
      </c>
      <c r="F247" s="108" t="inlineStr">
        <is>
          <t>利息收入</t>
        </is>
      </c>
    </row>
    <row r="248" ht="16.5" customHeight="1" s="84">
      <c r="A248" s="7" t="inlineStr">
        <is>
          <t>2022-12</t>
        </is>
      </c>
      <c r="B248" s="13" t="inlineStr">
        <is>
          <t>元大定存利息</t>
        </is>
      </c>
      <c r="C248" s="7" t="inlineStr">
        <is>
          <t>683000013365</t>
        </is>
      </c>
      <c r="D248" s="13" t="inlineStr">
        <is>
          <t>元大定存利息 683000013365</t>
        </is>
      </c>
      <c r="E248" s="104" t="n">
        <v>949</v>
      </c>
      <c r="F248" s="108" t="inlineStr">
        <is>
          <t>利息收入</t>
        </is>
      </c>
    </row>
    <row r="249" ht="16.5" customHeight="1" s="84">
      <c r="A249" s="7" t="inlineStr">
        <is>
          <t>2022-12</t>
        </is>
      </c>
      <c r="B249" s="13" t="inlineStr">
        <is>
          <t>管理費收入</t>
        </is>
      </c>
      <c r="C249" s="7" t="inlineStr">
        <is>
          <t>111年度Q4</t>
        </is>
      </c>
      <c r="D249" s="13" t="inlineStr">
        <is>
          <t>管理費收入 111年度Q4</t>
        </is>
      </c>
      <c r="E249" s="104" t="n">
        <v>68334</v>
      </c>
      <c r="F249" s="108" t="inlineStr">
        <is>
          <t>管理費收入</t>
        </is>
      </c>
    </row>
    <row r="250" ht="15" customHeight="1" s="84">
      <c r="A250" s="7" t="inlineStr">
        <is>
          <t>2022-12</t>
        </is>
      </c>
      <c r="B250" s="13" t="inlineStr">
        <is>
          <t>公設收入</t>
        </is>
      </c>
      <c r="C250" s="7" t="n"/>
      <c r="D250" s="13" t="inlineStr">
        <is>
          <t>公設收入</t>
        </is>
      </c>
      <c r="E250" s="104" t="n">
        <v>7450</v>
      </c>
      <c r="F250" s="108" t="inlineStr">
        <is>
          <t>公設收入</t>
        </is>
      </c>
    </row>
    <row r="251" ht="15" customHeight="1" s="84">
      <c r="A251" s="7" t="inlineStr">
        <is>
          <t>2022-12</t>
        </is>
      </c>
      <c r="B251" s="13" t="inlineStr">
        <is>
          <t>管委會出席費回存</t>
        </is>
      </c>
      <c r="C251" s="7" t="n"/>
      <c r="D251" s="13" t="inlineStr">
        <is>
          <t>管委會出席費回存</t>
        </is>
      </c>
      <c r="E251" s="104" t="n">
        <v>3000</v>
      </c>
      <c r="F251" s="108" t="inlineStr">
        <is>
          <t>出席費回存</t>
        </is>
      </c>
    </row>
    <row r="252" ht="15" customHeight="1" s="84">
      <c r="A252" s="7" t="inlineStr">
        <is>
          <t>2023-01</t>
        </is>
      </c>
      <c r="B252" s="13" t="inlineStr">
        <is>
          <t>元大活期利息</t>
        </is>
      </c>
      <c r="C252" s="7" t="n"/>
      <c r="D252" s="13" t="inlineStr">
        <is>
          <t>元大活期利息</t>
        </is>
      </c>
      <c r="E252" s="104" t="n">
        <v>1769</v>
      </c>
      <c r="F252" s="108" t="inlineStr">
        <is>
          <t>利息收入</t>
        </is>
      </c>
    </row>
    <row r="253" ht="16.5" customHeight="1" s="84">
      <c r="A253" s="7" t="inlineStr">
        <is>
          <t>2023-01</t>
        </is>
      </c>
      <c r="B253" s="13" t="inlineStr">
        <is>
          <t>元大定存利息</t>
        </is>
      </c>
      <c r="C253" s="7" t="inlineStr">
        <is>
          <t>683000016001</t>
        </is>
      </c>
      <c r="D253" s="13" t="inlineStr">
        <is>
          <t>元大定存利息 683000016001</t>
        </is>
      </c>
      <c r="E253" s="104" t="n">
        <v>1750</v>
      </c>
      <c r="F253" s="108" t="inlineStr">
        <is>
          <t>利息收入</t>
        </is>
      </c>
    </row>
    <row r="254" ht="16.5" customHeight="1" s="84">
      <c r="A254" s="7" t="inlineStr">
        <is>
          <t>2023-01</t>
        </is>
      </c>
      <c r="B254" s="13" t="inlineStr">
        <is>
          <t>元大定存利息</t>
        </is>
      </c>
      <c r="C254" s="7" t="inlineStr">
        <is>
          <t>683000006773</t>
        </is>
      </c>
      <c r="D254" s="13" t="inlineStr">
        <is>
          <t>元大定存利息 683000006773</t>
        </is>
      </c>
      <c r="E254" s="104" t="n">
        <v>743</v>
      </c>
      <c r="F254" s="108" t="inlineStr">
        <is>
          <t>利息收入</t>
        </is>
      </c>
    </row>
    <row r="255" ht="16.5" customHeight="1" s="84">
      <c r="A255" s="7" t="inlineStr">
        <is>
          <t>2023-01</t>
        </is>
      </c>
      <c r="B255" s="13" t="inlineStr">
        <is>
          <t>元大定存利息</t>
        </is>
      </c>
      <c r="C255" s="7" t="inlineStr">
        <is>
          <t>683000006745</t>
        </is>
      </c>
      <c r="D255" s="13" t="inlineStr">
        <is>
          <t>元大定存利息 683000006745</t>
        </is>
      </c>
      <c r="E255" s="104" t="n">
        <v>743</v>
      </c>
      <c r="F255" s="108" t="inlineStr">
        <is>
          <t>利息收入</t>
        </is>
      </c>
    </row>
    <row r="256" ht="16.5" customHeight="1" s="84">
      <c r="A256" s="7" t="inlineStr">
        <is>
          <t>2023-01</t>
        </is>
      </c>
      <c r="B256" s="13" t="inlineStr">
        <is>
          <t>元大定存利息</t>
        </is>
      </c>
      <c r="C256" s="7" t="inlineStr">
        <is>
          <t>683000013365</t>
        </is>
      </c>
      <c r="D256" s="13" t="inlineStr">
        <is>
          <t>元大定存利息 683000013365</t>
        </is>
      </c>
      <c r="E256" s="104" t="n">
        <v>981</v>
      </c>
      <c r="F256" s="108" t="inlineStr">
        <is>
          <t>利息收入</t>
        </is>
      </c>
    </row>
    <row r="257" ht="16.5" customHeight="1" s="84">
      <c r="A257" s="7" t="inlineStr">
        <is>
          <t>2023-01</t>
        </is>
      </c>
      <c r="B257" s="13" t="inlineStr">
        <is>
          <t>管理費收入</t>
        </is>
      </c>
      <c r="C257" s="7" t="inlineStr">
        <is>
          <t>111年度Q4</t>
        </is>
      </c>
      <c r="D257" s="13" t="inlineStr">
        <is>
          <t>管理費收入 111年度Q4</t>
        </is>
      </c>
      <c r="E257" s="104" t="n">
        <v>75453</v>
      </c>
      <c r="F257" s="108" t="inlineStr">
        <is>
          <t>管理費收入</t>
        </is>
      </c>
    </row>
    <row r="258" ht="16.5" customHeight="1" s="84">
      <c r="A258" s="7" t="inlineStr">
        <is>
          <t>2023-01</t>
        </is>
      </c>
      <c r="B258" s="13" t="inlineStr">
        <is>
          <t>管理費收入</t>
        </is>
      </c>
      <c r="C258" s="7" t="inlineStr">
        <is>
          <t>112年度Q1</t>
        </is>
      </c>
      <c r="D258" s="13" t="inlineStr">
        <is>
          <t>管理費收入 112年度Q1</t>
        </is>
      </c>
      <c r="E258" s="104" t="n">
        <v>3151191</v>
      </c>
      <c r="F258" s="108" t="inlineStr">
        <is>
          <t>管理費收入</t>
        </is>
      </c>
    </row>
    <row r="259" ht="15" customHeight="1" s="84">
      <c r="A259" s="7" t="inlineStr">
        <is>
          <t>2023-01</t>
        </is>
      </c>
      <c r="B259" s="13" t="inlineStr">
        <is>
          <t>公設收入</t>
        </is>
      </c>
      <c r="C259" s="7" t="n"/>
      <c r="D259" s="13" t="inlineStr">
        <is>
          <t>公設收入</t>
        </is>
      </c>
      <c r="E259" s="104" t="n">
        <v>5050</v>
      </c>
      <c r="F259" s="108" t="inlineStr">
        <is>
          <t>公設收入</t>
        </is>
      </c>
    </row>
    <row r="260" ht="15" customHeight="1" s="84">
      <c r="A260" s="7" t="inlineStr">
        <is>
          <t>2023-01</t>
        </is>
      </c>
      <c r="B260" s="13" t="inlineStr">
        <is>
          <t>管委會出席費回存</t>
        </is>
      </c>
      <c r="C260" s="7" t="n"/>
      <c r="D260" s="13" t="inlineStr">
        <is>
          <t>管委會出席費回存</t>
        </is>
      </c>
      <c r="E260" s="104" t="n">
        <v>4000</v>
      </c>
      <c r="F260" s="108" t="inlineStr">
        <is>
          <t>出席費回存</t>
        </is>
      </c>
    </row>
    <row r="261" ht="16.5" customHeight="1" s="84">
      <c r="A261" s="7" t="inlineStr">
        <is>
          <t>2023-01</t>
        </is>
      </c>
      <c r="B261" s="13" t="inlineStr">
        <is>
          <t>廠商綠明活動贊助費</t>
        </is>
      </c>
      <c r="C261" s="7" t="n"/>
      <c r="D261" s="13" t="inlineStr">
        <is>
          <t>廠商綠明活動贊助費</t>
        </is>
      </c>
      <c r="E261" s="104" t="n">
        <v>3000</v>
      </c>
      <c r="F261" s="108" t="inlineStr">
        <is>
          <t>贊助/活動</t>
        </is>
      </c>
    </row>
    <row r="262" ht="15" customHeight="1" s="84">
      <c r="A262" s="7" t="inlineStr">
        <is>
          <t>2023-02</t>
        </is>
      </c>
      <c r="B262" s="13" t="inlineStr">
        <is>
          <t>元大活期利息</t>
        </is>
      </c>
      <c r="C262" s="7" t="n"/>
      <c r="D262" s="13" t="inlineStr">
        <is>
          <t>元大活期利息</t>
        </is>
      </c>
      <c r="E262" s="104" t="n">
        <v>2421</v>
      </c>
      <c r="F262" s="108" t="inlineStr">
        <is>
          <t>利息收入</t>
        </is>
      </c>
    </row>
    <row r="263" ht="16.5" customHeight="1" s="84">
      <c r="A263" s="7" t="inlineStr">
        <is>
          <t>2023-02</t>
        </is>
      </c>
      <c r="B263" s="13" t="inlineStr">
        <is>
          <t>元大定存利息</t>
        </is>
      </c>
      <c r="C263" s="7" t="inlineStr">
        <is>
          <t>683000016001</t>
        </is>
      </c>
      <c r="D263" s="13" t="inlineStr">
        <is>
          <t>元大定存利息 683000016001</t>
        </is>
      </c>
      <c r="E263" s="104" t="n">
        <v>0</v>
      </c>
      <c r="F263" s="108" t="inlineStr">
        <is>
          <t>利息收入</t>
        </is>
      </c>
    </row>
    <row r="264" ht="16.5" customHeight="1" s="84">
      <c r="A264" s="7" t="inlineStr">
        <is>
          <t>2023-02</t>
        </is>
      </c>
      <c r="B264" s="13" t="inlineStr">
        <is>
          <t>元大定存利息</t>
        </is>
      </c>
      <c r="C264" s="7" t="inlineStr">
        <is>
          <t>683000006773</t>
        </is>
      </c>
      <c r="D264" s="13" t="inlineStr">
        <is>
          <t>元大定存利息 683000006773</t>
        </is>
      </c>
      <c r="E264" s="104" t="n">
        <v>743</v>
      </c>
      <c r="F264" s="108" t="inlineStr">
        <is>
          <t>利息收入</t>
        </is>
      </c>
    </row>
    <row r="265" ht="16.5" customHeight="1" s="84">
      <c r="A265" s="7" t="inlineStr">
        <is>
          <t>2023-02</t>
        </is>
      </c>
      <c r="B265" s="13" t="inlineStr">
        <is>
          <t>元大定存利息</t>
        </is>
      </c>
      <c r="C265" s="7" t="inlineStr">
        <is>
          <t>683000006745</t>
        </is>
      </c>
      <c r="D265" s="13" t="inlineStr">
        <is>
          <t>元大定存利息 683000006745</t>
        </is>
      </c>
      <c r="E265" s="104" t="n">
        <v>743</v>
      </c>
      <c r="F265" s="108" t="inlineStr">
        <is>
          <t>利息收入</t>
        </is>
      </c>
    </row>
    <row r="266" ht="16.5" customHeight="1" s="84">
      <c r="A266" s="7" t="inlineStr">
        <is>
          <t>2023-02</t>
        </is>
      </c>
      <c r="B266" s="13" t="inlineStr">
        <is>
          <t>元大定存利息</t>
        </is>
      </c>
      <c r="C266" s="7" t="inlineStr">
        <is>
          <t>683000013365</t>
        </is>
      </c>
      <c r="D266" s="13" t="inlineStr">
        <is>
          <t>元大定存利息 683000013365</t>
        </is>
      </c>
      <c r="E266" s="104" t="n">
        <v>981</v>
      </c>
      <c r="F266" s="108" t="inlineStr">
        <is>
          <t>利息收入</t>
        </is>
      </c>
    </row>
    <row r="267" ht="16.5" customHeight="1" s="84">
      <c r="A267" s="7" t="inlineStr">
        <is>
          <t>2023-02</t>
        </is>
      </c>
      <c r="B267" s="13" t="inlineStr">
        <is>
          <t>管理費收入</t>
        </is>
      </c>
      <c r="C267" s="7" t="inlineStr">
        <is>
          <t>111年度Q4</t>
        </is>
      </c>
      <c r="D267" s="13" t="inlineStr">
        <is>
          <t>管理費收入 111年度Q4</t>
        </is>
      </c>
      <c r="E267" s="104" t="n">
        <v>17781</v>
      </c>
      <c r="F267" s="108" t="inlineStr">
        <is>
          <t>管理費收入</t>
        </is>
      </c>
    </row>
    <row r="268" ht="16.5" customHeight="1" s="84">
      <c r="A268" s="7" t="inlineStr">
        <is>
          <t>2023-02</t>
        </is>
      </c>
      <c r="B268" s="13" t="inlineStr">
        <is>
          <t>管理費收入</t>
        </is>
      </c>
      <c r="C268" s="7" t="inlineStr">
        <is>
          <t>112年度Q1</t>
        </is>
      </c>
      <c r="D268" s="13" t="inlineStr">
        <is>
          <t>管理費收入 112年度Q1</t>
        </is>
      </c>
      <c r="E268" s="104" t="n">
        <v>506415</v>
      </c>
      <c r="F268" s="108" t="inlineStr">
        <is>
          <t>管理費收入</t>
        </is>
      </c>
    </row>
    <row r="269" ht="15" customHeight="1" s="84">
      <c r="A269" s="7" t="inlineStr">
        <is>
          <t>2023-02</t>
        </is>
      </c>
      <c r="B269" s="13" t="inlineStr">
        <is>
          <t>公設收入</t>
        </is>
      </c>
      <c r="C269" s="7" t="n"/>
      <c r="D269" s="13" t="inlineStr">
        <is>
          <t>公設收入</t>
        </is>
      </c>
      <c r="E269" s="104" t="n">
        <v>4570</v>
      </c>
      <c r="F269" s="108" t="inlineStr">
        <is>
          <t>公設收入</t>
        </is>
      </c>
    </row>
    <row r="270" ht="15" customHeight="1" s="84">
      <c r="A270" s="7" t="inlineStr">
        <is>
          <t>2023-02</t>
        </is>
      </c>
      <c r="B270" s="13" t="inlineStr">
        <is>
          <t>管委會出席費回存</t>
        </is>
      </c>
      <c r="C270" s="7" t="n"/>
      <c r="D270" s="13" t="inlineStr">
        <is>
          <t>管委會出席費回存</t>
        </is>
      </c>
      <c r="E270" s="104" t="n">
        <v>3000</v>
      </c>
      <c r="F270" s="108" t="inlineStr">
        <is>
          <t>出席費回存</t>
        </is>
      </c>
    </row>
    <row r="271" ht="16.5" customHeight="1" s="84">
      <c r="A271" s="7" t="inlineStr">
        <is>
          <t>2023-02</t>
        </is>
      </c>
      <c r="B271" s="13" t="inlineStr">
        <is>
          <t>廠商太古意活動贊助費</t>
        </is>
      </c>
      <c r="C271" s="7" t="n"/>
      <c r="D271" s="13" t="inlineStr">
        <is>
          <t>廠商太古意活動贊助費</t>
        </is>
      </c>
      <c r="E271" s="104" t="n">
        <v>1000</v>
      </c>
      <c r="F271" s="108" t="inlineStr">
        <is>
          <t>贊助/活動</t>
        </is>
      </c>
    </row>
    <row r="272" ht="16.5" customHeight="1" s="84">
      <c r="A272" s="7" t="inlineStr">
        <is>
          <t>2023-02</t>
        </is>
      </c>
      <c r="B272" s="13" t="inlineStr">
        <is>
          <t>廠商鑫禾活動贊助費</t>
        </is>
      </c>
      <c r="C272" s="7" t="n"/>
      <c r="D272" s="13" t="inlineStr">
        <is>
          <t>廠商鑫禾活動贊助費</t>
        </is>
      </c>
      <c r="E272" s="104" t="n">
        <v>3000</v>
      </c>
      <c r="F272" s="108" t="inlineStr">
        <is>
          <t>贊助/活動</t>
        </is>
      </c>
    </row>
    <row r="273" ht="15" customHeight="1" s="84">
      <c r="A273" s="7" t="inlineStr">
        <is>
          <t>2023-03</t>
        </is>
      </c>
      <c r="B273" s="13" t="inlineStr">
        <is>
          <t>元大活期利息</t>
        </is>
      </c>
      <c r="C273" s="7" t="n"/>
      <c r="D273" s="13" t="inlineStr">
        <is>
          <t>元大活期利息</t>
        </is>
      </c>
      <c r="E273" s="104" t="n">
        <v>1656</v>
      </c>
      <c r="F273" s="108" t="inlineStr">
        <is>
          <t>利息收入</t>
        </is>
      </c>
    </row>
    <row r="274" ht="16.5" customHeight="1" s="84">
      <c r="A274" s="7" t="inlineStr">
        <is>
          <t>2023-03</t>
        </is>
      </c>
      <c r="B274" s="13" t="inlineStr">
        <is>
          <t>元大定存利息</t>
        </is>
      </c>
      <c r="C274" s="7" t="inlineStr">
        <is>
          <t>683000016001</t>
        </is>
      </c>
      <c r="D274" s="13" t="inlineStr">
        <is>
          <t>元大定存利息 683000016001</t>
        </is>
      </c>
      <c r="E274" s="104" t="n">
        <v>3330</v>
      </c>
      <c r="F274" s="108" t="inlineStr">
        <is>
          <t>利息收入</t>
        </is>
      </c>
    </row>
    <row r="275" ht="16.5" customHeight="1" s="84">
      <c r="A275" s="7" t="inlineStr">
        <is>
          <t>2023-03</t>
        </is>
      </c>
      <c r="B275" s="13" t="inlineStr">
        <is>
          <t>元大定存利息</t>
        </is>
      </c>
      <c r="C275" s="7" t="inlineStr">
        <is>
          <t>683000006773</t>
        </is>
      </c>
      <c r="D275" s="13" t="inlineStr">
        <is>
          <t>元大定存利息 683000006773</t>
        </is>
      </c>
      <c r="E275" s="104" t="n">
        <v>671</v>
      </c>
      <c r="F275" s="108" t="inlineStr">
        <is>
          <t>利息收入</t>
        </is>
      </c>
    </row>
    <row r="276" ht="16.5" customHeight="1" s="84">
      <c r="A276" s="7" t="inlineStr">
        <is>
          <t>2023-03</t>
        </is>
      </c>
      <c r="B276" s="13" t="inlineStr">
        <is>
          <t>元大定存利息</t>
        </is>
      </c>
      <c r="C276" s="7" t="inlineStr">
        <is>
          <t>683000006745</t>
        </is>
      </c>
      <c r="D276" s="13" t="inlineStr">
        <is>
          <t>元大定存利息 683000006745</t>
        </is>
      </c>
      <c r="E276" s="104" t="n">
        <v>671</v>
      </c>
      <c r="F276" s="108" t="inlineStr">
        <is>
          <t>利息收入</t>
        </is>
      </c>
    </row>
    <row r="277" ht="16.5" customHeight="1" s="84">
      <c r="A277" s="7" t="inlineStr">
        <is>
          <t>2023-03</t>
        </is>
      </c>
      <c r="B277" s="13" t="inlineStr">
        <is>
          <t>元大定存利息</t>
        </is>
      </c>
      <c r="C277" s="7" t="inlineStr">
        <is>
          <t>683000013365</t>
        </is>
      </c>
      <c r="D277" s="13" t="inlineStr">
        <is>
          <t>元大定存利息 683000013365</t>
        </is>
      </c>
      <c r="E277" s="104" t="n">
        <v>886</v>
      </c>
      <c r="F277" s="108" t="inlineStr">
        <is>
          <t>利息收入</t>
        </is>
      </c>
    </row>
    <row r="278" ht="16.5" customHeight="1" s="84">
      <c r="A278" s="7" t="inlineStr">
        <is>
          <t>2023-03</t>
        </is>
      </c>
      <c r="B278" s="13" t="inlineStr">
        <is>
          <t>管理費收入</t>
        </is>
      </c>
      <c r="C278" s="7" t="inlineStr">
        <is>
          <t>111年度Q3</t>
        </is>
      </c>
      <c r="D278" s="13" t="inlineStr">
        <is>
          <t>管理費收入 111年度Q3</t>
        </is>
      </c>
      <c r="E278" s="104" t="n">
        <v>13065</v>
      </c>
      <c r="F278" s="108" t="inlineStr">
        <is>
          <t>管理費收入</t>
        </is>
      </c>
    </row>
    <row r="279" ht="16.5" customHeight="1" s="84">
      <c r="A279" s="7" t="inlineStr">
        <is>
          <t>2023-03</t>
        </is>
      </c>
      <c r="B279" s="13" t="inlineStr">
        <is>
          <t>管理費收入</t>
        </is>
      </c>
      <c r="C279" s="7" t="inlineStr">
        <is>
          <t>111年度Q4</t>
        </is>
      </c>
      <c r="D279" s="13" t="inlineStr">
        <is>
          <t>管理費收入 111年度Q4</t>
        </is>
      </c>
      <c r="E279" s="104" t="n">
        <v>20940</v>
      </c>
      <c r="F279" s="108" t="inlineStr">
        <is>
          <t>管理費收入</t>
        </is>
      </c>
    </row>
    <row r="280" ht="16.5" customHeight="1" s="84">
      <c r="A280" s="7" t="inlineStr">
        <is>
          <t>2023-03</t>
        </is>
      </c>
      <c r="B280" s="13" t="inlineStr">
        <is>
          <t>管理費收入</t>
        </is>
      </c>
      <c r="C280" s="7" t="inlineStr">
        <is>
          <t>112年度Q1</t>
        </is>
      </c>
      <c r="D280" s="13" t="inlineStr">
        <is>
          <t>管理費收入 112年度Q1</t>
        </is>
      </c>
      <c r="E280" s="104" t="n">
        <v>93105</v>
      </c>
      <c r="F280" s="108" t="inlineStr">
        <is>
          <t>管理費收入</t>
        </is>
      </c>
    </row>
    <row r="281" ht="16.5" customHeight="1" s="84">
      <c r="A281" s="7" t="inlineStr">
        <is>
          <t>2023-03</t>
        </is>
      </c>
      <c r="B281" s="13" t="inlineStr">
        <is>
          <t>管理費收入</t>
        </is>
      </c>
      <c r="C281" s="7" t="inlineStr">
        <is>
          <t>112年度Q2</t>
        </is>
      </c>
      <c r="D281" s="13" t="inlineStr">
        <is>
          <t>管理費收入 112年度Q2</t>
        </is>
      </c>
      <c r="E281" s="104" t="n">
        <v>11466</v>
      </c>
      <c r="F281" s="108" t="inlineStr">
        <is>
          <t>管理費收入</t>
        </is>
      </c>
    </row>
    <row r="282" ht="15" customHeight="1" s="84">
      <c r="A282" s="7" t="inlineStr">
        <is>
          <t>2023-03</t>
        </is>
      </c>
      <c r="B282" s="13" t="inlineStr">
        <is>
          <t>公設收入</t>
        </is>
      </c>
      <c r="C282" s="7" t="n"/>
      <c r="D282" s="13" t="inlineStr">
        <is>
          <t>公設收入</t>
        </is>
      </c>
      <c r="E282" s="104" t="n">
        <v>11630</v>
      </c>
      <c r="F282" s="108" t="inlineStr">
        <is>
          <t>公設收入</t>
        </is>
      </c>
    </row>
    <row r="283" ht="15" customHeight="1" s="84">
      <c r="A283" s="7" t="inlineStr">
        <is>
          <t>2023-03</t>
        </is>
      </c>
      <c r="B283" s="13" t="inlineStr">
        <is>
          <t>管委會出席費回存</t>
        </is>
      </c>
      <c r="C283" s="7" t="n"/>
      <c r="D283" s="13" t="inlineStr">
        <is>
          <t>管委會出席費回存</t>
        </is>
      </c>
      <c r="E283" s="104" t="n">
        <v>3000</v>
      </c>
      <c r="F283" s="108" t="inlineStr">
        <is>
          <t>出席費回存</t>
        </is>
      </c>
    </row>
    <row r="284" ht="16.5" customHeight="1" s="84">
      <c r="A284" s="15" t="inlineStr">
        <is>
          <t>2023-03</t>
        </is>
      </c>
      <c r="B284" s="16" t="inlineStr">
        <is>
          <t>舊衣回收回饋金112.04.01~113.03.31</t>
        </is>
      </c>
      <c r="C284" s="15" t="n"/>
      <c r="D284" s="16" t="inlineStr">
        <is>
          <t>舊衣回收回饋金112.04.01~113.03.31</t>
        </is>
      </c>
      <c r="E284" s="109" t="n">
        <v>16720</v>
      </c>
      <c r="F284" s="110" t="inlineStr">
        <is>
          <t>其他收入</t>
        </is>
      </c>
    </row>
    <row r="285" ht="15" customHeight="1" s="84">
      <c r="A285" s="7" t="inlineStr">
        <is>
          <t>2023-04</t>
        </is>
      </c>
      <c r="B285" s="13" t="inlineStr">
        <is>
          <t>元大活期利息</t>
        </is>
      </c>
      <c r="C285" s="7" t="n"/>
      <c r="D285" s="13" t="inlineStr">
        <is>
          <t>元大活期利息</t>
        </is>
      </c>
      <c r="E285" s="104" t="n">
        <v>1812</v>
      </c>
      <c r="F285" s="108" t="inlineStr">
        <is>
          <t>利息收入</t>
        </is>
      </c>
    </row>
    <row r="286" ht="16.5" customHeight="1" s="84">
      <c r="A286" s="7" t="inlineStr">
        <is>
          <t>2023-04</t>
        </is>
      </c>
      <c r="B286" s="13" t="inlineStr">
        <is>
          <t>元大定存利息</t>
        </is>
      </c>
      <c r="C286" s="7" t="inlineStr">
        <is>
          <t>683000016001</t>
        </is>
      </c>
      <c r="D286" s="13" t="inlineStr">
        <is>
          <t>元大定存利息 683000016001</t>
        </is>
      </c>
      <c r="E286" s="104" t="n">
        <v>1750</v>
      </c>
      <c r="F286" s="108" t="inlineStr">
        <is>
          <t>利息收入</t>
        </is>
      </c>
    </row>
    <row r="287" ht="16.5" customHeight="1" s="84">
      <c r="A287" s="7" t="inlineStr">
        <is>
          <t>2023-04</t>
        </is>
      </c>
      <c r="B287" s="13" t="inlineStr">
        <is>
          <t>元大定存利息</t>
        </is>
      </c>
      <c r="C287" s="7" t="inlineStr">
        <is>
          <t>683000006773</t>
        </is>
      </c>
      <c r="D287" s="13" t="inlineStr">
        <is>
          <t>元大定存利息 683000006773</t>
        </is>
      </c>
      <c r="E287" s="104" t="n">
        <v>955</v>
      </c>
      <c r="F287" s="108" t="inlineStr">
        <is>
          <t>利息收入</t>
        </is>
      </c>
    </row>
    <row r="288" ht="16.5" customHeight="1" s="84">
      <c r="A288" s="7" t="inlineStr">
        <is>
          <t>2023-04</t>
        </is>
      </c>
      <c r="B288" s="13" t="inlineStr">
        <is>
          <t>元大定存利息</t>
        </is>
      </c>
      <c r="C288" s="7" t="inlineStr">
        <is>
          <t>683000006745</t>
        </is>
      </c>
      <c r="D288" s="13" t="inlineStr">
        <is>
          <t>元大定存利息 683000006745</t>
        </is>
      </c>
      <c r="E288" s="104" t="n">
        <v>955</v>
      </c>
      <c r="F288" s="108" t="inlineStr">
        <is>
          <t>利息收入</t>
        </is>
      </c>
    </row>
    <row r="289" ht="16.5" customHeight="1" s="84">
      <c r="A289" s="7" t="inlineStr">
        <is>
          <t>2023-04</t>
        </is>
      </c>
      <c r="B289" s="13" t="inlineStr">
        <is>
          <t>元大定存利息</t>
        </is>
      </c>
      <c r="C289" s="7" t="inlineStr">
        <is>
          <t>683000013365</t>
        </is>
      </c>
      <c r="D289" s="13" t="inlineStr">
        <is>
          <t>元大定存利息 683000013365</t>
        </is>
      </c>
      <c r="E289" s="104" t="n">
        <v>981</v>
      </c>
      <c r="F289" s="108" t="inlineStr">
        <is>
          <t>利息收入</t>
        </is>
      </c>
    </row>
    <row r="290" ht="16.5" customHeight="1" s="84">
      <c r="A290" s="7" t="inlineStr">
        <is>
          <t>2023-04</t>
        </is>
      </c>
      <c r="B290" s="13" t="inlineStr">
        <is>
          <t>管理費收入</t>
        </is>
      </c>
      <c r="C290" s="7" t="inlineStr">
        <is>
          <t>112年度Q1</t>
        </is>
      </c>
      <c r="D290" s="13" t="inlineStr">
        <is>
          <t>管理費收入 112年度Q1</t>
        </is>
      </c>
      <c r="E290" s="104" t="n">
        <v>41880</v>
      </c>
      <c r="F290" s="108" t="inlineStr">
        <is>
          <t>管理費收入</t>
        </is>
      </c>
    </row>
    <row r="291" ht="16.5" customHeight="1" s="84">
      <c r="A291" s="7" t="inlineStr">
        <is>
          <t>2023-04</t>
        </is>
      </c>
      <c r="B291" s="13" t="inlineStr">
        <is>
          <t>管理費收入</t>
        </is>
      </c>
      <c r="C291" s="7" t="inlineStr">
        <is>
          <t>112年度Q2</t>
        </is>
      </c>
      <c r="D291" s="13" t="inlineStr">
        <is>
          <t>管理費收入 112年度Q2</t>
        </is>
      </c>
      <c r="E291" s="104" t="n">
        <v>2889429</v>
      </c>
      <c r="F291" s="108" t="inlineStr">
        <is>
          <t>管理費收入</t>
        </is>
      </c>
    </row>
    <row r="292" ht="15" customHeight="1" s="84">
      <c r="A292" s="7" t="inlineStr">
        <is>
          <t>2023-04</t>
        </is>
      </c>
      <c r="B292" s="13" t="inlineStr">
        <is>
          <t>公設收入</t>
        </is>
      </c>
      <c r="C292" s="7" t="n"/>
      <c r="D292" s="13" t="inlineStr">
        <is>
          <t>公設收入</t>
        </is>
      </c>
      <c r="E292" s="104" t="n">
        <v>6025</v>
      </c>
      <c r="F292" s="108" t="inlineStr">
        <is>
          <t>公設收入</t>
        </is>
      </c>
    </row>
    <row r="293" ht="15" customHeight="1" s="84">
      <c r="A293" s="7" t="inlineStr">
        <is>
          <t>2023-04</t>
        </is>
      </c>
      <c r="B293" s="13" t="inlineStr">
        <is>
          <t>管委會出席費回存</t>
        </is>
      </c>
      <c r="C293" s="7" t="n"/>
      <c r="D293" s="13" t="inlineStr">
        <is>
          <t>管委會出席費回存</t>
        </is>
      </c>
      <c r="E293" s="104" t="n">
        <v>4000</v>
      </c>
      <c r="F293" s="108" t="inlineStr">
        <is>
          <t>出席費回存</t>
        </is>
      </c>
    </row>
    <row r="294" ht="15" customHeight="1" s="84">
      <c r="A294" s="7" t="inlineStr">
        <is>
          <t>2023-05</t>
        </is>
      </c>
      <c r="B294" s="13" t="inlineStr">
        <is>
          <t>元大活期利息</t>
        </is>
      </c>
      <c r="C294" s="7" t="n"/>
      <c r="D294" s="13" t="inlineStr">
        <is>
          <t>元大活期利息</t>
        </is>
      </c>
      <c r="E294" s="104" t="n">
        <v>2936</v>
      </c>
      <c r="F294" s="108" t="inlineStr">
        <is>
          <t>利息收入</t>
        </is>
      </c>
    </row>
    <row r="295" ht="16.5" customHeight="1" s="84">
      <c r="A295" s="7" t="inlineStr">
        <is>
          <t>2023-05</t>
        </is>
      </c>
      <c r="B295" s="13" t="inlineStr">
        <is>
          <t>元大定存利息</t>
        </is>
      </c>
      <c r="C295" s="7" t="inlineStr">
        <is>
          <t>683000016001</t>
        </is>
      </c>
      <c r="D295" s="13" t="inlineStr">
        <is>
          <t>元大定存利息 683000016001</t>
        </is>
      </c>
      <c r="E295" s="104" t="n">
        <v>2515</v>
      </c>
      <c r="F295" s="108" t="inlineStr">
        <is>
          <t>利息收入</t>
        </is>
      </c>
    </row>
    <row r="296" ht="16.5" customHeight="1" s="84">
      <c r="A296" s="7" t="inlineStr">
        <is>
          <t>2023-05</t>
        </is>
      </c>
      <c r="B296" s="13" t="inlineStr">
        <is>
          <t>元大定存利息</t>
        </is>
      </c>
      <c r="C296" s="7" t="inlineStr">
        <is>
          <t>683000006773</t>
        </is>
      </c>
      <c r="D296" s="13" t="inlineStr">
        <is>
          <t>元大定存利息 683000006773</t>
        </is>
      </c>
      <c r="E296" s="104" t="n">
        <v>925</v>
      </c>
      <c r="F296" s="108" t="inlineStr">
        <is>
          <t>利息收入</t>
        </is>
      </c>
    </row>
    <row r="297" ht="16.5" customHeight="1" s="84">
      <c r="A297" s="7" t="inlineStr">
        <is>
          <t>2023-05</t>
        </is>
      </c>
      <c r="B297" s="13" t="inlineStr">
        <is>
          <t>元大定存利息</t>
        </is>
      </c>
      <c r="C297" s="7" t="inlineStr">
        <is>
          <t>683000006745</t>
        </is>
      </c>
      <c r="D297" s="13" t="inlineStr">
        <is>
          <t>元大定存利息 683000006745</t>
        </is>
      </c>
      <c r="E297" s="104" t="n">
        <v>925</v>
      </c>
      <c r="F297" s="108" t="inlineStr">
        <is>
          <t>利息收入</t>
        </is>
      </c>
    </row>
    <row r="298" ht="16.5" customHeight="1" s="84">
      <c r="A298" s="7" t="inlineStr">
        <is>
          <t>2023-05</t>
        </is>
      </c>
      <c r="B298" s="13" t="inlineStr">
        <is>
          <t>元大定存利息</t>
        </is>
      </c>
      <c r="C298" s="7" t="inlineStr">
        <is>
          <t>683000013365</t>
        </is>
      </c>
      <c r="D298" s="13" t="inlineStr">
        <is>
          <t>元大定存利息 683000013365</t>
        </is>
      </c>
      <c r="E298" s="104" t="n">
        <v>949</v>
      </c>
      <c r="F298" s="108" t="inlineStr">
        <is>
          <t>利息收入</t>
        </is>
      </c>
    </row>
    <row r="299" ht="16.5" customHeight="1" s="84">
      <c r="A299" s="7" t="inlineStr">
        <is>
          <t>2023-05</t>
        </is>
      </c>
      <c r="B299" s="13" t="inlineStr">
        <is>
          <t>管理費收入</t>
        </is>
      </c>
      <c r="C299" s="7" t="inlineStr">
        <is>
          <t>112年度Q1</t>
        </is>
      </c>
      <c r="D299" s="13" t="inlineStr">
        <is>
          <t>管理費收入 112年度Q1</t>
        </is>
      </c>
      <c r="E299" s="104" t="n">
        <v>28314</v>
      </c>
      <c r="F299" s="108" t="inlineStr">
        <is>
          <t>管理費收入</t>
        </is>
      </c>
    </row>
    <row r="300" ht="16.5" customHeight="1" s="84">
      <c r="A300" s="7" t="inlineStr">
        <is>
          <t>2023-05</t>
        </is>
      </c>
      <c r="B300" s="13" t="inlineStr">
        <is>
          <t>管理費收入</t>
        </is>
      </c>
      <c r="C300" s="7" t="inlineStr">
        <is>
          <t>112年度Q2</t>
        </is>
      </c>
      <c r="D300" s="13" t="inlineStr">
        <is>
          <t>管理費收入 112年度Q2</t>
        </is>
      </c>
      <c r="E300" s="104" t="n">
        <v>819255</v>
      </c>
      <c r="F300" s="108" t="inlineStr">
        <is>
          <t>管理費收入</t>
        </is>
      </c>
    </row>
    <row r="301" ht="16.5" customHeight="1" s="84">
      <c r="A301" s="7" t="inlineStr">
        <is>
          <t>2023-05</t>
        </is>
      </c>
      <c r="B301" s="13" t="inlineStr">
        <is>
          <t>管理費收入</t>
        </is>
      </c>
      <c r="C301" s="7" t="inlineStr">
        <is>
          <t>112年度Q3</t>
        </is>
      </c>
      <c r="D301" s="13" t="inlineStr">
        <is>
          <t>管理費收入 112年度Q3</t>
        </is>
      </c>
      <c r="E301" s="104" t="n">
        <v>8064</v>
      </c>
      <c r="F301" s="108" t="inlineStr">
        <is>
          <t>管理費收入</t>
        </is>
      </c>
    </row>
    <row r="302" ht="15" customHeight="1" s="84">
      <c r="A302" s="7" t="inlineStr">
        <is>
          <t>2023-05</t>
        </is>
      </c>
      <c r="B302" s="13" t="inlineStr">
        <is>
          <t>公設收入</t>
        </is>
      </c>
      <c r="C302" s="7" t="n"/>
      <c r="D302" s="13" t="inlineStr">
        <is>
          <t>公設收入</t>
        </is>
      </c>
      <c r="E302" s="104" t="n">
        <v>8020</v>
      </c>
      <c r="F302" s="108" t="inlineStr">
        <is>
          <t>公設收入</t>
        </is>
      </c>
    </row>
    <row r="303" ht="15" customHeight="1" s="84">
      <c r="A303" s="7" t="inlineStr">
        <is>
          <t>2023-05</t>
        </is>
      </c>
      <c r="B303" s="13" t="inlineStr">
        <is>
          <t>管委會出席費回存</t>
        </is>
      </c>
      <c r="C303" s="7" t="n"/>
      <c r="D303" s="13" t="inlineStr">
        <is>
          <t>管委會出席費回存</t>
        </is>
      </c>
      <c r="E303" s="104" t="n">
        <v>1000</v>
      </c>
      <c r="F303" s="108" t="inlineStr">
        <is>
          <t>出席費回存</t>
        </is>
      </c>
    </row>
    <row r="304" ht="15" customHeight="1" s="84">
      <c r="A304" s="7" t="inlineStr">
        <is>
          <t>2023-06</t>
        </is>
      </c>
      <c r="B304" s="13" t="inlineStr">
        <is>
          <t>元大活期利息</t>
        </is>
      </c>
      <c r="C304" s="7" t="n"/>
      <c r="D304" s="13" t="inlineStr">
        <is>
          <t>元大活期利息</t>
        </is>
      </c>
      <c r="E304" s="104" t="n">
        <v>2658</v>
      </c>
      <c r="F304" s="108" t="inlineStr">
        <is>
          <t>利息收入</t>
        </is>
      </c>
    </row>
    <row r="305" ht="16.5" customHeight="1" s="84">
      <c r="A305" s="7" t="inlineStr">
        <is>
          <t>2023-06</t>
        </is>
      </c>
      <c r="B305" s="13" t="inlineStr">
        <is>
          <t>元大定存利息</t>
        </is>
      </c>
      <c r="C305" s="7" t="inlineStr">
        <is>
          <t>683000016001</t>
        </is>
      </c>
      <c r="D305" s="13" t="inlineStr">
        <is>
          <t>元大定存利息 683000016001</t>
        </is>
      </c>
      <c r="E305" s="104" t="n">
        <v>2599</v>
      </c>
      <c r="F305" s="108" t="inlineStr">
        <is>
          <t>利息收入</t>
        </is>
      </c>
    </row>
    <row r="306" ht="16.5" customHeight="1" s="84">
      <c r="A306" s="7" t="inlineStr">
        <is>
          <t>2023-06</t>
        </is>
      </c>
      <c r="B306" s="13" t="inlineStr">
        <is>
          <t>元大定存利息</t>
        </is>
      </c>
      <c r="C306" s="7" t="inlineStr">
        <is>
          <t>683000006773</t>
        </is>
      </c>
      <c r="D306" s="13" t="inlineStr">
        <is>
          <t>元大定存利息 683000006773</t>
        </is>
      </c>
      <c r="E306" s="104" t="n">
        <v>955</v>
      </c>
      <c r="F306" s="108" t="inlineStr">
        <is>
          <t>利息收入</t>
        </is>
      </c>
    </row>
    <row r="307" ht="16.5" customHeight="1" s="84">
      <c r="A307" s="7" t="inlineStr">
        <is>
          <t>2023-06</t>
        </is>
      </c>
      <c r="B307" s="13" t="inlineStr">
        <is>
          <t>元大定存利息</t>
        </is>
      </c>
      <c r="C307" s="7" t="inlineStr">
        <is>
          <t>683000006745</t>
        </is>
      </c>
      <c r="D307" s="13" t="inlineStr">
        <is>
          <t>元大定存利息 683000006745</t>
        </is>
      </c>
      <c r="E307" s="104" t="n">
        <v>955</v>
      </c>
      <c r="F307" s="108" t="inlineStr">
        <is>
          <t>利息收入</t>
        </is>
      </c>
    </row>
    <row r="308" ht="16.5" customHeight="1" s="84">
      <c r="A308" s="7" t="inlineStr">
        <is>
          <t>2023-06</t>
        </is>
      </c>
      <c r="B308" s="13" t="inlineStr">
        <is>
          <t>元大定存利息</t>
        </is>
      </c>
      <c r="C308" s="7" t="inlineStr">
        <is>
          <t>683000013365</t>
        </is>
      </c>
      <c r="D308" s="13" t="inlineStr">
        <is>
          <t>元大定存利息 683000013365</t>
        </is>
      </c>
      <c r="E308" s="104" t="n">
        <v>981</v>
      </c>
      <c r="F308" s="108" t="inlineStr">
        <is>
          <t>利息收入</t>
        </is>
      </c>
    </row>
    <row r="309" ht="16.5" customHeight="1" s="84">
      <c r="A309" s="7" t="inlineStr">
        <is>
          <t>2023-06</t>
        </is>
      </c>
      <c r="B309" s="13" t="inlineStr">
        <is>
          <t>管理費收入</t>
        </is>
      </c>
      <c r="C309" s="7" t="inlineStr">
        <is>
          <t>112年度Q1</t>
        </is>
      </c>
      <c r="D309" s="13" t="inlineStr">
        <is>
          <t>管理費收入 112年度Q1</t>
        </is>
      </c>
      <c r="E309" s="104" t="n">
        <v>15570</v>
      </c>
      <c r="F309" s="108" t="inlineStr">
        <is>
          <t>管理費收入</t>
        </is>
      </c>
    </row>
    <row r="310" ht="16.5" customHeight="1" s="84">
      <c r="A310" s="7" t="inlineStr">
        <is>
          <t>2023-06</t>
        </is>
      </c>
      <c r="B310" s="13" t="inlineStr">
        <is>
          <t>管理費收入</t>
        </is>
      </c>
      <c r="C310" s="7" t="inlineStr">
        <is>
          <t>112年度Q2</t>
        </is>
      </c>
      <c r="D310" s="13" t="inlineStr">
        <is>
          <t>管理費收入 112年度Q2</t>
        </is>
      </c>
      <c r="E310" s="104" t="n">
        <v>95694</v>
      </c>
      <c r="F310" s="108" t="inlineStr">
        <is>
          <t>管理費收入</t>
        </is>
      </c>
    </row>
    <row r="311" ht="16.5" customHeight="1" s="84">
      <c r="A311" s="7" t="inlineStr">
        <is>
          <t>2023-06</t>
        </is>
      </c>
      <c r="B311" s="13" t="inlineStr">
        <is>
          <t>管理費收入</t>
        </is>
      </c>
      <c r="C311" s="7" t="inlineStr">
        <is>
          <t>112年度Q3</t>
        </is>
      </c>
      <c r="D311" s="13" t="inlineStr">
        <is>
          <t>管理費收入 112年度Q3</t>
        </is>
      </c>
      <c r="E311" s="104" t="n">
        <v>7515</v>
      </c>
      <c r="F311" s="108" t="inlineStr">
        <is>
          <t>管理費收入</t>
        </is>
      </c>
    </row>
    <row r="312" ht="15" customHeight="1" s="84">
      <c r="A312" s="7" t="inlineStr">
        <is>
          <t>2023-06</t>
        </is>
      </c>
      <c r="B312" s="13" t="inlineStr">
        <is>
          <t>公設收入</t>
        </is>
      </c>
      <c r="C312" s="7" t="n"/>
      <c r="D312" s="13" t="inlineStr">
        <is>
          <t>公設收入</t>
        </is>
      </c>
      <c r="E312" s="104" t="n">
        <v>7290</v>
      </c>
      <c r="F312" s="108" t="inlineStr">
        <is>
          <t>公設收入</t>
        </is>
      </c>
    </row>
    <row r="313" ht="15" customHeight="1" s="84">
      <c r="A313" s="7" t="inlineStr">
        <is>
          <t>2023-06</t>
        </is>
      </c>
      <c r="B313" s="13" t="inlineStr">
        <is>
          <t>管委會出席費回存</t>
        </is>
      </c>
      <c r="C313" s="7" t="n"/>
      <c r="D313" s="13" t="inlineStr">
        <is>
          <t>管委會出席費回存</t>
        </is>
      </c>
      <c r="E313" s="104" t="n">
        <v>500</v>
      </c>
      <c r="F313" s="108" t="inlineStr">
        <is>
          <t>出席費回存</t>
        </is>
      </c>
    </row>
    <row r="314" ht="15" customHeight="1" s="84">
      <c r="A314" s="15" t="inlineStr">
        <is>
          <t>2023-06</t>
        </is>
      </c>
      <c r="B314" s="16" t="inlineStr">
        <is>
          <t>門票收入</t>
        </is>
      </c>
      <c r="C314" s="15" t="n"/>
      <c r="D314" s="16" t="inlineStr">
        <is>
          <t>門票收入</t>
        </is>
      </c>
      <c r="E314" s="109" t="n">
        <v>2400</v>
      </c>
      <c r="F314" s="110" t="inlineStr">
        <is>
          <t>其他收入</t>
        </is>
      </c>
    </row>
    <row r="315" ht="15" customHeight="1" s="84">
      <c r="A315" s="7" t="inlineStr">
        <is>
          <t>2023-07</t>
        </is>
      </c>
      <c r="B315" s="13" t="inlineStr">
        <is>
          <t>元大活期利息</t>
        </is>
      </c>
      <c r="C315" s="7" t="n"/>
      <c r="D315" s="13" t="inlineStr">
        <is>
          <t>元大活期利息</t>
        </is>
      </c>
      <c r="E315" s="104" t="n">
        <v>2398</v>
      </c>
      <c r="F315" s="108" t="inlineStr">
        <is>
          <t>利息收入</t>
        </is>
      </c>
    </row>
    <row r="316" ht="16.5" customHeight="1" s="84">
      <c r="A316" s="7" t="inlineStr">
        <is>
          <t>2023-07</t>
        </is>
      </c>
      <c r="B316" s="13" t="inlineStr">
        <is>
          <t>元大定存利息</t>
        </is>
      </c>
      <c r="C316" s="7" t="inlineStr">
        <is>
          <t>683000016001</t>
        </is>
      </c>
      <c r="D316" s="13" t="inlineStr">
        <is>
          <t>元大定存利息 683000016001</t>
        </is>
      </c>
      <c r="E316" s="104" t="n">
        <v>2515</v>
      </c>
      <c r="F316" s="108" t="inlineStr">
        <is>
          <t>利息收入</t>
        </is>
      </c>
    </row>
    <row r="317" ht="16.5" customHeight="1" s="84">
      <c r="A317" s="7" t="inlineStr">
        <is>
          <t>2023-07</t>
        </is>
      </c>
      <c r="B317" s="13" t="inlineStr">
        <is>
          <t>元大定存利息</t>
        </is>
      </c>
      <c r="C317" s="7" t="inlineStr">
        <is>
          <t>683000006773</t>
        </is>
      </c>
      <c r="D317" s="13" t="inlineStr">
        <is>
          <t>元大定存利息 683000006773</t>
        </is>
      </c>
      <c r="E317" s="104" t="n">
        <v>925</v>
      </c>
      <c r="F317" s="108" t="inlineStr">
        <is>
          <t>利息收入</t>
        </is>
      </c>
    </row>
    <row r="318" ht="16.5" customHeight="1" s="84">
      <c r="A318" s="7" t="inlineStr">
        <is>
          <t>2023-07</t>
        </is>
      </c>
      <c r="B318" s="13" t="inlineStr">
        <is>
          <t>元大定存利息</t>
        </is>
      </c>
      <c r="C318" s="7" t="inlineStr">
        <is>
          <t>683000006745</t>
        </is>
      </c>
      <c r="D318" s="13" t="inlineStr">
        <is>
          <t>元大定存利息 683000006745</t>
        </is>
      </c>
      <c r="E318" s="104" t="n">
        <v>925</v>
      </c>
      <c r="F318" s="108" t="inlineStr">
        <is>
          <t>利息收入</t>
        </is>
      </c>
    </row>
    <row r="319" ht="16.5" customHeight="1" s="84">
      <c r="A319" s="7" t="inlineStr">
        <is>
          <t>2023-07</t>
        </is>
      </c>
      <c r="B319" s="13" t="inlineStr">
        <is>
          <t>元大定存利息</t>
        </is>
      </c>
      <c r="C319" s="7" t="inlineStr">
        <is>
          <t>683000013365</t>
        </is>
      </c>
      <c r="D319" s="13" t="inlineStr">
        <is>
          <t>元大定存利息 683000013365</t>
        </is>
      </c>
      <c r="E319" s="104" t="n">
        <v>949</v>
      </c>
      <c r="F319" s="108" t="inlineStr">
        <is>
          <t>利息收入</t>
        </is>
      </c>
    </row>
    <row r="320" ht="16.5" customHeight="1" s="84">
      <c r="A320" s="7" t="inlineStr">
        <is>
          <t>2023-07</t>
        </is>
      </c>
      <c r="B320" s="13" t="inlineStr">
        <is>
          <t>管理費收入</t>
        </is>
      </c>
      <c r="C320" s="7" t="inlineStr">
        <is>
          <t>112年度Q1</t>
        </is>
      </c>
      <c r="D320" s="13" t="inlineStr">
        <is>
          <t>管理費收入 112年度Q1</t>
        </is>
      </c>
      <c r="E320" s="104" t="n">
        <v>21432</v>
      </c>
      <c r="F320" s="108" t="inlineStr">
        <is>
          <t>管理費收入</t>
        </is>
      </c>
    </row>
    <row r="321" ht="16.5" customHeight="1" s="84">
      <c r="A321" s="7" t="inlineStr">
        <is>
          <t>2023-07</t>
        </is>
      </c>
      <c r="B321" s="13" t="inlineStr">
        <is>
          <t>管理費收入</t>
        </is>
      </c>
      <c r="C321" s="7" t="inlineStr">
        <is>
          <t>112年度Q3</t>
        </is>
      </c>
      <c r="D321" s="13" t="inlineStr">
        <is>
          <t>管理費收入 112年度Q3</t>
        </is>
      </c>
      <c r="E321" s="104" t="n">
        <v>3116145</v>
      </c>
      <c r="F321" s="108" t="inlineStr">
        <is>
          <t>管理費收入</t>
        </is>
      </c>
    </row>
    <row r="322" ht="16.5" customHeight="1" s="84">
      <c r="A322" s="7" t="inlineStr">
        <is>
          <t>2023-07</t>
        </is>
      </c>
      <c r="B322" s="13" t="inlineStr">
        <is>
          <t>管理費收入</t>
        </is>
      </c>
      <c r="C322" s="7" t="inlineStr">
        <is>
          <t>112年度Q4</t>
        </is>
      </c>
      <c r="D322" s="13" t="inlineStr">
        <is>
          <t>管理費收入 112年度Q4</t>
        </is>
      </c>
      <c r="E322" s="104" t="n">
        <v>9294</v>
      </c>
      <c r="F322" s="108" t="inlineStr">
        <is>
          <t>管理費收入</t>
        </is>
      </c>
    </row>
    <row r="323" ht="15" customHeight="1" s="84">
      <c r="A323" s="7" t="inlineStr">
        <is>
          <t>2023-07</t>
        </is>
      </c>
      <c r="B323" s="13" t="inlineStr">
        <is>
          <t>公設收入</t>
        </is>
      </c>
      <c r="C323" s="7" t="n"/>
      <c r="D323" s="13" t="inlineStr">
        <is>
          <t>公設收入</t>
        </is>
      </c>
      <c r="E323" s="104" t="n">
        <v>6815</v>
      </c>
      <c r="F323" s="108" t="inlineStr">
        <is>
          <t>公設收入</t>
        </is>
      </c>
    </row>
    <row r="324" ht="15" customHeight="1" s="84">
      <c r="A324" s="7" t="inlineStr">
        <is>
          <t>2023-07</t>
        </is>
      </c>
      <c r="B324" s="13" t="inlineStr">
        <is>
          <t>管委會出席費回存</t>
        </is>
      </c>
      <c r="C324" s="7" t="n"/>
      <c r="D324" s="13" t="inlineStr">
        <is>
          <t>管委會出席費回存</t>
        </is>
      </c>
      <c r="E324" s="104" t="n">
        <v>1000</v>
      </c>
      <c r="F324" s="108" t="inlineStr">
        <is>
          <t>出席費回存</t>
        </is>
      </c>
    </row>
    <row r="325" ht="15" customHeight="1" s="84">
      <c r="A325" s="15" t="inlineStr">
        <is>
          <t>2023-07</t>
        </is>
      </c>
      <c r="B325" s="16" t="inlineStr">
        <is>
          <t>門票收入</t>
        </is>
      </c>
      <c r="C325" s="15" t="n"/>
      <c r="D325" s="16" t="inlineStr">
        <is>
          <t>門票收入</t>
        </is>
      </c>
      <c r="E325" s="109" t="n">
        <v>28710</v>
      </c>
      <c r="F325" s="110" t="inlineStr">
        <is>
          <t>其他收入</t>
        </is>
      </c>
    </row>
    <row r="326" ht="15" customHeight="1" s="84">
      <c r="A326" s="7" t="inlineStr">
        <is>
          <t>2023-08</t>
        </is>
      </c>
      <c r="B326" s="13" t="inlineStr">
        <is>
          <t>元大活期利息</t>
        </is>
      </c>
      <c r="C326" s="7" t="n"/>
      <c r="D326" s="13" t="inlineStr">
        <is>
          <t>元大活期利息</t>
        </is>
      </c>
      <c r="E326" s="104" t="n">
        <v>3402</v>
      </c>
      <c r="F326" s="108" t="inlineStr">
        <is>
          <t>利息收入</t>
        </is>
      </c>
    </row>
    <row r="327" ht="16.5" customHeight="1" s="84">
      <c r="A327" s="7" t="inlineStr">
        <is>
          <t>2023-08</t>
        </is>
      </c>
      <c r="B327" s="13" t="inlineStr">
        <is>
          <t>元大定存利息</t>
        </is>
      </c>
      <c r="C327" s="7" t="inlineStr">
        <is>
          <t>683000016001</t>
        </is>
      </c>
      <c r="D327" s="13" t="inlineStr">
        <is>
          <t>元大定存利息 683000016001</t>
        </is>
      </c>
      <c r="E327" s="104" t="n">
        <v>2599</v>
      </c>
      <c r="F327" s="108" t="inlineStr">
        <is>
          <t>利息收入</t>
        </is>
      </c>
    </row>
    <row r="328" ht="16.5" customHeight="1" s="84">
      <c r="A328" s="7" t="inlineStr">
        <is>
          <t>2023-08</t>
        </is>
      </c>
      <c r="B328" s="13" t="inlineStr">
        <is>
          <t>元大定存利息</t>
        </is>
      </c>
      <c r="C328" s="7" t="inlineStr">
        <is>
          <t>683000006773</t>
        </is>
      </c>
      <c r="D328" s="13" t="inlineStr">
        <is>
          <t>元大定存利息 683000006773</t>
        </is>
      </c>
      <c r="E328" s="104" t="n">
        <v>955</v>
      </c>
      <c r="F328" s="108" t="inlineStr">
        <is>
          <t>利息收入</t>
        </is>
      </c>
    </row>
    <row r="329" ht="16.5" customHeight="1" s="84">
      <c r="A329" s="7" t="inlineStr">
        <is>
          <t>2023-08</t>
        </is>
      </c>
      <c r="B329" s="13" t="inlineStr">
        <is>
          <t>元大定存利息</t>
        </is>
      </c>
      <c r="C329" s="7" t="inlineStr">
        <is>
          <t>683000006745</t>
        </is>
      </c>
      <c r="D329" s="13" t="inlineStr">
        <is>
          <t>元大定存利息 683000006745</t>
        </is>
      </c>
      <c r="E329" s="104" t="n">
        <v>955</v>
      </c>
      <c r="F329" s="108" t="inlineStr">
        <is>
          <t>利息收入</t>
        </is>
      </c>
    </row>
    <row r="330" ht="16.5" customHeight="1" s="84">
      <c r="A330" s="7" t="inlineStr">
        <is>
          <t>2023-08</t>
        </is>
      </c>
      <c r="B330" s="13" t="inlineStr">
        <is>
          <t>元大定存利息</t>
        </is>
      </c>
      <c r="C330" s="7" t="inlineStr">
        <is>
          <t>683000013365</t>
        </is>
      </c>
      <c r="D330" s="13" t="inlineStr">
        <is>
          <t>元大定存利息 683000013365</t>
        </is>
      </c>
      <c r="E330" s="104" t="n">
        <v>981</v>
      </c>
      <c r="F330" s="108" t="inlineStr">
        <is>
          <t>利息收入</t>
        </is>
      </c>
    </row>
    <row r="331" ht="16.5" customHeight="1" s="84">
      <c r="A331" s="7" t="inlineStr">
        <is>
          <t>2023-08</t>
        </is>
      </c>
      <c r="B331" s="13" t="inlineStr">
        <is>
          <t>管理費收入</t>
        </is>
      </c>
      <c r="C331" s="7" t="inlineStr">
        <is>
          <t>112年度Q2</t>
        </is>
      </c>
      <c r="D331" s="13" t="inlineStr">
        <is>
          <t>管理費收入 112年度Q2</t>
        </is>
      </c>
      <c r="E331" s="104" t="n">
        <v>18945</v>
      </c>
      <c r="F331" s="108" t="inlineStr">
        <is>
          <t>管理費收入</t>
        </is>
      </c>
    </row>
    <row r="332" ht="16.5" customHeight="1" s="84">
      <c r="A332" s="7" t="inlineStr">
        <is>
          <t>2023-08</t>
        </is>
      </c>
      <c r="B332" s="13" t="inlineStr">
        <is>
          <t>管理費收入</t>
        </is>
      </c>
      <c r="C332" s="7" t="inlineStr">
        <is>
          <t>112年度Q3</t>
        </is>
      </c>
      <c r="D332" s="13" t="inlineStr">
        <is>
          <t>管理費收入 112年度Q3</t>
        </is>
      </c>
      <c r="E332" s="104" t="n">
        <v>461472</v>
      </c>
      <c r="F332" s="108" t="inlineStr">
        <is>
          <t>管理費收入</t>
        </is>
      </c>
    </row>
    <row r="333" ht="15" customHeight="1" s="84">
      <c r="A333" s="7" t="inlineStr">
        <is>
          <t>2023-08</t>
        </is>
      </c>
      <c r="B333" s="13" t="inlineStr">
        <is>
          <t>管委會出席費回存</t>
        </is>
      </c>
      <c r="C333" s="7" t="n"/>
      <c r="D333" s="13" t="inlineStr">
        <is>
          <t>管委會出席費回存</t>
        </is>
      </c>
      <c r="E333" s="104" t="n">
        <v>1000</v>
      </c>
      <c r="F333" s="108" t="inlineStr">
        <is>
          <t>出席費回存</t>
        </is>
      </c>
    </row>
    <row r="334" ht="15" customHeight="1" s="84">
      <c r="A334" s="7" t="inlineStr">
        <is>
          <t>2023-08</t>
        </is>
      </c>
      <c r="B334" s="13" t="inlineStr">
        <is>
          <t>公設收入</t>
        </is>
      </c>
      <c r="C334" s="7" t="n"/>
      <c r="D334" s="13" t="inlineStr">
        <is>
          <t>公設收入</t>
        </is>
      </c>
      <c r="E334" s="104" t="n">
        <v>4660</v>
      </c>
      <c r="F334" s="108" t="inlineStr">
        <is>
          <t>公設收入</t>
        </is>
      </c>
    </row>
    <row r="335" ht="15" customHeight="1" s="84">
      <c r="A335" s="15" t="inlineStr">
        <is>
          <t>2023-08</t>
        </is>
      </c>
      <c r="B335" s="16" t="inlineStr">
        <is>
          <t>門票收入</t>
        </is>
      </c>
      <c r="C335" s="15" t="n"/>
      <c r="D335" s="16" t="inlineStr">
        <is>
          <t>門票收入</t>
        </is>
      </c>
      <c r="E335" s="109" t="n">
        <v>18420</v>
      </c>
      <c r="F335" s="110" t="inlineStr">
        <is>
          <t>其他收入</t>
        </is>
      </c>
    </row>
    <row r="336" ht="15" customHeight="1" s="84">
      <c r="A336" s="7" t="inlineStr">
        <is>
          <t>2023-09</t>
        </is>
      </c>
      <c r="B336" s="13" t="inlineStr">
        <is>
          <t>元大活期利息</t>
        </is>
      </c>
      <c r="C336" s="7" t="n"/>
      <c r="D336" s="13" t="inlineStr">
        <is>
          <t>元大活期利息</t>
        </is>
      </c>
      <c r="E336" s="104" t="n">
        <v>2898</v>
      </c>
      <c r="F336" s="108" t="inlineStr">
        <is>
          <t>利息收入</t>
        </is>
      </c>
    </row>
    <row r="337" ht="16.5" customHeight="1" s="84">
      <c r="A337" s="7" t="inlineStr">
        <is>
          <t>2023-09</t>
        </is>
      </c>
      <c r="B337" s="13" t="inlineStr">
        <is>
          <t>元大定存利息</t>
        </is>
      </c>
      <c r="C337" s="7" t="inlineStr">
        <is>
          <t>683000016001</t>
        </is>
      </c>
      <c r="D337" s="13" t="inlineStr">
        <is>
          <t>元大定存利息 683000016001</t>
        </is>
      </c>
      <c r="E337" s="104" t="n">
        <v>2599</v>
      </c>
      <c r="F337" s="108" t="inlineStr">
        <is>
          <t>利息收入</t>
        </is>
      </c>
    </row>
    <row r="338" ht="16.5" customHeight="1" s="84">
      <c r="A338" s="7" t="inlineStr">
        <is>
          <t>2023-09</t>
        </is>
      </c>
      <c r="B338" s="13" t="inlineStr">
        <is>
          <t>元大定存利息</t>
        </is>
      </c>
      <c r="C338" s="7" t="inlineStr">
        <is>
          <t>683000006773</t>
        </is>
      </c>
      <c r="D338" s="13" t="inlineStr">
        <is>
          <t>元大定存利息 683000006773</t>
        </is>
      </c>
      <c r="E338" s="104" t="n">
        <v>955</v>
      </c>
      <c r="F338" s="108" t="inlineStr">
        <is>
          <t>利息收入</t>
        </is>
      </c>
    </row>
    <row r="339" ht="16.5" customHeight="1" s="84">
      <c r="A339" s="7" t="inlineStr">
        <is>
          <t>2023-09</t>
        </is>
      </c>
      <c r="B339" s="13" t="inlineStr">
        <is>
          <t>元大定存利息</t>
        </is>
      </c>
      <c r="C339" s="7" t="inlineStr">
        <is>
          <t>683000006745</t>
        </is>
      </c>
      <c r="D339" s="13" t="inlineStr">
        <is>
          <t>元大定存利息 683000006745</t>
        </is>
      </c>
      <c r="E339" s="104" t="n">
        <v>955</v>
      </c>
      <c r="F339" s="108" t="inlineStr">
        <is>
          <t>利息收入</t>
        </is>
      </c>
    </row>
    <row r="340" ht="16.5" customHeight="1" s="84">
      <c r="A340" s="7" t="inlineStr">
        <is>
          <t>2023-09</t>
        </is>
      </c>
      <c r="B340" s="13" t="inlineStr">
        <is>
          <t>元大定存利息</t>
        </is>
      </c>
      <c r="C340" s="7" t="inlineStr">
        <is>
          <t>683000013365</t>
        </is>
      </c>
      <c r="D340" s="13" t="inlineStr">
        <is>
          <t>元大定存利息 683000013365</t>
        </is>
      </c>
      <c r="E340" s="104" t="n">
        <v>981</v>
      </c>
      <c r="F340" s="108" t="inlineStr">
        <is>
          <t>利息收入</t>
        </is>
      </c>
    </row>
    <row r="341" ht="16.5" customHeight="1" s="84">
      <c r="A341" s="7" t="inlineStr">
        <is>
          <t>2023-09</t>
        </is>
      </c>
      <c r="B341" s="13" t="inlineStr">
        <is>
          <t>管理費收入</t>
        </is>
      </c>
      <c r="C341" s="7" t="inlineStr">
        <is>
          <t>112年度Q2</t>
        </is>
      </c>
      <c r="D341" s="13" t="inlineStr">
        <is>
          <t>管理費收入 112年度Q2</t>
        </is>
      </c>
      <c r="E341" s="104" t="n">
        <v>7497</v>
      </c>
      <c r="F341" s="108" t="inlineStr">
        <is>
          <t>管理費收入</t>
        </is>
      </c>
    </row>
    <row r="342" ht="16.5" customHeight="1" s="84">
      <c r="A342" s="7" t="inlineStr">
        <is>
          <t>2023-09</t>
        </is>
      </c>
      <c r="B342" s="13" t="inlineStr">
        <is>
          <t>管理費收入</t>
        </is>
      </c>
      <c r="C342" s="7" t="inlineStr">
        <is>
          <t>112年度Q3</t>
        </is>
      </c>
      <c r="D342" s="13" t="inlineStr">
        <is>
          <t>管理費收入 112年度Q3</t>
        </is>
      </c>
      <c r="E342" s="104" t="n">
        <v>68247</v>
      </c>
      <c r="F342" s="108" t="inlineStr">
        <is>
          <t>管理費收入</t>
        </is>
      </c>
    </row>
    <row r="343" ht="15" customHeight="1" s="84">
      <c r="A343" s="7" t="inlineStr">
        <is>
          <t>2023-09</t>
        </is>
      </c>
      <c r="B343" s="13" t="inlineStr">
        <is>
          <t>管委會出席費回存</t>
        </is>
      </c>
      <c r="C343" s="7" t="n"/>
      <c r="D343" s="13" t="inlineStr">
        <is>
          <t>管委會出席費回存</t>
        </is>
      </c>
      <c r="E343" s="104" t="n">
        <v>1000</v>
      </c>
      <c r="F343" s="108" t="inlineStr">
        <is>
          <t>出席費回存</t>
        </is>
      </c>
    </row>
    <row r="344" ht="15" customHeight="1" s="84">
      <c r="A344" s="7" t="inlineStr">
        <is>
          <t>2023-09</t>
        </is>
      </c>
      <c r="B344" s="13" t="inlineStr">
        <is>
          <t>公設收入</t>
        </is>
      </c>
      <c r="C344" s="7" t="n"/>
      <c r="D344" s="13" t="inlineStr">
        <is>
          <t>公設收入</t>
        </is>
      </c>
      <c r="E344" s="104" t="n">
        <v>20820</v>
      </c>
      <c r="F344" s="108" t="inlineStr">
        <is>
          <t>公設收入</t>
        </is>
      </c>
    </row>
    <row r="345" ht="15" customHeight="1" s="84">
      <c r="A345" s="15" t="inlineStr">
        <is>
          <t>2023-09</t>
        </is>
      </c>
      <c r="B345" s="16" t="inlineStr">
        <is>
          <t>門票收入</t>
        </is>
      </c>
      <c r="C345" s="15" t="n"/>
      <c r="D345" s="16" t="inlineStr">
        <is>
          <t>門票收入</t>
        </is>
      </c>
      <c r="E345" s="109" t="n">
        <v>120</v>
      </c>
      <c r="F345" s="110" t="inlineStr">
        <is>
          <t>其他收入</t>
        </is>
      </c>
    </row>
    <row r="346" ht="15" customHeight="1" s="84">
      <c r="A346" s="7" t="inlineStr">
        <is>
          <t>2023-10</t>
        </is>
      </c>
      <c r="B346" s="13" t="inlineStr">
        <is>
          <t>元大活期利息</t>
        </is>
      </c>
      <c r="C346" s="7" t="n"/>
      <c r="D346" s="13" t="inlineStr">
        <is>
          <t>元大活期利息</t>
        </is>
      </c>
      <c r="E346" s="104" t="n">
        <v>2687</v>
      </c>
      <c r="F346" s="108" t="inlineStr">
        <is>
          <t>利息收入</t>
        </is>
      </c>
    </row>
    <row r="347" ht="16.5" customHeight="1" s="84">
      <c r="A347" s="7" t="inlineStr">
        <is>
          <t>2023-10</t>
        </is>
      </c>
      <c r="B347" s="13" t="inlineStr">
        <is>
          <t>元大定存利息</t>
        </is>
      </c>
      <c r="C347" s="7" t="inlineStr">
        <is>
          <t>683000016001</t>
        </is>
      </c>
      <c r="D347" s="13" t="inlineStr">
        <is>
          <t>元大定存利息 683000016001</t>
        </is>
      </c>
      <c r="E347" s="104" t="n">
        <v>2515</v>
      </c>
      <c r="F347" s="108" t="inlineStr">
        <is>
          <t>利息收入</t>
        </is>
      </c>
    </row>
    <row r="348" ht="16.5" customHeight="1" s="84">
      <c r="A348" s="7" t="inlineStr">
        <is>
          <t>2023-10</t>
        </is>
      </c>
      <c r="B348" s="13" t="inlineStr">
        <is>
          <t>元大定存利息</t>
        </is>
      </c>
      <c r="C348" s="7" t="inlineStr">
        <is>
          <t>683000006773</t>
        </is>
      </c>
      <c r="D348" s="13" t="inlineStr">
        <is>
          <t>元大定存利息 683000006773</t>
        </is>
      </c>
      <c r="E348" s="104" t="n">
        <v>1027</v>
      </c>
      <c r="F348" s="108" t="inlineStr">
        <is>
          <t>利息收入</t>
        </is>
      </c>
    </row>
    <row r="349" ht="16.5" customHeight="1" s="84">
      <c r="A349" s="7" t="inlineStr">
        <is>
          <t>2023-10</t>
        </is>
      </c>
      <c r="B349" s="13" t="inlineStr">
        <is>
          <t>元大定存利息</t>
        </is>
      </c>
      <c r="C349" s="7" t="inlineStr">
        <is>
          <t>683000006745</t>
        </is>
      </c>
      <c r="D349" s="13" t="inlineStr">
        <is>
          <t>元大定存利息 683000006745</t>
        </is>
      </c>
      <c r="E349" s="104" t="n">
        <v>1027</v>
      </c>
      <c r="F349" s="108" t="inlineStr">
        <is>
          <t>利息收入</t>
        </is>
      </c>
    </row>
    <row r="350" ht="16.5" customHeight="1" s="84">
      <c r="A350" s="7" t="inlineStr">
        <is>
          <t>2023-10</t>
        </is>
      </c>
      <c r="B350" s="13" t="inlineStr">
        <is>
          <t>元大定存利息</t>
        </is>
      </c>
      <c r="C350" s="7" t="inlineStr">
        <is>
          <t>683000013365</t>
        </is>
      </c>
      <c r="D350" s="13" t="inlineStr">
        <is>
          <t>元大定存利息 683000013365</t>
        </is>
      </c>
      <c r="E350" s="104" t="n">
        <v>1258</v>
      </c>
      <c r="F350" s="108" t="inlineStr">
        <is>
          <t>利息收入</t>
        </is>
      </c>
    </row>
    <row r="351" ht="16.5" customHeight="1" s="84">
      <c r="A351" s="7" t="inlineStr">
        <is>
          <t>2023-10</t>
        </is>
      </c>
      <c r="B351" s="13" t="inlineStr">
        <is>
          <t>管理費收入</t>
        </is>
      </c>
      <c r="C351" s="7" t="inlineStr">
        <is>
          <t>112年度Q2</t>
        </is>
      </c>
      <c r="D351" s="13" t="inlineStr">
        <is>
          <t>管理費收入 112年度Q2</t>
        </is>
      </c>
      <c r="E351" s="104" t="n">
        <v>7875</v>
      </c>
      <c r="F351" s="108" t="inlineStr">
        <is>
          <t>管理費收入</t>
        </is>
      </c>
    </row>
    <row r="352" ht="16.5" customHeight="1" s="84">
      <c r="A352" s="7" t="inlineStr">
        <is>
          <t>2023-10</t>
        </is>
      </c>
      <c r="B352" s="13" t="inlineStr">
        <is>
          <t>管理費收入</t>
        </is>
      </c>
      <c r="C352" s="7" t="inlineStr">
        <is>
          <t>112年度Q3</t>
        </is>
      </c>
      <c r="D352" s="13" t="inlineStr">
        <is>
          <t>管理費收入 112年度Q3</t>
        </is>
      </c>
      <c r="E352" s="104" t="n">
        <v>159972</v>
      </c>
      <c r="F352" s="108" t="inlineStr">
        <is>
          <t>管理費收入</t>
        </is>
      </c>
    </row>
    <row r="353" ht="16.5" customHeight="1" s="84">
      <c r="A353" s="7" t="inlineStr">
        <is>
          <t>2023-10</t>
        </is>
      </c>
      <c r="B353" s="13" t="inlineStr">
        <is>
          <t>管理費收入</t>
        </is>
      </c>
      <c r="C353" s="7" t="inlineStr">
        <is>
          <t>112年度Q4</t>
        </is>
      </c>
      <c r="D353" s="13" t="inlineStr">
        <is>
          <t>管理費收入 112年度Q4</t>
        </is>
      </c>
      <c r="E353" s="104" t="n">
        <v>3274454</v>
      </c>
      <c r="F353" s="108" t="inlineStr">
        <is>
          <t>管理費收入</t>
        </is>
      </c>
    </row>
    <row r="354" ht="16.5" customHeight="1" s="84">
      <c r="A354" s="7" t="inlineStr">
        <is>
          <t>2023-10</t>
        </is>
      </c>
      <c r="B354" s="13" t="inlineStr">
        <is>
          <t>管理費收入</t>
        </is>
      </c>
      <c r="C354" s="7" t="inlineStr">
        <is>
          <t>113年度Q1</t>
        </is>
      </c>
      <c r="D354" s="13" t="inlineStr">
        <is>
          <t>管理費收入 113年度Q1</t>
        </is>
      </c>
      <c r="E354" s="104" t="n">
        <v>24336</v>
      </c>
      <c r="F354" s="108" t="inlineStr">
        <is>
          <t>管理費收入</t>
        </is>
      </c>
    </row>
    <row r="355" ht="15" customHeight="1" s="84">
      <c r="A355" s="7" t="inlineStr">
        <is>
          <t>2023-10</t>
        </is>
      </c>
      <c r="B355" s="13" t="inlineStr">
        <is>
          <t>管委會出席費回存</t>
        </is>
      </c>
      <c r="C355" s="7" t="n"/>
      <c r="D355" s="13" t="inlineStr">
        <is>
          <t>管委會出席費回存</t>
        </is>
      </c>
      <c r="E355" s="104" t="n">
        <v>2500</v>
      </c>
      <c r="F355" s="108" t="inlineStr">
        <is>
          <t>出席費回存</t>
        </is>
      </c>
    </row>
    <row r="356" ht="15" customHeight="1" s="84">
      <c r="A356" s="7" t="inlineStr">
        <is>
          <t>2023-10</t>
        </is>
      </c>
      <c r="B356" s="13" t="inlineStr">
        <is>
          <t>公設收入</t>
        </is>
      </c>
      <c r="C356" s="7" t="n"/>
      <c r="D356" s="13" t="inlineStr">
        <is>
          <t>公設收入</t>
        </is>
      </c>
      <c r="E356" s="104" t="n">
        <v>8800</v>
      </c>
      <c r="F356" s="108" t="inlineStr">
        <is>
          <t>公設收入</t>
        </is>
      </c>
    </row>
    <row r="357" ht="15" customHeight="1" s="84">
      <c r="A357" s="7" t="inlineStr">
        <is>
          <t>2023-11</t>
        </is>
      </c>
      <c r="B357" s="13" t="inlineStr">
        <is>
          <t>元大活期利息</t>
        </is>
      </c>
      <c r="C357" s="7" t="n"/>
      <c r="D357" s="13" t="inlineStr">
        <is>
          <t>元大活期利息</t>
        </is>
      </c>
      <c r="E357" s="104" t="n">
        <v>3768</v>
      </c>
      <c r="F357" s="108" t="inlineStr">
        <is>
          <t>利息收入</t>
        </is>
      </c>
    </row>
    <row r="358" ht="16.5" customHeight="1" s="84">
      <c r="A358" s="7" t="inlineStr">
        <is>
          <t>2023-11</t>
        </is>
      </c>
      <c r="B358" s="13" t="inlineStr">
        <is>
          <t>元大定存利息</t>
        </is>
      </c>
      <c r="C358" s="7" t="inlineStr">
        <is>
          <t>683000016001</t>
        </is>
      </c>
      <c r="D358" s="13" t="inlineStr">
        <is>
          <t>元大定存利息 683000016001</t>
        </is>
      </c>
      <c r="E358" s="104" t="n">
        <v>2599</v>
      </c>
      <c r="F358" s="108" t="inlineStr">
        <is>
          <t>利息收入</t>
        </is>
      </c>
    </row>
    <row r="359" ht="16.5" customHeight="1" s="84">
      <c r="A359" s="7" t="inlineStr">
        <is>
          <t>2023-11</t>
        </is>
      </c>
      <c r="B359" s="13" t="inlineStr">
        <is>
          <t>元大定存利息</t>
        </is>
      </c>
      <c r="C359" s="7" t="inlineStr">
        <is>
          <t>683000006773</t>
        </is>
      </c>
      <c r="D359" s="13" t="inlineStr">
        <is>
          <t>元大定存利息 683000006773</t>
        </is>
      </c>
      <c r="E359" s="104" t="n">
        <v>1062</v>
      </c>
      <c r="F359" s="108" t="inlineStr">
        <is>
          <t>利息收入</t>
        </is>
      </c>
    </row>
    <row r="360" ht="16.5" customHeight="1" s="84">
      <c r="A360" s="7" t="inlineStr">
        <is>
          <t>2023-11</t>
        </is>
      </c>
      <c r="B360" s="13" t="inlineStr">
        <is>
          <t>元大定存利息</t>
        </is>
      </c>
      <c r="C360" s="7" t="inlineStr">
        <is>
          <t>683000006745</t>
        </is>
      </c>
      <c r="D360" s="13" t="inlineStr">
        <is>
          <t>元大定存利息 683000006745</t>
        </is>
      </c>
      <c r="E360" s="104" t="n">
        <v>1062</v>
      </c>
      <c r="F360" s="108" t="inlineStr">
        <is>
          <t>利息收入</t>
        </is>
      </c>
    </row>
    <row r="361" ht="16.5" customHeight="1" s="84">
      <c r="A361" s="7" t="inlineStr">
        <is>
          <t>2023-11</t>
        </is>
      </c>
      <c r="B361" s="13" t="inlineStr">
        <is>
          <t>元大定存利息</t>
        </is>
      </c>
      <c r="C361" s="7" t="inlineStr">
        <is>
          <t>683000013365</t>
        </is>
      </c>
      <c r="D361" s="13" t="inlineStr">
        <is>
          <t>元大定存利息 683000013365</t>
        </is>
      </c>
      <c r="E361" s="104" t="n">
        <v>1299</v>
      </c>
      <c r="F361" s="108" t="inlineStr">
        <is>
          <t>利息收入</t>
        </is>
      </c>
    </row>
    <row r="362" ht="16.5" customHeight="1" s="84">
      <c r="A362" s="7" t="inlineStr">
        <is>
          <t>2023-11</t>
        </is>
      </c>
      <c r="B362" s="13" t="inlineStr">
        <is>
          <t>管理費收入</t>
        </is>
      </c>
      <c r="C362" s="7" t="inlineStr">
        <is>
          <t>112年度Q3</t>
        </is>
      </c>
      <c r="D362" s="13" t="inlineStr">
        <is>
          <t>管理費收入 112年度Q3</t>
        </is>
      </c>
      <c r="E362" s="104" t="n">
        <v>8025</v>
      </c>
      <c r="F362" s="108" t="inlineStr">
        <is>
          <t>管理費收入</t>
        </is>
      </c>
    </row>
    <row r="363" ht="16.5" customHeight="1" s="84">
      <c r="A363" s="7" t="inlineStr">
        <is>
          <t>2023-11</t>
        </is>
      </c>
      <c r="B363" s="13" t="inlineStr">
        <is>
          <t>管理費收入</t>
        </is>
      </c>
      <c r="C363" s="7" t="inlineStr">
        <is>
          <t>112年度Q4</t>
        </is>
      </c>
      <c r="D363" s="13" t="inlineStr">
        <is>
          <t>管理費收入 112年度Q4</t>
        </is>
      </c>
      <c r="E363" s="104" t="n">
        <v>460908</v>
      </c>
      <c r="F363" s="108" t="inlineStr">
        <is>
          <t>管理費收入</t>
        </is>
      </c>
    </row>
    <row r="364" ht="16.5" customHeight="1" s="84">
      <c r="A364" s="7" t="inlineStr">
        <is>
          <t>2023-11</t>
        </is>
      </c>
      <c r="B364" s="13" t="inlineStr">
        <is>
          <t>管理費收入</t>
        </is>
      </c>
      <c r="C364" s="7" t="inlineStr">
        <is>
          <t>112年度Q1</t>
        </is>
      </c>
      <c r="D364" s="13" t="inlineStr">
        <is>
          <t>管理費收入 112年度Q1</t>
        </is>
      </c>
      <c r="E364" s="104" t="n">
        <v>7572</v>
      </c>
      <c r="F364" s="108" t="inlineStr">
        <is>
          <t>管理費收入</t>
        </is>
      </c>
    </row>
    <row r="365" ht="15" customHeight="1" s="84">
      <c r="A365" s="7" t="inlineStr">
        <is>
          <t>2023-11</t>
        </is>
      </c>
      <c r="B365" s="13" t="inlineStr">
        <is>
          <t>管委會出席費回存</t>
        </is>
      </c>
      <c r="C365" s="7" t="n"/>
      <c r="D365" s="13" t="inlineStr">
        <is>
          <t>管委會出席費回存</t>
        </is>
      </c>
      <c r="E365" s="104" t="n">
        <v>1500</v>
      </c>
      <c r="F365" s="108" t="inlineStr">
        <is>
          <t>出席費回存</t>
        </is>
      </c>
    </row>
    <row r="366" ht="15" customHeight="1" s="84">
      <c r="A366" s="7" t="inlineStr">
        <is>
          <t>2023-11</t>
        </is>
      </c>
      <c r="B366" s="13" t="inlineStr">
        <is>
          <t>公設收入</t>
        </is>
      </c>
      <c r="C366" s="7" t="n"/>
      <c r="D366" s="13" t="inlineStr">
        <is>
          <t>公設收入</t>
        </is>
      </c>
      <c r="E366" s="104" t="n">
        <v>10400</v>
      </c>
      <c r="F366" s="108" t="inlineStr">
        <is>
          <t>公設收入</t>
        </is>
      </c>
    </row>
    <row r="367" ht="15" customHeight="1" s="84">
      <c r="A367" s="7" t="inlineStr">
        <is>
          <t>2023-12</t>
        </is>
      </c>
      <c r="B367" s="13" t="inlineStr">
        <is>
          <t>元大活期利息</t>
        </is>
      </c>
      <c r="C367" s="7" t="n"/>
      <c r="D367" s="13" t="inlineStr">
        <is>
          <t>元大活期利息</t>
        </is>
      </c>
      <c r="E367" s="104" t="n">
        <v>3297</v>
      </c>
      <c r="F367" s="108" t="inlineStr">
        <is>
          <t>利息收入</t>
        </is>
      </c>
    </row>
    <row r="368" ht="16.5" customHeight="1" s="84">
      <c r="A368" s="7" t="inlineStr">
        <is>
          <t>2023-12</t>
        </is>
      </c>
      <c r="B368" s="13" t="inlineStr">
        <is>
          <t>元大定存利息</t>
        </is>
      </c>
      <c r="C368" s="7" t="inlineStr">
        <is>
          <t>683000016001</t>
        </is>
      </c>
      <c r="D368" s="13" t="inlineStr">
        <is>
          <t>元大定存利息 683000016001</t>
        </is>
      </c>
      <c r="E368" s="104" t="n">
        <v>2515</v>
      </c>
      <c r="F368" s="108" t="inlineStr">
        <is>
          <t>利息收入</t>
        </is>
      </c>
    </row>
    <row r="369" ht="16.5" customHeight="1" s="84">
      <c r="A369" s="7" t="inlineStr">
        <is>
          <t>2023-12</t>
        </is>
      </c>
      <c r="B369" s="13" t="inlineStr">
        <is>
          <t>元大定存利息</t>
        </is>
      </c>
      <c r="C369" s="7" t="inlineStr">
        <is>
          <t>683000006773</t>
        </is>
      </c>
      <c r="D369" s="13" t="inlineStr">
        <is>
          <t>元大定存利息 683000006773</t>
        </is>
      </c>
      <c r="E369" s="104" t="n">
        <v>1027</v>
      </c>
      <c r="F369" s="108" t="inlineStr">
        <is>
          <t>利息收入</t>
        </is>
      </c>
    </row>
    <row r="370" ht="16.5" customHeight="1" s="84">
      <c r="A370" s="7" t="inlineStr">
        <is>
          <t>2023-12</t>
        </is>
      </c>
      <c r="B370" s="13" t="inlineStr">
        <is>
          <t>元大定存利息</t>
        </is>
      </c>
      <c r="C370" s="7" t="inlineStr">
        <is>
          <t>683000006745</t>
        </is>
      </c>
      <c r="D370" s="13" t="inlineStr">
        <is>
          <t>元大定存利息 683000006745</t>
        </is>
      </c>
      <c r="E370" s="104" t="n">
        <v>1027</v>
      </c>
      <c r="F370" s="108" t="inlineStr">
        <is>
          <t>利息收入</t>
        </is>
      </c>
    </row>
    <row r="371" ht="16.5" customHeight="1" s="84">
      <c r="A371" s="7" t="inlineStr">
        <is>
          <t>2023-12</t>
        </is>
      </c>
      <c r="B371" s="13" t="inlineStr">
        <is>
          <t>元大定存利息</t>
        </is>
      </c>
      <c r="C371" s="7" t="inlineStr">
        <is>
          <t>683000013365</t>
        </is>
      </c>
      <c r="D371" s="13" t="inlineStr">
        <is>
          <t>元大定存利息 683000013365</t>
        </is>
      </c>
      <c r="E371" s="104" t="n">
        <v>1258</v>
      </c>
      <c r="F371" s="108" t="inlineStr">
        <is>
          <t>利息收入</t>
        </is>
      </c>
    </row>
    <row r="372" ht="16.5" customHeight="1" s="84">
      <c r="A372" s="7" t="inlineStr">
        <is>
          <t>2023-12</t>
        </is>
      </c>
      <c r="B372" s="13" t="inlineStr">
        <is>
          <t>管理費收入</t>
        </is>
      </c>
      <c r="C372" s="7" t="inlineStr">
        <is>
          <t>112年度Q4</t>
        </is>
      </c>
      <c r="D372" s="13" t="inlineStr">
        <is>
          <t>管理費收入 112年度Q4</t>
        </is>
      </c>
      <c r="E372" s="104" t="n">
        <v>15528</v>
      </c>
      <c r="F372" s="108" t="inlineStr">
        <is>
          <t>管理費收入</t>
        </is>
      </c>
    </row>
    <row r="373" ht="15" customHeight="1" s="84">
      <c r="A373" s="7" t="inlineStr">
        <is>
          <t>2023-12</t>
        </is>
      </c>
      <c r="B373" s="13" t="inlineStr">
        <is>
          <t>管委會出席費回存</t>
        </is>
      </c>
      <c r="C373" s="7" t="n"/>
      <c r="D373" s="13" t="inlineStr">
        <is>
          <t>管委會出席費回存</t>
        </is>
      </c>
      <c r="E373" s="104" t="n">
        <v>3500</v>
      </c>
      <c r="F373" s="108" t="inlineStr">
        <is>
          <t>出席費回存</t>
        </is>
      </c>
    </row>
    <row r="374" ht="15" customHeight="1" s="84">
      <c r="A374" s="7" t="inlineStr">
        <is>
          <t>2023-12</t>
        </is>
      </c>
      <c r="B374" s="13" t="inlineStr">
        <is>
          <t>公設收入</t>
        </is>
      </c>
      <c r="C374" s="7" t="n"/>
      <c r="D374" s="13" t="inlineStr">
        <is>
          <t>公設收入</t>
        </is>
      </c>
      <c r="E374" s="104" t="n">
        <v>11830</v>
      </c>
      <c r="F374" s="108" t="inlineStr">
        <is>
          <t>公設收入</t>
        </is>
      </c>
    </row>
    <row r="375" ht="16.5" customHeight="1" s="84">
      <c r="A375" s="7" t="inlineStr">
        <is>
          <t>2023-12</t>
        </is>
      </c>
      <c r="B375" s="13" t="inlineStr">
        <is>
          <t>活動贊助金回存</t>
        </is>
      </c>
      <c r="C375" s="7" t="n"/>
      <c r="D375" s="13" t="inlineStr">
        <is>
          <t>活動贊助金回存</t>
        </is>
      </c>
      <c r="E375" s="104" t="n">
        <v>308</v>
      </c>
      <c r="F375" s="108" t="inlineStr">
        <is>
          <t>贊助/活動</t>
        </is>
      </c>
    </row>
    <row r="376" ht="15" customHeight="1" s="84">
      <c r="A376" s="15" t="inlineStr">
        <is>
          <t>2023-12</t>
        </is>
      </c>
      <c r="B376" s="16" t="inlineStr">
        <is>
          <t>聖誕節餐卷現金回存</t>
        </is>
      </c>
      <c r="C376" s="15" t="n"/>
      <c r="D376" s="16" t="inlineStr">
        <is>
          <t>聖誕節餐卷現金回存</t>
        </is>
      </c>
      <c r="E376" s="109" t="n">
        <v>21900</v>
      </c>
      <c r="F376" s="110" t="inlineStr">
        <is>
          <t>其他收入</t>
        </is>
      </c>
    </row>
    <row r="377" ht="15" customHeight="1" s="84">
      <c r="A377" s="7" t="inlineStr">
        <is>
          <t>2024-01</t>
        </is>
      </c>
      <c r="B377" s="13" t="inlineStr">
        <is>
          <t>元大活期利息</t>
        </is>
      </c>
      <c r="C377" s="7" t="n"/>
      <c r="D377" s="13" t="inlineStr">
        <is>
          <t>元大活期利息</t>
        </is>
      </c>
      <c r="E377" s="104" t="n">
        <v>3066</v>
      </c>
      <c r="F377" s="108" t="inlineStr">
        <is>
          <t>利息收入</t>
        </is>
      </c>
    </row>
    <row r="378" ht="16.5" customHeight="1" s="84">
      <c r="A378" s="7" t="inlineStr">
        <is>
          <t>2024-01</t>
        </is>
      </c>
      <c r="B378" s="13" t="inlineStr">
        <is>
          <t>元大定存利息</t>
        </is>
      </c>
      <c r="C378" s="7" t="inlineStr">
        <is>
          <t>683000016001</t>
        </is>
      </c>
      <c r="D378" s="13" t="inlineStr">
        <is>
          <t>元大定存利息 683000016001</t>
        </is>
      </c>
      <c r="E378" s="104" t="n">
        <v>2599</v>
      </c>
      <c r="F378" s="108" t="inlineStr">
        <is>
          <t>利息收入</t>
        </is>
      </c>
    </row>
    <row r="379" ht="16.5" customHeight="1" s="84">
      <c r="A379" s="7" t="inlineStr">
        <is>
          <t>2024-01</t>
        </is>
      </c>
      <c r="B379" s="13" t="inlineStr">
        <is>
          <t>元大定存利息</t>
        </is>
      </c>
      <c r="C379" s="7" t="inlineStr">
        <is>
          <t>683000006773</t>
        </is>
      </c>
      <c r="D379" s="13" t="inlineStr">
        <is>
          <t>元大定存利息 683000006773</t>
        </is>
      </c>
      <c r="E379" s="104" t="n">
        <v>1062</v>
      </c>
      <c r="F379" s="108" t="inlineStr">
        <is>
          <t>利息收入</t>
        </is>
      </c>
    </row>
    <row r="380" ht="16.5" customHeight="1" s="84">
      <c r="A380" s="7" t="inlineStr">
        <is>
          <t>2024-01</t>
        </is>
      </c>
      <c r="B380" s="13" t="inlineStr">
        <is>
          <t>元大定存利息</t>
        </is>
      </c>
      <c r="C380" s="7" t="inlineStr">
        <is>
          <t>683000006745</t>
        </is>
      </c>
      <c r="D380" s="13" t="inlineStr">
        <is>
          <t>元大定存利息 683000006745</t>
        </is>
      </c>
      <c r="E380" s="104" t="n">
        <v>1062</v>
      </c>
      <c r="F380" s="108" t="inlineStr">
        <is>
          <t>利息收入</t>
        </is>
      </c>
    </row>
    <row r="381" ht="16.5" customHeight="1" s="84">
      <c r="A381" s="7" t="inlineStr">
        <is>
          <t>2024-01</t>
        </is>
      </c>
      <c r="B381" s="13" t="inlineStr">
        <is>
          <t>元大定存利息</t>
        </is>
      </c>
      <c r="C381" s="7" t="inlineStr">
        <is>
          <t>683000013365</t>
        </is>
      </c>
      <c r="D381" s="13" t="inlineStr">
        <is>
          <t>元大定存利息 683000013365</t>
        </is>
      </c>
      <c r="E381" s="104" t="n">
        <v>1299</v>
      </c>
      <c r="F381" s="108" t="inlineStr">
        <is>
          <t>利息收入</t>
        </is>
      </c>
    </row>
    <row r="382" ht="16.5" customHeight="1" s="84">
      <c r="A382" s="7" t="inlineStr">
        <is>
          <t>2024-01</t>
        </is>
      </c>
      <c r="B382" s="13" t="inlineStr">
        <is>
          <t>管理費收入</t>
        </is>
      </c>
      <c r="C382" s="7" t="inlineStr">
        <is>
          <t>112年度Q2</t>
        </is>
      </c>
      <c r="D382" s="13" t="inlineStr">
        <is>
          <t>管理費收入 112年度Q2</t>
        </is>
      </c>
      <c r="E382" s="104" t="n">
        <v>7776</v>
      </c>
      <c r="F382" s="108" t="inlineStr">
        <is>
          <t>管理費收入</t>
        </is>
      </c>
    </row>
    <row r="383" ht="16.5" customHeight="1" s="84">
      <c r="A383" s="7" t="inlineStr">
        <is>
          <t>2024-01</t>
        </is>
      </c>
      <c r="B383" s="13" t="inlineStr">
        <is>
          <t>管理費收入</t>
        </is>
      </c>
      <c r="C383" s="7" t="inlineStr">
        <is>
          <t>112年度Q3</t>
        </is>
      </c>
      <c r="D383" s="13" t="inlineStr">
        <is>
          <t>管理費收入 112年度Q3</t>
        </is>
      </c>
      <c r="E383" s="104" t="n">
        <v>28437</v>
      </c>
      <c r="F383" s="108" t="inlineStr">
        <is>
          <t>管理費收入</t>
        </is>
      </c>
    </row>
    <row r="384" ht="16.5" customHeight="1" s="84">
      <c r="A384" s="7" t="inlineStr">
        <is>
          <t>2024-01</t>
        </is>
      </c>
      <c r="B384" s="13" t="inlineStr">
        <is>
          <t>管理費收入</t>
        </is>
      </c>
      <c r="C384" s="7" t="inlineStr">
        <is>
          <t>112年度Q4</t>
        </is>
      </c>
      <c r="D384" s="13" t="inlineStr">
        <is>
          <t>管理費收入 112年度Q4</t>
        </is>
      </c>
      <c r="E384" s="104" t="n">
        <v>89967</v>
      </c>
      <c r="F384" s="108" t="inlineStr">
        <is>
          <t>管理費收入</t>
        </is>
      </c>
    </row>
    <row r="385" ht="16.5" customHeight="1" s="84">
      <c r="A385" s="7" t="inlineStr">
        <is>
          <t>2024-01</t>
        </is>
      </c>
      <c r="B385" s="13" t="inlineStr">
        <is>
          <t>管理費收入</t>
        </is>
      </c>
      <c r="C385" s="7" t="inlineStr">
        <is>
          <t>113年度Q1</t>
        </is>
      </c>
      <c r="D385" s="13" t="inlineStr">
        <is>
          <t>管理費收入 113年度Q1</t>
        </is>
      </c>
      <c r="E385" s="104" t="n">
        <v>3483511</v>
      </c>
      <c r="F385" s="108" t="inlineStr">
        <is>
          <t>管理費收入</t>
        </is>
      </c>
    </row>
    <row r="386" ht="15" customHeight="1" s="84">
      <c r="A386" s="7" t="inlineStr">
        <is>
          <t>2024-01</t>
        </is>
      </c>
      <c r="B386" s="13" t="inlineStr">
        <is>
          <t>管委會出席費回存</t>
        </is>
      </c>
      <c r="C386" s="7" t="n"/>
      <c r="D386" s="13" t="inlineStr">
        <is>
          <t>管委會出席費回存</t>
        </is>
      </c>
      <c r="E386" s="104" t="n">
        <v>1500</v>
      </c>
      <c r="F386" s="108" t="inlineStr">
        <is>
          <t>出席費回存</t>
        </is>
      </c>
    </row>
    <row r="387" ht="15" customHeight="1" s="84">
      <c r="A387" s="7" t="inlineStr">
        <is>
          <t>2024-01</t>
        </is>
      </c>
      <c r="B387" s="13" t="inlineStr">
        <is>
          <t>公設收入</t>
        </is>
      </c>
      <c r="C387" s="7" t="n"/>
      <c r="D387" s="13" t="inlineStr">
        <is>
          <t>公設收入</t>
        </is>
      </c>
      <c r="E387" s="104" t="n">
        <v>13310</v>
      </c>
      <c r="F387" s="108" t="inlineStr">
        <is>
          <t>公設收入</t>
        </is>
      </c>
    </row>
    <row r="388" ht="15" customHeight="1" s="84">
      <c r="A388" s="7" t="inlineStr">
        <is>
          <t>2024-02</t>
        </is>
      </c>
      <c r="B388" s="13" t="inlineStr">
        <is>
          <t>元大活期利息</t>
        </is>
      </c>
      <c r="C388" s="7" t="n"/>
      <c r="D388" s="13" t="inlineStr">
        <is>
          <t>元大活期利息</t>
        </is>
      </c>
      <c r="E388" s="104" t="n">
        <v>4010</v>
      </c>
      <c r="F388" s="108" t="inlineStr">
        <is>
          <t>利息收入</t>
        </is>
      </c>
    </row>
    <row r="389" ht="16.5" customHeight="1" s="84">
      <c r="A389" s="7" t="inlineStr">
        <is>
          <t>2024-02</t>
        </is>
      </c>
      <c r="B389" s="13" t="inlineStr">
        <is>
          <t>元大定存利息</t>
        </is>
      </c>
      <c r="C389" s="7" t="inlineStr">
        <is>
          <t>683000016001</t>
        </is>
      </c>
      <c r="D389" s="13" t="inlineStr">
        <is>
          <t>元大定存利息 683000016001</t>
        </is>
      </c>
      <c r="E389" s="104" t="n">
        <v>2599</v>
      </c>
      <c r="F389" s="108" t="inlineStr">
        <is>
          <t>利息收入</t>
        </is>
      </c>
    </row>
    <row r="390" ht="16.5" customHeight="1" s="84">
      <c r="A390" s="7" t="inlineStr">
        <is>
          <t>2024-02</t>
        </is>
      </c>
      <c r="B390" s="13" t="inlineStr">
        <is>
          <t>元大定存利息</t>
        </is>
      </c>
      <c r="C390" s="7" t="inlineStr">
        <is>
          <t>683000006773</t>
        </is>
      </c>
      <c r="D390" s="13" t="inlineStr">
        <is>
          <t>元大定存利息 683000006773</t>
        </is>
      </c>
      <c r="E390" s="104" t="n">
        <v>1062</v>
      </c>
      <c r="F390" s="108" t="inlineStr">
        <is>
          <t>利息收入</t>
        </is>
      </c>
    </row>
    <row r="391" ht="16.5" customHeight="1" s="84">
      <c r="A391" s="7" t="inlineStr">
        <is>
          <t>2024-02</t>
        </is>
      </c>
      <c r="B391" s="13" t="inlineStr">
        <is>
          <t>元大定存利息</t>
        </is>
      </c>
      <c r="C391" s="7" t="inlineStr">
        <is>
          <t>683000006745</t>
        </is>
      </c>
      <c r="D391" s="13" t="inlineStr">
        <is>
          <t>元大定存利息 683000006745</t>
        </is>
      </c>
      <c r="E391" s="104" t="n">
        <v>1062</v>
      </c>
      <c r="F391" s="108" t="inlineStr">
        <is>
          <t>利息收入</t>
        </is>
      </c>
    </row>
    <row r="392" ht="16.5" customHeight="1" s="84">
      <c r="A392" s="7" t="inlineStr">
        <is>
          <t>2024-02</t>
        </is>
      </c>
      <c r="B392" s="13" t="inlineStr">
        <is>
          <t>元大定存利息</t>
        </is>
      </c>
      <c r="C392" s="7" t="inlineStr">
        <is>
          <t>683000013365</t>
        </is>
      </c>
      <c r="D392" s="13" t="inlineStr">
        <is>
          <t>元大定存利息 683000013365</t>
        </is>
      </c>
      <c r="E392" s="104" t="n">
        <v>1299</v>
      </c>
      <c r="F392" s="108" t="inlineStr">
        <is>
          <t>利息收入</t>
        </is>
      </c>
    </row>
    <row r="393" ht="16.5" customHeight="1" s="84">
      <c r="A393" s="7" t="inlineStr">
        <is>
          <t>2024-02</t>
        </is>
      </c>
      <c r="B393" s="13" t="inlineStr">
        <is>
          <t>管理費收入</t>
        </is>
      </c>
      <c r="C393" s="7" t="inlineStr">
        <is>
          <t>113年度Q1</t>
        </is>
      </c>
      <c r="D393" s="13" t="inlineStr">
        <is>
          <t>管理費收入 113年度Q1</t>
        </is>
      </c>
      <c r="E393" s="104" t="n">
        <v>284220</v>
      </c>
      <c r="F393" s="108" t="inlineStr">
        <is>
          <t>管理費收入</t>
        </is>
      </c>
    </row>
    <row r="394" ht="15" customHeight="1" s="84">
      <c r="A394" s="7" t="inlineStr">
        <is>
          <t>2024-02</t>
        </is>
      </c>
      <c r="B394" s="13" t="inlineStr">
        <is>
          <t>管委會出席費回存</t>
        </is>
      </c>
      <c r="C394" s="7" t="n"/>
      <c r="D394" s="13" t="inlineStr">
        <is>
          <t>管委會出席費回存</t>
        </is>
      </c>
      <c r="E394" s="104" t="n">
        <v>1000</v>
      </c>
      <c r="F394" s="108" t="inlineStr">
        <is>
          <t>出席費回存</t>
        </is>
      </c>
    </row>
    <row r="395" ht="15" customHeight="1" s="84">
      <c r="A395" s="7" t="inlineStr">
        <is>
          <t>2024-02</t>
        </is>
      </c>
      <c r="B395" s="13" t="inlineStr">
        <is>
          <t>公設收入</t>
        </is>
      </c>
      <c r="C395" s="7" t="n"/>
      <c r="D395" s="13" t="inlineStr">
        <is>
          <t>公設收入</t>
        </is>
      </c>
      <c r="E395" s="104" t="n">
        <v>6180</v>
      </c>
      <c r="F395" s="108" t="inlineStr">
        <is>
          <t>公設收入</t>
        </is>
      </c>
    </row>
    <row r="396" ht="15" customHeight="1" s="84">
      <c r="A396" s="7" t="inlineStr">
        <is>
          <t>2024-03</t>
        </is>
      </c>
      <c r="B396" s="13" t="inlineStr">
        <is>
          <t>元大活期利息</t>
        </is>
      </c>
      <c r="C396" s="7" t="n"/>
      <c r="D396" s="13" t="inlineStr">
        <is>
          <t>元大活期利息</t>
        </is>
      </c>
      <c r="E396" s="104" t="n">
        <v>3235</v>
      </c>
      <c r="F396" s="108" t="inlineStr">
        <is>
          <t>利息收入</t>
        </is>
      </c>
    </row>
    <row r="397" ht="16.5" customHeight="1" s="84">
      <c r="A397" s="7" t="inlineStr">
        <is>
          <t>2024-03</t>
        </is>
      </c>
      <c r="B397" s="13" t="inlineStr">
        <is>
          <t>元大定存利息</t>
        </is>
      </c>
      <c r="C397" s="7" t="inlineStr">
        <is>
          <t>683000016001</t>
        </is>
      </c>
      <c r="D397" s="13" t="inlineStr">
        <is>
          <t>元大定存利息 683000016001</t>
        </is>
      </c>
      <c r="E397" s="104" t="n">
        <v>2431</v>
      </c>
      <c r="F397" s="108" t="inlineStr">
        <is>
          <t>利息收入</t>
        </is>
      </c>
    </row>
    <row r="398" ht="16.5" customHeight="1" s="84">
      <c r="A398" s="7" t="inlineStr">
        <is>
          <t>2024-03</t>
        </is>
      </c>
      <c r="B398" s="13" t="inlineStr">
        <is>
          <t>元大定存利息</t>
        </is>
      </c>
      <c r="C398" s="7" t="inlineStr">
        <is>
          <t>683000006773</t>
        </is>
      </c>
      <c r="D398" s="13" t="inlineStr">
        <is>
          <t>元大定存利息 683000006773</t>
        </is>
      </c>
      <c r="E398" s="104" t="n">
        <v>993</v>
      </c>
      <c r="F398" s="108" t="inlineStr">
        <is>
          <t>利息收入</t>
        </is>
      </c>
    </row>
    <row r="399" ht="16.5" customHeight="1" s="84">
      <c r="A399" s="7" t="inlineStr">
        <is>
          <t>2024-03</t>
        </is>
      </c>
      <c r="B399" s="13" t="inlineStr">
        <is>
          <t>元大定存利息</t>
        </is>
      </c>
      <c r="C399" s="7" t="inlineStr">
        <is>
          <t>683000006745</t>
        </is>
      </c>
      <c r="D399" s="13" t="inlineStr">
        <is>
          <t>元大定存利息 683000006745</t>
        </is>
      </c>
      <c r="E399" s="104" t="n">
        <v>993</v>
      </c>
      <c r="F399" s="108" t="inlineStr">
        <is>
          <t>利息收入</t>
        </is>
      </c>
    </row>
    <row r="400" ht="16.5" customHeight="1" s="84">
      <c r="A400" s="7" t="inlineStr">
        <is>
          <t>2024-03</t>
        </is>
      </c>
      <c r="B400" s="13" t="inlineStr">
        <is>
          <t>元大定存利息</t>
        </is>
      </c>
      <c r="C400" s="7" t="inlineStr">
        <is>
          <t>683000013365</t>
        </is>
      </c>
      <c r="D400" s="13" t="inlineStr">
        <is>
          <t>元大定存利息 683000013365</t>
        </is>
      </c>
      <c r="E400" s="104" t="n">
        <v>1216</v>
      </c>
      <c r="F400" s="108" t="inlineStr">
        <is>
          <t>利息收入</t>
        </is>
      </c>
    </row>
    <row r="401" ht="16.5" customHeight="1" s="84">
      <c r="A401" s="7" t="inlineStr">
        <is>
          <t>2024-03</t>
        </is>
      </c>
      <c r="B401" s="13" t="inlineStr">
        <is>
          <t>管理費收入</t>
        </is>
      </c>
      <c r="C401" s="7" t="inlineStr">
        <is>
          <t>113年度Q1</t>
        </is>
      </c>
      <c r="D401" s="13" t="inlineStr">
        <is>
          <t>管理費收入 113年度Q1</t>
        </is>
      </c>
      <c r="E401" s="104" t="n">
        <v>28980</v>
      </c>
      <c r="F401" s="108" t="inlineStr">
        <is>
          <t>管理費收入</t>
        </is>
      </c>
    </row>
    <row r="402" ht="15" customHeight="1" s="84">
      <c r="A402" s="7" t="inlineStr">
        <is>
          <t>2024-03</t>
        </is>
      </c>
      <c r="B402" s="13" t="inlineStr">
        <is>
          <t>管委會出席費回存</t>
        </is>
      </c>
      <c r="C402" s="7" t="n"/>
      <c r="D402" s="13" t="inlineStr">
        <is>
          <t>管委會出席費回存</t>
        </is>
      </c>
      <c r="E402" s="104" t="n">
        <v>0</v>
      </c>
      <c r="F402" s="108" t="inlineStr">
        <is>
          <t>出席費回存</t>
        </is>
      </c>
    </row>
    <row r="403" ht="15" customHeight="1" s="84">
      <c r="A403" s="7" t="inlineStr">
        <is>
          <t>2024-03</t>
        </is>
      </c>
      <c r="B403" s="13" t="inlineStr">
        <is>
          <t>公設收入</t>
        </is>
      </c>
      <c r="C403" s="7" t="n"/>
      <c r="D403" s="13" t="inlineStr">
        <is>
          <t>公設收入</t>
        </is>
      </c>
      <c r="E403" s="104" t="n">
        <v>0</v>
      </c>
      <c r="F403" s="108" t="inlineStr">
        <is>
          <t>公設收入</t>
        </is>
      </c>
    </row>
    <row r="404" ht="15" customHeight="1" s="84">
      <c r="A404" s="7" t="inlineStr">
        <is>
          <t>2024-04</t>
        </is>
      </c>
      <c r="B404" s="13" t="inlineStr">
        <is>
          <t>元大活期利息</t>
        </is>
      </c>
      <c r="C404" s="7" t="n"/>
      <c r="D404" s="13" t="inlineStr">
        <is>
          <t>元大活期利息</t>
        </is>
      </c>
      <c r="E404" s="104" t="n">
        <v>3659</v>
      </c>
      <c r="F404" s="108" t="inlineStr">
        <is>
          <t>利息收入</t>
        </is>
      </c>
    </row>
    <row r="405" ht="16.5" customHeight="1" s="84">
      <c r="A405" s="7" t="inlineStr">
        <is>
          <t>2024-04</t>
        </is>
      </c>
      <c r="B405" s="13" t="inlineStr">
        <is>
          <t>元大定存利息</t>
        </is>
      </c>
      <c r="C405" s="7" t="inlineStr">
        <is>
          <t>683000016001</t>
        </is>
      </c>
      <c r="D405" s="13" t="inlineStr">
        <is>
          <t>元大定存利息 683000016001</t>
        </is>
      </c>
      <c r="E405" s="104" t="n">
        <v>2599</v>
      </c>
      <c r="F405" s="108" t="inlineStr">
        <is>
          <t>利息收入</t>
        </is>
      </c>
    </row>
    <row r="406" ht="16.5" customHeight="1" s="84">
      <c r="A406" s="7" t="inlineStr">
        <is>
          <t>2024-04</t>
        </is>
      </c>
      <c r="B406" s="13" t="inlineStr">
        <is>
          <t>元大定存利息</t>
        </is>
      </c>
      <c r="C406" s="7" t="inlineStr">
        <is>
          <t>683000006773</t>
        </is>
      </c>
      <c r="D406" s="13" t="inlineStr">
        <is>
          <t>元大定存利息 683000006773</t>
        </is>
      </c>
      <c r="E406" s="104" t="n">
        <v>1062</v>
      </c>
      <c r="F406" s="108" t="inlineStr">
        <is>
          <t>利息收入</t>
        </is>
      </c>
    </row>
    <row r="407" ht="16.5" customHeight="1" s="84">
      <c r="A407" s="7" t="inlineStr">
        <is>
          <t>2024-04</t>
        </is>
      </c>
      <c r="B407" s="13" t="inlineStr">
        <is>
          <t>元大定存利息</t>
        </is>
      </c>
      <c r="C407" s="7" t="inlineStr">
        <is>
          <t>683000006745</t>
        </is>
      </c>
      <c r="D407" s="13" t="inlineStr">
        <is>
          <t>元大定存利息 683000006745</t>
        </is>
      </c>
      <c r="E407" s="104" t="n">
        <v>1062</v>
      </c>
      <c r="F407" s="108" t="inlineStr">
        <is>
          <t>利息收入</t>
        </is>
      </c>
    </row>
    <row r="408" ht="16.5" customHeight="1" s="84">
      <c r="A408" s="7" t="inlineStr">
        <is>
          <t>2024-04</t>
        </is>
      </c>
      <c r="B408" s="13" t="inlineStr">
        <is>
          <t>元大定存利息</t>
        </is>
      </c>
      <c r="C408" s="7" t="inlineStr">
        <is>
          <t>683000013365</t>
        </is>
      </c>
      <c r="D408" s="13" t="inlineStr">
        <is>
          <t>元大定存利息 683000013365</t>
        </is>
      </c>
      <c r="E408" s="104" t="n">
        <v>1299</v>
      </c>
      <c r="F408" s="108" t="inlineStr">
        <is>
          <t>利息收入</t>
        </is>
      </c>
    </row>
    <row r="409" ht="16.5" customHeight="1" s="84">
      <c r="A409" s="7" t="inlineStr">
        <is>
          <t>2024-04</t>
        </is>
      </c>
      <c r="B409" s="13" t="inlineStr">
        <is>
          <t>管理費收入</t>
        </is>
      </c>
      <c r="C409" s="7" t="inlineStr">
        <is>
          <t>113年度Q1</t>
        </is>
      </c>
      <c r="D409" s="13" t="inlineStr">
        <is>
          <t>管理費收入 113年度Q1</t>
        </is>
      </c>
      <c r="E409" s="104" t="n">
        <v>16206</v>
      </c>
      <c r="F409" s="108" t="inlineStr">
        <is>
          <t>管理費收入</t>
        </is>
      </c>
    </row>
    <row r="410" ht="16.5" customHeight="1" s="84">
      <c r="A410" s="7" t="inlineStr">
        <is>
          <t>2024-04</t>
        </is>
      </c>
      <c r="B410" s="13" t="inlineStr">
        <is>
          <t>管理費收入</t>
        </is>
      </c>
      <c r="C410" s="7" t="inlineStr">
        <is>
          <t>113年度Q2</t>
        </is>
      </c>
      <c r="D410" s="13" t="inlineStr">
        <is>
          <t>管理費收入 113年度Q2</t>
        </is>
      </c>
      <c r="E410" s="104" t="n">
        <v>3055632</v>
      </c>
      <c r="F410" s="108" t="inlineStr">
        <is>
          <t>管理費收入</t>
        </is>
      </c>
    </row>
    <row r="411" ht="16.5" customHeight="1" s="84">
      <c r="A411" s="7" t="inlineStr">
        <is>
          <t>2024-04</t>
        </is>
      </c>
      <c r="B411" s="13" t="inlineStr">
        <is>
          <t>管委會出席費回存(3月)</t>
        </is>
      </c>
      <c r="C411" s="7" t="n"/>
      <c r="D411" s="13" t="inlineStr">
        <is>
          <t>管委會出席費回存(3月)</t>
        </is>
      </c>
      <c r="E411" s="104" t="n">
        <v>2000</v>
      </c>
      <c r="F411" s="108" t="inlineStr">
        <is>
          <t>出席費回存</t>
        </is>
      </c>
    </row>
    <row r="412" ht="16.5" customHeight="1" s="84">
      <c r="A412" s="7" t="inlineStr">
        <is>
          <t>2024-04</t>
        </is>
      </c>
      <c r="B412" s="13" t="inlineStr">
        <is>
          <t>公設收入(3月)</t>
        </is>
      </c>
      <c r="C412" s="7" t="n"/>
      <c r="D412" s="13" t="inlineStr">
        <is>
          <t>公設收入(3月)</t>
        </is>
      </c>
      <c r="E412" s="104" t="n">
        <v>10760</v>
      </c>
      <c r="F412" s="108" t="inlineStr">
        <is>
          <t>公設收入</t>
        </is>
      </c>
    </row>
    <row r="413" ht="16.5" customHeight="1" s="84">
      <c r="A413" s="7" t="inlineStr">
        <is>
          <t>2024-04</t>
        </is>
      </c>
      <c r="B413" s="13" t="inlineStr">
        <is>
          <t>管委會出席費回存(4月)</t>
        </is>
      </c>
      <c r="C413" s="7" t="n"/>
      <c r="D413" s="13" t="inlineStr">
        <is>
          <t>管委會出席費回存(4月)</t>
        </is>
      </c>
      <c r="E413" s="104" t="n">
        <v>2000</v>
      </c>
      <c r="F413" s="108" t="inlineStr">
        <is>
          <t>出席費回存</t>
        </is>
      </c>
    </row>
    <row r="414" ht="16.5" customHeight="1" s="84">
      <c r="A414" s="7" t="inlineStr">
        <is>
          <t>2024-04</t>
        </is>
      </c>
      <c r="B414" s="13" t="inlineStr">
        <is>
          <t>公設收入(4月)</t>
        </is>
      </c>
      <c r="C414" s="7" t="n"/>
      <c r="D414" s="13" t="inlineStr">
        <is>
          <t>公設收入(4月)</t>
        </is>
      </c>
      <c r="E414" s="104" t="n">
        <v>9040</v>
      </c>
      <c r="F414" s="108" t="inlineStr">
        <is>
          <t>公設收入</t>
        </is>
      </c>
    </row>
    <row r="415" ht="15" customHeight="1" s="84">
      <c r="A415" s="15" t="inlineStr">
        <is>
          <t>2024-04</t>
        </is>
      </c>
      <c r="B415" s="16" t="inlineStr">
        <is>
          <t>舊衣回收回饋金</t>
        </is>
      </c>
      <c r="C415" s="15" t="n"/>
      <c r="D415" s="16" t="inlineStr">
        <is>
          <t>舊衣回收回饋金</t>
        </is>
      </c>
      <c r="E415" s="109" t="n">
        <v>16720</v>
      </c>
      <c r="F415" s="110" t="inlineStr">
        <is>
          <t>其他收入</t>
        </is>
      </c>
    </row>
    <row r="416" ht="15" customHeight="1" s="84">
      <c r="A416" s="7" t="inlineStr">
        <is>
          <t>2024-05</t>
        </is>
      </c>
      <c r="B416" s="13" t="inlineStr">
        <is>
          <t>元大活期利息</t>
        </is>
      </c>
      <c r="C416" s="7" t="n"/>
      <c r="D416" s="13" t="inlineStr">
        <is>
          <t>元大活期利息</t>
        </is>
      </c>
      <c r="E416" s="104" t="n">
        <v>4308</v>
      </c>
      <c r="F416" s="108" t="inlineStr">
        <is>
          <t>利息收入</t>
        </is>
      </c>
    </row>
    <row r="417" ht="16.5" customHeight="1" s="84">
      <c r="A417" s="7" t="inlineStr">
        <is>
          <t>2024-05</t>
        </is>
      </c>
      <c r="B417" s="13" t="inlineStr">
        <is>
          <t>元大定存利息</t>
        </is>
      </c>
      <c r="C417" s="7" t="inlineStr">
        <is>
          <t>683000016001</t>
        </is>
      </c>
      <c r="D417" s="13" t="inlineStr">
        <is>
          <t>元大定存利息 683000016001</t>
        </is>
      </c>
      <c r="E417" s="104" t="n">
        <v>2721</v>
      </c>
      <c r="F417" s="108" t="inlineStr">
        <is>
          <t>利息收入</t>
        </is>
      </c>
    </row>
    <row r="418" ht="16.5" customHeight="1" s="84">
      <c r="A418" s="7" t="inlineStr">
        <is>
          <t>2024-05</t>
        </is>
      </c>
      <c r="B418" s="13" t="inlineStr">
        <is>
          <t>元大定存利息</t>
        </is>
      </c>
      <c r="C418" s="7" t="inlineStr">
        <is>
          <t>683000006773</t>
        </is>
      </c>
      <c r="D418" s="13" t="inlineStr">
        <is>
          <t>元大定存利息 683000006773</t>
        </is>
      </c>
      <c r="E418" s="104" t="n">
        <v>1027</v>
      </c>
      <c r="F418" s="108" t="inlineStr">
        <is>
          <t>利息收入</t>
        </is>
      </c>
    </row>
    <row r="419" ht="16.5" customHeight="1" s="84">
      <c r="A419" s="7" t="inlineStr">
        <is>
          <t>2024-05</t>
        </is>
      </c>
      <c r="B419" s="13" t="inlineStr">
        <is>
          <t>元大定存利息</t>
        </is>
      </c>
      <c r="C419" s="7" t="inlineStr">
        <is>
          <t>683000006745</t>
        </is>
      </c>
      <c r="D419" s="13" t="inlineStr">
        <is>
          <t>元大定存利息 683000006745</t>
        </is>
      </c>
      <c r="E419" s="104" t="n">
        <v>1027</v>
      </c>
      <c r="F419" s="108" t="inlineStr">
        <is>
          <t>利息收入</t>
        </is>
      </c>
    </row>
    <row r="420" ht="16.5" customHeight="1" s="84">
      <c r="A420" s="7" t="inlineStr">
        <is>
          <t>2024-05</t>
        </is>
      </c>
      <c r="B420" s="13" t="inlineStr">
        <is>
          <t>元大定存利息</t>
        </is>
      </c>
      <c r="C420" s="7" t="inlineStr">
        <is>
          <t>683000013365</t>
        </is>
      </c>
      <c r="D420" s="13" t="inlineStr">
        <is>
          <t>元大定存利息 683000013365</t>
        </is>
      </c>
      <c r="E420" s="104" t="n">
        <v>1258</v>
      </c>
      <c r="F420" s="108" t="inlineStr">
        <is>
          <t>利息收入</t>
        </is>
      </c>
    </row>
    <row r="421" ht="16.5" customHeight="1" s="84">
      <c r="A421" s="7" t="inlineStr">
        <is>
          <t>2024-05</t>
        </is>
      </c>
      <c r="B421" s="13" t="inlineStr">
        <is>
          <t>管理費收入</t>
        </is>
      </c>
      <c r="C421" s="7" t="inlineStr">
        <is>
          <t>113年度Q2</t>
        </is>
      </c>
      <c r="D421" s="13" t="inlineStr">
        <is>
          <t>管理費收入 113年度Q2</t>
        </is>
      </c>
      <c r="E421" s="104" t="n">
        <v>665208</v>
      </c>
      <c r="F421" s="108" t="inlineStr">
        <is>
          <t>管理費收入</t>
        </is>
      </c>
    </row>
    <row r="422" ht="16.5" customHeight="1" s="84">
      <c r="A422" s="7" t="inlineStr">
        <is>
          <t>2024-05</t>
        </is>
      </c>
      <c r="B422" s="13" t="inlineStr">
        <is>
          <t>管理費收入</t>
        </is>
      </c>
      <c r="C422" s="7" t="inlineStr">
        <is>
          <t>113年度Q3(H08)</t>
        </is>
      </c>
      <c r="D422" s="13" t="inlineStr">
        <is>
          <t>管理費收入 113年度Q3(H08)</t>
        </is>
      </c>
      <c r="E422" s="104" t="n">
        <v>8172</v>
      </c>
      <c r="F422" s="108" t="inlineStr">
        <is>
          <t>管理費收入</t>
        </is>
      </c>
    </row>
    <row r="423" ht="16.5" customHeight="1" s="84">
      <c r="A423" s="7" t="inlineStr">
        <is>
          <t>2024-05</t>
        </is>
      </c>
      <c r="B423" s="13" t="inlineStr">
        <is>
          <t>管委會出席費回存(4月)</t>
        </is>
      </c>
      <c r="C423" s="7" t="n"/>
      <c r="D423" s="13" t="inlineStr">
        <is>
          <t>管委會出席費回存(4月)</t>
        </is>
      </c>
      <c r="E423" s="104" t="n">
        <v>500</v>
      </c>
      <c r="F423" s="108" t="inlineStr">
        <is>
          <t>出席費回存</t>
        </is>
      </c>
    </row>
    <row r="424" ht="15" customHeight="1" s="84">
      <c r="A424" s="7" t="inlineStr">
        <is>
          <t>2024-05</t>
        </is>
      </c>
      <c r="B424" s="13" t="inlineStr">
        <is>
          <t>公設收入</t>
        </is>
      </c>
      <c r="C424" s="7" t="n"/>
      <c r="D424" s="13" t="inlineStr">
        <is>
          <t>公設收入</t>
        </is>
      </c>
      <c r="E424" s="104" t="n">
        <v>11360</v>
      </c>
      <c r="F424" s="108" t="inlineStr">
        <is>
          <t>公設收入</t>
        </is>
      </c>
    </row>
    <row r="425" ht="16.5" customHeight="1" s="84">
      <c r="A425" s="7" t="inlineStr">
        <is>
          <t>2024-05</t>
        </is>
      </c>
      <c r="B425" s="13" t="inlineStr">
        <is>
          <t>管委會出席費回存(5月)</t>
        </is>
      </c>
      <c r="C425" s="7" t="n"/>
      <c r="D425" s="13" t="inlineStr">
        <is>
          <t>管委會出席費回存(5月)</t>
        </is>
      </c>
      <c r="E425" s="104" t="n">
        <v>1000</v>
      </c>
      <c r="F425" s="108" t="inlineStr">
        <is>
          <t>出席費回存</t>
        </is>
      </c>
    </row>
    <row r="426" ht="15" customHeight="1" s="84">
      <c r="A426" s="7" t="inlineStr">
        <is>
          <t>2024-06</t>
        </is>
      </c>
      <c r="B426" s="13" t="inlineStr">
        <is>
          <t>元大活期利息</t>
        </is>
      </c>
      <c r="C426" s="7" t="n"/>
      <c r="D426" s="13" t="inlineStr">
        <is>
          <t>元大活期利息</t>
        </is>
      </c>
      <c r="E426" s="104" t="n">
        <v>4215</v>
      </c>
      <c r="F426" s="108" t="inlineStr">
        <is>
          <t>利息收入</t>
        </is>
      </c>
    </row>
    <row r="427" ht="16.5" customHeight="1" s="84">
      <c r="A427" s="7" t="inlineStr">
        <is>
          <t>2024-06</t>
        </is>
      </c>
      <c r="B427" s="13" t="inlineStr">
        <is>
          <t>元大定存利息</t>
        </is>
      </c>
      <c r="C427" s="7" t="inlineStr">
        <is>
          <t>683000016001</t>
        </is>
      </c>
      <c r="D427" s="13" t="inlineStr">
        <is>
          <t>元大定存利息 683000016001</t>
        </is>
      </c>
      <c r="E427" s="104" t="n">
        <v>2811</v>
      </c>
      <c r="F427" s="108" t="inlineStr">
        <is>
          <t>利息收入</t>
        </is>
      </c>
    </row>
    <row r="428" ht="16.5" customHeight="1" s="84">
      <c r="A428" s="7" t="inlineStr">
        <is>
          <t>2024-06</t>
        </is>
      </c>
      <c r="B428" s="13" t="inlineStr">
        <is>
          <t>元大定存利息</t>
        </is>
      </c>
      <c r="C428" s="7" t="inlineStr">
        <is>
          <t>683000006773</t>
        </is>
      </c>
      <c r="D428" s="13" t="inlineStr">
        <is>
          <t>元大定存利息 683000006773</t>
        </is>
      </c>
      <c r="E428" s="104" t="n">
        <v>1062</v>
      </c>
      <c r="F428" s="108" t="inlineStr">
        <is>
          <t>利息收入</t>
        </is>
      </c>
    </row>
    <row r="429" ht="16.5" customHeight="1" s="84">
      <c r="A429" s="7" t="inlineStr">
        <is>
          <t>2024-06</t>
        </is>
      </c>
      <c r="B429" s="13" t="inlineStr">
        <is>
          <t>元大定存利息</t>
        </is>
      </c>
      <c r="C429" s="7" t="inlineStr">
        <is>
          <t>683000006745</t>
        </is>
      </c>
      <c r="D429" s="13" t="inlineStr">
        <is>
          <t>元大定存利息 683000006745</t>
        </is>
      </c>
      <c r="E429" s="104" t="n">
        <v>1062</v>
      </c>
      <c r="F429" s="108" t="inlineStr">
        <is>
          <t>利息收入</t>
        </is>
      </c>
    </row>
    <row r="430" ht="16.5" customHeight="1" s="84">
      <c r="A430" s="7" t="inlineStr">
        <is>
          <t>2024-06</t>
        </is>
      </c>
      <c r="B430" s="13" t="inlineStr">
        <is>
          <t>元大定存利息</t>
        </is>
      </c>
      <c r="C430" s="7" t="inlineStr">
        <is>
          <t>683000013365</t>
        </is>
      </c>
      <c r="D430" s="13" t="inlineStr">
        <is>
          <t>元大定存利息 683000013365</t>
        </is>
      </c>
      <c r="E430" s="104" t="n">
        <v>1299</v>
      </c>
      <c r="F430" s="108" t="inlineStr">
        <is>
          <t>利息收入</t>
        </is>
      </c>
    </row>
    <row r="431" ht="16.5" customHeight="1" s="84">
      <c r="A431" s="7" t="inlineStr">
        <is>
          <t>2024-06</t>
        </is>
      </c>
      <c r="B431" s="13" t="inlineStr">
        <is>
          <t>管理費收入</t>
        </is>
      </c>
      <c r="C431" s="7" t="inlineStr">
        <is>
          <t>113年度Q2</t>
        </is>
      </c>
      <c r="D431" s="13" t="inlineStr">
        <is>
          <t>管理費收入 113年度Q2</t>
        </is>
      </c>
      <c r="E431" s="104" t="n">
        <v>100986</v>
      </c>
      <c r="F431" s="108" t="inlineStr">
        <is>
          <t>管理費收入</t>
        </is>
      </c>
    </row>
    <row r="432" ht="16.5" customHeight="1" s="84">
      <c r="A432" s="7" t="inlineStr">
        <is>
          <t>2024-06</t>
        </is>
      </c>
      <c r="B432" s="13" t="inlineStr">
        <is>
          <t>管委會出席費回存(4月)</t>
        </is>
      </c>
      <c r="C432" s="7" t="n"/>
      <c r="D432" s="13" t="inlineStr">
        <is>
          <t>管委會出席費回存(4月)</t>
        </is>
      </c>
      <c r="E432" s="104" t="n">
        <v>1500</v>
      </c>
      <c r="F432" s="108" t="inlineStr">
        <is>
          <t>出席費回存</t>
        </is>
      </c>
    </row>
    <row r="433" ht="15" customHeight="1" s="84">
      <c r="A433" s="7" t="inlineStr">
        <is>
          <t>2024-06</t>
        </is>
      </c>
      <c r="B433" s="13" t="inlineStr">
        <is>
          <t>公設收入</t>
        </is>
      </c>
      <c r="C433" s="7" t="n"/>
      <c r="D433" s="13" t="inlineStr">
        <is>
          <t>公設收入</t>
        </is>
      </c>
      <c r="E433" s="104" t="n">
        <v>10750</v>
      </c>
      <c r="F433" s="108" t="inlineStr">
        <is>
          <t>公設收入</t>
        </is>
      </c>
    </row>
    <row r="434" ht="15" customHeight="1" s="84">
      <c r="A434" s="7" t="inlineStr">
        <is>
          <t>2024-07</t>
        </is>
      </c>
      <c r="B434" s="13" t="inlineStr">
        <is>
          <t>元大活期利息</t>
        </is>
      </c>
      <c r="C434" s="7" t="n"/>
      <c r="D434" s="13" t="inlineStr">
        <is>
          <t>元大活期利息</t>
        </is>
      </c>
      <c r="E434" s="104" t="n">
        <v>3599</v>
      </c>
      <c r="F434" s="108" t="inlineStr">
        <is>
          <t>利息收入</t>
        </is>
      </c>
    </row>
    <row r="435" ht="16.5" customHeight="1" s="84">
      <c r="A435" s="7" t="inlineStr">
        <is>
          <t>2024-07</t>
        </is>
      </c>
      <c r="B435" s="13" t="inlineStr">
        <is>
          <t>元大定存利息</t>
        </is>
      </c>
      <c r="C435" s="7" t="inlineStr">
        <is>
          <t>683000016001</t>
        </is>
      </c>
      <c r="D435" s="13" t="inlineStr">
        <is>
          <t>元大定存利息 683000016001</t>
        </is>
      </c>
      <c r="E435" s="104" t="n">
        <v>2721</v>
      </c>
      <c r="F435" s="108" t="inlineStr">
        <is>
          <t>利息收入</t>
        </is>
      </c>
    </row>
    <row r="436" ht="16.5" customHeight="1" s="84">
      <c r="A436" s="7" t="inlineStr">
        <is>
          <t>2024-07</t>
        </is>
      </c>
      <c r="B436" s="13" t="inlineStr">
        <is>
          <t>元大定存利息</t>
        </is>
      </c>
      <c r="C436" s="7" t="inlineStr">
        <is>
          <t>683000006773</t>
        </is>
      </c>
      <c r="D436" s="13" t="inlineStr">
        <is>
          <t>元大定存利息 683000006773</t>
        </is>
      </c>
      <c r="E436" s="104" t="n">
        <v>1027</v>
      </c>
      <c r="F436" s="108" t="inlineStr">
        <is>
          <t>利息收入</t>
        </is>
      </c>
    </row>
    <row r="437" ht="16.5" customHeight="1" s="84">
      <c r="A437" s="7" t="inlineStr">
        <is>
          <t>2024-07</t>
        </is>
      </c>
      <c r="B437" s="13" t="inlineStr">
        <is>
          <t>元大定存利息</t>
        </is>
      </c>
      <c r="C437" s="7" t="inlineStr">
        <is>
          <t>683000006745</t>
        </is>
      </c>
      <c r="D437" s="13" t="inlineStr">
        <is>
          <t>元大定存利息 683000006745</t>
        </is>
      </c>
      <c r="E437" s="104" t="n">
        <v>1027</v>
      </c>
      <c r="F437" s="108" t="inlineStr">
        <is>
          <t>利息收入</t>
        </is>
      </c>
    </row>
    <row r="438" ht="16.5" customHeight="1" s="84">
      <c r="A438" s="7" t="inlineStr">
        <is>
          <t>2024-07</t>
        </is>
      </c>
      <c r="B438" s="13" t="inlineStr">
        <is>
          <t>元大定存利息</t>
        </is>
      </c>
      <c r="C438" s="7" t="inlineStr">
        <is>
          <t>683000013365</t>
        </is>
      </c>
      <c r="D438" s="13" t="inlineStr">
        <is>
          <t>元大定存利息 683000013365</t>
        </is>
      </c>
      <c r="E438" s="104" t="n">
        <v>1258</v>
      </c>
      <c r="F438" s="108" t="inlineStr">
        <is>
          <t>利息收入</t>
        </is>
      </c>
    </row>
    <row r="439" ht="16.5" customHeight="1" s="84">
      <c r="A439" s="7" t="inlineStr">
        <is>
          <t>2024-07</t>
        </is>
      </c>
      <c r="B439" s="13" t="inlineStr">
        <is>
          <t>管理費收入</t>
        </is>
      </c>
      <c r="C439" s="7" t="inlineStr">
        <is>
          <t>112年度Q4</t>
        </is>
      </c>
      <c r="D439" s="13" t="inlineStr">
        <is>
          <t>管理費收入 112年度Q4</t>
        </is>
      </c>
      <c r="E439" s="104" t="n">
        <v>7776</v>
      </c>
      <c r="F439" s="108" t="inlineStr">
        <is>
          <t>管理費收入</t>
        </is>
      </c>
    </row>
    <row r="440" ht="16.5" customHeight="1" s="84">
      <c r="A440" s="7" t="inlineStr">
        <is>
          <t>2024-07</t>
        </is>
      </c>
      <c r="B440" s="13" t="inlineStr">
        <is>
          <t>管理費收入</t>
        </is>
      </c>
      <c r="C440" s="7" t="inlineStr">
        <is>
          <t>113年度Q1</t>
        </is>
      </c>
      <c r="D440" s="13" t="inlineStr">
        <is>
          <t>管理費收入 113年度Q1</t>
        </is>
      </c>
      <c r="E440" s="104" t="n">
        <v>13065</v>
      </c>
      <c r="F440" s="108" t="inlineStr">
        <is>
          <t>管理費收入</t>
        </is>
      </c>
    </row>
    <row r="441" ht="16.5" customHeight="1" s="84">
      <c r="A441" s="7" t="inlineStr">
        <is>
          <t>2024-07</t>
        </is>
      </c>
      <c r="B441" s="13" t="inlineStr">
        <is>
          <t>管理費收入</t>
        </is>
      </c>
      <c r="C441" s="7" t="inlineStr">
        <is>
          <t>113年度Q2</t>
        </is>
      </c>
      <c r="D441" s="13" t="inlineStr">
        <is>
          <t>管理費收入 113年度Q2</t>
        </is>
      </c>
      <c r="E441" s="104" t="n">
        <v>20580</v>
      </c>
      <c r="F441" s="108" t="inlineStr">
        <is>
          <t>管理費收入</t>
        </is>
      </c>
    </row>
    <row r="442" ht="16.5" customHeight="1" s="84">
      <c r="A442" s="7" t="inlineStr">
        <is>
          <t>2024-07</t>
        </is>
      </c>
      <c r="B442" s="13" t="inlineStr">
        <is>
          <t>管理費收入</t>
        </is>
      </c>
      <c r="C442" s="7" t="inlineStr">
        <is>
          <t>113年度Q3</t>
        </is>
      </c>
      <c r="D442" s="13" t="inlineStr">
        <is>
          <t>管理費收入 113年度Q3</t>
        </is>
      </c>
      <c r="E442" s="104" t="n">
        <v>3332949</v>
      </c>
      <c r="F442" s="108" t="inlineStr">
        <is>
          <t>管理費收入</t>
        </is>
      </c>
    </row>
    <row r="443" ht="15" customHeight="1" s="84">
      <c r="A443" s="7" t="inlineStr">
        <is>
          <t>2024-07</t>
        </is>
      </c>
      <c r="B443" s="13" t="inlineStr">
        <is>
          <t>管委會出席費回存</t>
        </is>
      </c>
      <c r="C443" s="7" t="n"/>
      <c r="D443" s="13" t="inlineStr">
        <is>
          <t>管委會出席費回存</t>
        </is>
      </c>
      <c r="E443" s="104" t="n">
        <v>3000</v>
      </c>
      <c r="F443" s="108" t="inlineStr">
        <is>
          <t>出席費回存</t>
        </is>
      </c>
    </row>
    <row r="444" ht="15" customHeight="1" s="84">
      <c r="A444" s="7" t="inlineStr">
        <is>
          <t>2024-07</t>
        </is>
      </c>
      <c r="B444" s="13" t="inlineStr">
        <is>
          <t>公設收入</t>
        </is>
      </c>
      <c r="C444" s="7" t="n"/>
      <c r="D444" s="13" t="inlineStr">
        <is>
          <t>公設收入</t>
        </is>
      </c>
      <c r="E444" s="104" t="n">
        <v>8080</v>
      </c>
      <c r="F444" s="108" t="inlineStr">
        <is>
          <t>公設收入</t>
        </is>
      </c>
    </row>
    <row r="445" ht="15" customHeight="1" s="84">
      <c r="A445" s="15" t="inlineStr">
        <is>
          <t>2024-07</t>
        </is>
      </c>
      <c r="B445" s="16" t="inlineStr">
        <is>
          <t>門票收入</t>
        </is>
      </c>
      <c r="C445" s="15" t="n"/>
      <c r="D445" s="16" t="inlineStr">
        <is>
          <t>門票收入</t>
        </is>
      </c>
      <c r="E445" s="109" t="n">
        <v>21780</v>
      </c>
      <c r="F445" s="110" t="inlineStr">
        <is>
          <t>其他收入</t>
        </is>
      </c>
    </row>
    <row r="446" ht="15" customHeight="1" s="84">
      <c r="A446" s="7" t="inlineStr">
        <is>
          <t>2024-08</t>
        </is>
      </c>
      <c r="B446" s="13" t="inlineStr">
        <is>
          <t>元大活期利息</t>
        </is>
      </c>
      <c r="C446" s="7" t="n"/>
      <c r="D446" s="13" t="inlineStr">
        <is>
          <t>元大活期利息</t>
        </is>
      </c>
      <c r="E446" s="104" t="n">
        <v>4796</v>
      </c>
      <c r="F446" s="108" t="inlineStr">
        <is>
          <t>利息收入</t>
        </is>
      </c>
    </row>
    <row r="447" ht="16.5" customHeight="1" s="84">
      <c r="A447" s="7" t="inlineStr">
        <is>
          <t>2024-08</t>
        </is>
      </c>
      <c r="B447" s="13" t="inlineStr">
        <is>
          <t>元大定存利息</t>
        </is>
      </c>
      <c r="C447" s="7" t="inlineStr">
        <is>
          <t>683000016001</t>
        </is>
      </c>
      <c r="D447" s="13" t="inlineStr">
        <is>
          <t>元大定存利息 683000016001</t>
        </is>
      </c>
      <c r="E447" s="104" t="n">
        <v>2811</v>
      </c>
      <c r="F447" s="108" t="inlineStr">
        <is>
          <t>利息收入</t>
        </is>
      </c>
    </row>
    <row r="448" ht="16.5" customHeight="1" s="84">
      <c r="A448" s="7" t="inlineStr">
        <is>
          <t>2024-08</t>
        </is>
      </c>
      <c r="B448" s="13" t="inlineStr">
        <is>
          <t>元大定存利息</t>
        </is>
      </c>
      <c r="C448" s="7" t="inlineStr">
        <is>
          <t>683000006773</t>
        </is>
      </c>
      <c r="D448" s="13" t="inlineStr">
        <is>
          <t>元大定存利息 683000006773</t>
        </is>
      </c>
      <c r="E448" s="104" t="n">
        <v>1062</v>
      </c>
      <c r="F448" s="108" t="inlineStr">
        <is>
          <t>利息收入</t>
        </is>
      </c>
    </row>
    <row r="449" ht="16.5" customHeight="1" s="84">
      <c r="A449" s="7" t="inlineStr">
        <is>
          <t>2024-08</t>
        </is>
      </c>
      <c r="B449" s="13" t="inlineStr">
        <is>
          <t>元大定存利息</t>
        </is>
      </c>
      <c r="C449" s="7" t="inlineStr">
        <is>
          <t>683000006745</t>
        </is>
      </c>
      <c r="D449" s="13" t="inlineStr">
        <is>
          <t>元大定存利息 683000006745</t>
        </is>
      </c>
      <c r="E449" s="104" t="n">
        <v>1062</v>
      </c>
      <c r="F449" s="108" t="inlineStr">
        <is>
          <t>利息收入</t>
        </is>
      </c>
    </row>
    <row r="450" ht="16.5" customHeight="1" s="84">
      <c r="A450" s="7" t="inlineStr">
        <is>
          <t>2024-08</t>
        </is>
      </c>
      <c r="B450" s="13" t="inlineStr">
        <is>
          <t>元大定存利息</t>
        </is>
      </c>
      <c r="C450" s="7" t="inlineStr">
        <is>
          <t>683000013365</t>
        </is>
      </c>
      <c r="D450" s="13" t="inlineStr">
        <is>
          <t>元大定存利息 683000013365</t>
        </is>
      </c>
      <c r="E450" s="104" t="n">
        <v>1299</v>
      </c>
      <c r="F450" s="108" t="inlineStr">
        <is>
          <t>利息收入</t>
        </is>
      </c>
    </row>
    <row r="451" ht="16.5" customHeight="1" s="84">
      <c r="A451" s="7" t="inlineStr">
        <is>
          <t>2024-08</t>
        </is>
      </c>
      <c r="B451" s="13" t="inlineStr">
        <is>
          <t>管理費收入</t>
        </is>
      </c>
      <c r="C451" s="7" t="inlineStr">
        <is>
          <t>113年度Q2</t>
        </is>
      </c>
      <c r="D451" s="13" t="inlineStr">
        <is>
          <t>管理費收入 113年度Q2</t>
        </is>
      </c>
      <c r="E451" s="104" t="n">
        <v>7497</v>
      </c>
      <c r="F451" s="108" t="inlineStr">
        <is>
          <t>管理費收入</t>
        </is>
      </c>
    </row>
    <row r="452" ht="16.5" customHeight="1" s="84">
      <c r="A452" s="7" t="inlineStr">
        <is>
          <t>2024-08</t>
        </is>
      </c>
      <c r="B452" s="13" t="inlineStr">
        <is>
          <t>管理費收入</t>
        </is>
      </c>
      <c r="C452" s="7" t="inlineStr">
        <is>
          <t>113年度Q3</t>
        </is>
      </c>
      <c r="D452" s="13" t="inlineStr">
        <is>
          <t>管理費收入 113年度Q3</t>
        </is>
      </c>
      <c r="E452" s="104" t="n">
        <v>435246</v>
      </c>
      <c r="F452" s="108" t="inlineStr">
        <is>
          <t>管理費收入</t>
        </is>
      </c>
    </row>
    <row r="453" ht="15" customHeight="1" s="84">
      <c r="A453" s="7" t="inlineStr">
        <is>
          <t>2024-08</t>
        </is>
      </c>
      <c r="B453" s="13" t="inlineStr">
        <is>
          <t>管委會出席費回存</t>
        </is>
      </c>
      <c r="C453" s="7" t="n"/>
      <c r="D453" s="13" t="inlineStr">
        <is>
          <t>管委會出席費回存</t>
        </is>
      </c>
      <c r="E453" s="104" t="n">
        <v>2500</v>
      </c>
      <c r="F453" s="108" t="inlineStr">
        <is>
          <t>出席費回存</t>
        </is>
      </c>
    </row>
    <row r="454" ht="15" customHeight="1" s="84">
      <c r="A454" s="7" t="inlineStr">
        <is>
          <t>2024-08</t>
        </is>
      </c>
      <c r="B454" s="13" t="inlineStr">
        <is>
          <t>公設收入</t>
        </is>
      </c>
      <c r="C454" s="7" t="n"/>
      <c r="D454" s="13" t="inlineStr">
        <is>
          <t>公設收入</t>
        </is>
      </c>
      <c r="E454" s="104" t="n">
        <v>10340</v>
      </c>
      <c r="F454" s="108" t="inlineStr">
        <is>
          <t>公設收入</t>
        </is>
      </c>
    </row>
    <row r="455" ht="15" customHeight="1" s="84">
      <c r="A455" s="15" t="inlineStr">
        <is>
          <t>2024-08</t>
        </is>
      </c>
      <c r="B455" s="16" t="inlineStr">
        <is>
          <t>門票收入</t>
        </is>
      </c>
      <c r="C455" s="15" t="n"/>
      <c r="D455" s="16" t="inlineStr">
        <is>
          <t>門票收入</t>
        </is>
      </c>
      <c r="E455" s="109" t="n">
        <v>26430</v>
      </c>
      <c r="F455" s="110" t="inlineStr">
        <is>
          <t>其他收入</t>
        </is>
      </c>
    </row>
    <row r="456" ht="15" customHeight="1" s="84">
      <c r="A456" s="7" t="inlineStr">
        <is>
          <t>2024-09</t>
        </is>
      </c>
      <c r="B456" s="13" t="inlineStr">
        <is>
          <t>元大活期利息</t>
        </is>
      </c>
      <c r="C456" s="7" t="n"/>
      <c r="D456" s="13" t="inlineStr">
        <is>
          <t>元大活期利息</t>
        </is>
      </c>
      <c r="E456" s="104" t="n">
        <v>4056</v>
      </c>
      <c r="F456" s="108" t="inlineStr">
        <is>
          <t>利息收入</t>
        </is>
      </c>
    </row>
    <row r="457" ht="16.5" customHeight="1" s="84">
      <c r="A457" s="7" t="inlineStr">
        <is>
          <t>2024-09</t>
        </is>
      </c>
      <c r="B457" s="13" t="inlineStr">
        <is>
          <t>元大定存利息</t>
        </is>
      </c>
      <c r="C457" s="7" t="inlineStr">
        <is>
          <t>683000016001</t>
        </is>
      </c>
      <c r="D457" s="13" t="inlineStr">
        <is>
          <t>元大定存利息 683000016001</t>
        </is>
      </c>
      <c r="E457" s="104" t="n">
        <v>2811</v>
      </c>
      <c r="F457" s="108" t="inlineStr">
        <is>
          <t>利息收入</t>
        </is>
      </c>
    </row>
    <row r="458" ht="16.5" customHeight="1" s="84">
      <c r="A458" s="7" t="inlineStr">
        <is>
          <t>2024-09</t>
        </is>
      </c>
      <c r="B458" s="13" t="inlineStr">
        <is>
          <t>元大定存利息</t>
        </is>
      </c>
      <c r="C458" s="7" t="inlineStr">
        <is>
          <t>683000006773</t>
        </is>
      </c>
      <c r="D458" s="13" t="inlineStr">
        <is>
          <t>元大定存利息 683000006773</t>
        </is>
      </c>
      <c r="E458" s="104" t="n">
        <v>1062</v>
      </c>
      <c r="F458" s="108" t="inlineStr">
        <is>
          <t>利息收入</t>
        </is>
      </c>
    </row>
    <row r="459" ht="16.5" customHeight="1" s="84">
      <c r="A459" s="7" t="inlineStr">
        <is>
          <t>2024-09</t>
        </is>
      </c>
      <c r="B459" s="13" t="inlineStr">
        <is>
          <t>元大定存利息</t>
        </is>
      </c>
      <c r="C459" s="7" t="inlineStr">
        <is>
          <t>683000006745</t>
        </is>
      </c>
      <c r="D459" s="13" t="inlineStr">
        <is>
          <t>元大定存利息 683000006745</t>
        </is>
      </c>
      <c r="E459" s="104" t="n">
        <v>1062</v>
      </c>
      <c r="F459" s="108" t="inlineStr">
        <is>
          <t>利息收入</t>
        </is>
      </c>
    </row>
    <row r="460" ht="16.5" customHeight="1" s="84">
      <c r="A460" s="7" t="inlineStr">
        <is>
          <t>2024-09</t>
        </is>
      </c>
      <c r="B460" s="13" t="inlineStr">
        <is>
          <t>元大定存利息</t>
        </is>
      </c>
      <c r="C460" s="7" t="inlineStr">
        <is>
          <t>683000013365</t>
        </is>
      </c>
      <c r="D460" s="13" t="inlineStr">
        <is>
          <t>元大定存利息 683000013365</t>
        </is>
      </c>
      <c r="E460" s="104" t="n">
        <v>1299</v>
      </c>
      <c r="F460" s="108" t="inlineStr">
        <is>
          <t>利息收入</t>
        </is>
      </c>
    </row>
    <row r="461" ht="16.5" customHeight="1" s="84">
      <c r="A461" s="7" t="inlineStr">
        <is>
          <t>2024-09</t>
        </is>
      </c>
      <c r="B461" s="13" t="inlineStr">
        <is>
          <t>管理費收入</t>
        </is>
      </c>
      <c r="C461" s="7" t="inlineStr">
        <is>
          <t>113年度Q3</t>
        </is>
      </c>
      <c r="D461" s="13" t="inlineStr">
        <is>
          <t>管理費收入 113年度Q3</t>
        </is>
      </c>
      <c r="E461" s="104" t="n">
        <v>53937</v>
      </c>
      <c r="F461" s="108" t="inlineStr">
        <is>
          <t>管理費收入</t>
        </is>
      </c>
    </row>
    <row r="462" ht="15" customHeight="1" s="84">
      <c r="A462" s="7" t="inlineStr">
        <is>
          <t>2024-09</t>
        </is>
      </c>
      <c r="B462" s="13" t="inlineStr">
        <is>
          <t>管委會出席費回存</t>
        </is>
      </c>
      <c r="C462" s="7" t="n"/>
      <c r="D462" s="13" t="inlineStr">
        <is>
          <t>管委會出席費回存</t>
        </is>
      </c>
      <c r="E462" s="104" t="n">
        <v>3500</v>
      </c>
      <c r="F462" s="108" t="inlineStr">
        <is>
          <t>出席費回存</t>
        </is>
      </c>
    </row>
    <row r="463" ht="15" customHeight="1" s="84">
      <c r="A463" s="7" t="inlineStr">
        <is>
          <t>2024-09</t>
        </is>
      </c>
      <c r="B463" s="13" t="inlineStr">
        <is>
          <t>公設收入</t>
        </is>
      </c>
      <c r="C463" s="7" t="n"/>
      <c r="D463" s="13" t="inlineStr">
        <is>
          <t>公設收入</t>
        </is>
      </c>
      <c r="E463" s="104" t="n">
        <v>12450</v>
      </c>
      <c r="F463" s="108" t="inlineStr">
        <is>
          <t>公設收入</t>
        </is>
      </c>
    </row>
    <row r="464" ht="15" customHeight="1" s="84">
      <c r="A464" s="15" t="inlineStr">
        <is>
          <t>2024-09</t>
        </is>
      </c>
      <c r="B464" s="16" t="inlineStr">
        <is>
          <t>門票收入</t>
        </is>
      </c>
      <c r="C464" s="15" t="n"/>
      <c r="D464" s="16" t="inlineStr">
        <is>
          <t>門票收入</t>
        </is>
      </c>
      <c r="E464" s="109" t="n">
        <v>4020</v>
      </c>
      <c r="F464" s="110" t="inlineStr">
        <is>
          <t>其他收入</t>
        </is>
      </c>
    </row>
    <row r="465" ht="15" customHeight="1" s="84">
      <c r="A465" t="inlineStr">
        <is>
          <t>2024-10</t>
        </is>
      </c>
      <c r="B465" t="inlineStr">
        <is>
          <t>元大活期利息</t>
        </is>
      </c>
      <c r="D465" t="inlineStr">
        <is>
          <t>元大活期利息</t>
        </is>
      </c>
      <c r="E465" t="n">
        <v>3658</v>
      </c>
      <c r="F465" t="inlineStr">
        <is>
          <t>利息收入</t>
        </is>
      </c>
    </row>
    <row r="466" ht="16.5" customHeight="1" s="84">
      <c r="A466" t="inlineStr">
        <is>
          <t>2024-10</t>
        </is>
      </c>
      <c r="B466" t="inlineStr">
        <is>
          <t>元大定存利息</t>
        </is>
      </c>
      <c r="C466" t="inlineStr">
        <is>
          <t>683000016001</t>
        </is>
      </c>
      <c r="D466" t="inlineStr">
        <is>
          <t>元大定存利息 683000016001</t>
        </is>
      </c>
      <c r="E466" t="n">
        <v>2721</v>
      </c>
      <c r="F466" t="inlineStr">
        <is>
          <t>利息收入</t>
        </is>
      </c>
    </row>
    <row r="467" ht="16.5" customHeight="1" s="84">
      <c r="A467" t="inlineStr">
        <is>
          <t>2024-10</t>
        </is>
      </c>
      <c r="B467" t="inlineStr">
        <is>
          <t>元大定存利息</t>
        </is>
      </c>
      <c r="C467" t="inlineStr">
        <is>
          <t>683000006773</t>
        </is>
      </c>
      <c r="D467" t="inlineStr">
        <is>
          <t>元大定存利息 683000006773</t>
        </is>
      </c>
      <c r="E467" t="n">
        <v>1138</v>
      </c>
      <c r="F467" t="inlineStr">
        <is>
          <t>利息收入</t>
        </is>
      </c>
    </row>
    <row r="468" ht="16.5" customHeight="1" s="84">
      <c r="A468" t="inlineStr">
        <is>
          <t>2024-10</t>
        </is>
      </c>
      <c r="B468" t="inlineStr">
        <is>
          <t>元大定存利息</t>
        </is>
      </c>
      <c r="C468" t="inlineStr">
        <is>
          <t>683000006745</t>
        </is>
      </c>
      <c r="D468" t="inlineStr">
        <is>
          <t>元大定存利息 683000006745</t>
        </is>
      </c>
      <c r="E468" t="n">
        <v>1138</v>
      </c>
      <c r="F468" t="inlineStr">
        <is>
          <t>利息收入</t>
        </is>
      </c>
    </row>
    <row r="469" ht="16.5" customHeight="1" s="84">
      <c r="A469" t="inlineStr">
        <is>
          <t>2024-10</t>
        </is>
      </c>
      <c r="B469" t="inlineStr">
        <is>
          <t>元大定存利息</t>
        </is>
      </c>
      <c r="C469" t="inlineStr">
        <is>
          <t>683000013365</t>
        </is>
      </c>
      <c r="D469" t="inlineStr">
        <is>
          <t>元大定存利息 683000013365</t>
        </is>
      </c>
      <c r="E469" t="n">
        <v>1360</v>
      </c>
      <c r="F469" t="inlineStr">
        <is>
          <t>利息收入</t>
        </is>
      </c>
    </row>
    <row r="470" ht="16.5" customHeight="1" s="84">
      <c r="A470" t="inlineStr">
        <is>
          <t>2024-10</t>
        </is>
      </c>
      <c r="B470" t="inlineStr">
        <is>
          <t>管理費收入</t>
        </is>
      </c>
      <c r="C470" t="inlineStr">
        <is>
          <t>113年度Q4+Q3+Q2</t>
        </is>
      </c>
      <c r="D470" t="inlineStr">
        <is>
          <t>管理費收入 113年度Q4+Q3+Q2</t>
        </is>
      </c>
      <c r="E470" t="n">
        <v>3386133</v>
      </c>
      <c r="F470" t="inlineStr">
        <is>
          <t>管理費收入</t>
        </is>
      </c>
    </row>
    <row r="471" ht="16.5" customHeight="1" s="84">
      <c r="A471" t="inlineStr">
        <is>
          <t>2024-10</t>
        </is>
      </c>
      <c r="B471" t="inlineStr">
        <is>
          <t>管委會出席費回存</t>
        </is>
      </c>
      <c r="D471" t="inlineStr">
        <is>
          <t>管委會出席費回存</t>
        </is>
      </c>
      <c r="E471" t="n">
        <v>0</v>
      </c>
      <c r="F471" t="inlineStr">
        <is>
          <t>出席費回存</t>
        </is>
      </c>
    </row>
    <row r="472" ht="16.5" customHeight="1" s="84">
      <c r="A472" t="inlineStr">
        <is>
          <t>2024-10</t>
        </is>
      </c>
      <c r="B472" t="inlineStr">
        <is>
          <t>公設收入</t>
        </is>
      </c>
      <c r="D472" t="inlineStr">
        <is>
          <t>公設收入</t>
        </is>
      </c>
      <c r="E472" t="n">
        <v>0</v>
      </c>
      <c r="F472" t="inlineStr">
        <is>
          <t>公設收入</t>
        </is>
      </c>
    </row>
    <row r="473" ht="16.5" customHeight="1" s="84">
      <c r="A473" t="inlineStr">
        <is>
          <t>2024-10</t>
        </is>
      </c>
      <c r="B473" t="inlineStr">
        <is>
          <t>門票收入</t>
        </is>
      </c>
      <c r="D473" t="inlineStr">
        <is>
          <t>門票收入</t>
        </is>
      </c>
      <c r="E473" t="n">
        <v>0</v>
      </c>
      <c r="F473" t="inlineStr">
        <is>
          <t>其他收入</t>
        </is>
      </c>
    </row>
    <row r="474" ht="16.5" customHeight="1" s="84">
      <c r="A474" t="inlineStr">
        <is>
          <t>2024-10</t>
        </is>
      </c>
      <c r="B474" t="inlineStr">
        <is>
          <t>宜力亞救生員</t>
        </is>
      </c>
      <c r="D474" t="inlineStr">
        <is>
          <t>宜力亞救生員</t>
        </is>
      </c>
      <c r="E474" t="n">
        <v>320</v>
      </c>
      <c r="F474" t="inlineStr">
        <is>
          <t>其他收入</t>
        </is>
      </c>
    </row>
    <row r="475" ht="15" customHeight="1" s="84">
      <c r="A475" s="7" t="inlineStr">
        <is>
          <t>2024-11</t>
        </is>
      </c>
      <c r="B475" s="13" t="inlineStr">
        <is>
          <t>元大活期利息</t>
        </is>
      </c>
      <c r="C475" s="7" t="n"/>
      <c r="D475" s="13" t="inlineStr">
        <is>
          <t>元大活期利息</t>
        </is>
      </c>
      <c r="E475" s="104" t="n">
        <v>4648</v>
      </c>
      <c r="F475" s="108" t="inlineStr">
        <is>
          <t>利息收入</t>
        </is>
      </c>
    </row>
    <row r="476" ht="16.5" customHeight="1" s="84">
      <c r="A476" s="7" t="inlineStr">
        <is>
          <t>2024-11</t>
        </is>
      </c>
      <c r="B476" s="13" t="inlineStr">
        <is>
          <t>元大定存利息</t>
        </is>
      </c>
      <c r="C476" s="7" t="inlineStr">
        <is>
          <t>683000013365</t>
        </is>
      </c>
      <c r="D476" s="13" t="inlineStr">
        <is>
          <t>元大定存利息 683000013365</t>
        </is>
      </c>
      <c r="E476" s="104" t="n">
        <v>1406</v>
      </c>
      <c r="F476" s="108" t="inlineStr">
        <is>
          <t>利息收入</t>
        </is>
      </c>
    </row>
    <row r="477" ht="16.5" customHeight="1" s="84">
      <c r="A477" s="7" t="inlineStr">
        <is>
          <t>2024-11</t>
        </is>
      </c>
      <c r="B477" s="13" t="inlineStr">
        <is>
          <t>元大定存利息</t>
        </is>
      </c>
      <c r="C477" s="7" t="inlineStr">
        <is>
          <t>683000006773</t>
        </is>
      </c>
      <c r="D477" s="13" t="inlineStr">
        <is>
          <t>元大定存利息 683000006773</t>
        </is>
      </c>
      <c r="E477" s="104" t="n">
        <v>1176</v>
      </c>
      <c r="F477" s="108" t="inlineStr">
        <is>
          <t>利息收入</t>
        </is>
      </c>
    </row>
    <row r="478" ht="16.5" customHeight="1" s="84">
      <c r="A478" s="7" t="inlineStr">
        <is>
          <t>2024-11</t>
        </is>
      </c>
      <c r="B478" s="13" t="inlineStr">
        <is>
          <t>元大定存利息</t>
        </is>
      </c>
      <c r="C478" s="7" t="inlineStr">
        <is>
          <t>683000006745</t>
        </is>
      </c>
      <c r="D478" s="13" t="inlineStr">
        <is>
          <t>元大定存利息 683000006745</t>
        </is>
      </c>
      <c r="E478" s="104" t="n">
        <v>1176</v>
      </c>
      <c r="F478" s="108" t="inlineStr">
        <is>
          <t>利息收入</t>
        </is>
      </c>
    </row>
    <row r="479" ht="16.5" customHeight="1" s="84">
      <c r="A479" s="7" t="inlineStr">
        <is>
          <t>2024-11</t>
        </is>
      </c>
      <c r="B479" s="13" t="inlineStr">
        <is>
          <t>元大定存利息</t>
        </is>
      </c>
      <c r="C479" s="7" t="inlineStr">
        <is>
          <t>683000016001</t>
        </is>
      </c>
      <c r="D479" s="13" t="inlineStr">
        <is>
          <t>元大定存利息 683000016001</t>
        </is>
      </c>
      <c r="E479" s="104" t="n">
        <v>2811</v>
      </c>
      <c r="F479" s="108" t="inlineStr">
        <is>
          <t>利息收入</t>
        </is>
      </c>
    </row>
    <row r="480" ht="16.5" customHeight="1" s="84">
      <c r="A480" s="7" t="inlineStr">
        <is>
          <t>2024-11</t>
        </is>
      </c>
      <c r="B480" s="13" t="inlineStr">
        <is>
          <t>管理費收入</t>
        </is>
      </c>
      <c r="C480" s="7" t="inlineStr">
        <is>
          <t>113年度Q4(11月)</t>
        </is>
      </c>
      <c r="D480" s="13" t="inlineStr">
        <is>
          <t>管理費收入 113年度Q4(11月)</t>
        </is>
      </c>
      <c r="E480" s="104" t="n">
        <v>305373</v>
      </c>
      <c r="F480" s="108" t="inlineStr">
        <is>
          <t>管理費收入</t>
        </is>
      </c>
    </row>
    <row r="481" ht="16.5" customHeight="1" s="84">
      <c r="A481" s="7" t="inlineStr">
        <is>
          <t>2024-11</t>
        </is>
      </c>
      <c r="B481" s="13" t="inlineStr">
        <is>
          <t>管委會10月出席費回存</t>
        </is>
      </c>
      <c r="C481" s="7" t="n"/>
      <c r="D481" s="13" t="inlineStr">
        <is>
          <t>管委會10月出席費回存</t>
        </is>
      </c>
      <c r="E481" s="104" t="n">
        <v>2500</v>
      </c>
      <c r="F481" s="108" t="inlineStr">
        <is>
          <t>出席費回存</t>
        </is>
      </c>
    </row>
    <row r="482" ht="16.5" customHeight="1" s="84">
      <c r="A482" s="7" t="inlineStr">
        <is>
          <t>2024-11</t>
        </is>
      </c>
      <c r="B482" s="13" t="inlineStr">
        <is>
          <t>管委會11月出席費回存</t>
        </is>
      </c>
      <c r="C482" s="7" t="n"/>
      <c r="D482" s="13" t="inlineStr">
        <is>
          <t>管委會11月出席費回存</t>
        </is>
      </c>
      <c r="E482" s="104" t="n">
        <v>2500</v>
      </c>
      <c r="F482" s="108" t="inlineStr">
        <is>
          <t>出席費回存</t>
        </is>
      </c>
    </row>
    <row r="483" ht="15" customHeight="1" s="84">
      <c r="A483" s="7" t="inlineStr">
        <is>
          <t>2024-11</t>
        </is>
      </c>
      <c r="B483" s="7" t="inlineStr">
        <is>
          <t>10月公設收入</t>
        </is>
      </c>
      <c r="C483" s="7" t="n"/>
      <c r="D483" s="7" t="inlineStr">
        <is>
          <t>10月公設收入</t>
        </is>
      </c>
      <c r="E483" s="104" t="n">
        <v>8900</v>
      </c>
      <c r="F483" s="108" t="inlineStr">
        <is>
          <t>公設收入</t>
        </is>
      </c>
    </row>
    <row r="484" ht="15" customHeight="1" s="84">
      <c r="A484" s="7" t="inlineStr">
        <is>
          <t>2024-11</t>
        </is>
      </c>
      <c r="B484" s="7" t="inlineStr">
        <is>
          <t>11月公設收入</t>
        </is>
      </c>
      <c r="C484" s="7" t="n"/>
      <c r="D484" s="7" t="inlineStr">
        <is>
          <t>11月公設收入</t>
        </is>
      </c>
      <c r="E484" s="104" t="n">
        <v>10560</v>
      </c>
      <c r="F484" s="108" t="inlineStr">
        <is>
          <t>公設收入</t>
        </is>
      </c>
    </row>
    <row r="485" ht="16.5" customHeight="1" s="84">
      <c r="A485" s="7" t="inlineStr">
        <is>
          <t>2024-12</t>
        </is>
      </c>
      <c r="B485" s="13" t="inlineStr">
        <is>
          <t>元大活期利息</t>
        </is>
      </c>
      <c r="C485" s="7" t="n"/>
      <c r="D485" s="13" t="inlineStr">
        <is>
          <t>元大活期利息</t>
        </is>
      </c>
      <c r="E485" s="104" t="n">
        <v>4283</v>
      </c>
      <c r="F485" s="108" t="inlineStr">
        <is>
          <t>利息收入</t>
        </is>
      </c>
    </row>
    <row r="486" ht="16.5" customHeight="1" s="84">
      <c r="A486" s="7" t="inlineStr">
        <is>
          <t>2024-12</t>
        </is>
      </c>
      <c r="B486" s="13" t="inlineStr">
        <is>
          <t>元大定存利息</t>
        </is>
      </c>
      <c r="C486" s="7" t="inlineStr">
        <is>
          <t>683000016001</t>
        </is>
      </c>
      <c r="D486" s="13" t="inlineStr">
        <is>
          <t>元大定存利息 683000016001</t>
        </is>
      </c>
      <c r="E486" s="104" t="n">
        <v>2721</v>
      </c>
      <c r="F486" s="108" t="inlineStr">
        <is>
          <t>利息收入</t>
        </is>
      </c>
    </row>
    <row r="487" ht="16.5" customHeight="1" s="84">
      <c r="A487" s="7" t="inlineStr">
        <is>
          <t>2024-12</t>
        </is>
      </c>
      <c r="B487" s="13" t="inlineStr">
        <is>
          <t>元大定存利息</t>
        </is>
      </c>
      <c r="C487" s="7" t="inlineStr">
        <is>
          <t>683000006773</t>
        </is>
      </c>
      <c r="D487" s="13" t="inlineStr">
        <is>
          <t>元大定存利息 683000006773</t>
        </is>
      </c>
      <c r="E487" s="104" t="n">
        <v>1138</v>
      </c>
      <c r="F487" s="108" t="inlineStr">
        <is>
          <t>利息收入</t>
        </is>
      </c>
    </row>
    <row r="488" ht="16.5" customHeight="1" s="84">
      <c r="A488" s="7" t="inlineStr">
        <is>
          <t>2024-12</t>
        </is>
      </c>
      <c r="B488" s="13" t="inlineStr">
        <is>
          <t>元大定存利息</t>
        </is>
      </c>
      <c r="C488" s="7" t="inlineStr">
        <is>
          <t>683000006745</t>
        </is>
      </c>
      <c r="D488" s="13" t="inlineStr">
        <is>
          <t>元大定存利息 683000006745</t>
        </is>
      </c>
      <c r="E488" s="104" t="n">
        <v>1138</v>
      </c>
      <c r="F488" s="108" t="inlineStr">
        <is>
          <t>利息收入</t>
        </is>
      </c>
    </row>
    <row r="489" ht="16.5" customHeight="1" s="84">
      <c r="A489" s="7" t="inlineStr">
        <is>
          <t>2024-12</t>
        </is>
      </c>
      <c r="B489" s="13" t="inlineStr">
        <is>
          <t>元大定存利息</t>
        </is>
      </c>
      <c r="C489" s="7" t="inlineStr">
        <is>
          <t>683000013365</t>
        </is>
      </c>
      <c r="D489" s="13" t="inlineStr">
        <is>
          <t>元大定存利息 683000013365</t>
        </is>
      </c>
      <c r="E489" s="104" t="n">
        <v>1360</v>
      </c>
      <c r="F489" s="108" t="inlineStr">
        <is>
          <t>利息收入</t>
        </is>
      </c>
    </row>
    <row r="490" ht="16.5" customHeight="1" s="84">
      <c r="A490" s="7" t="inlineStr">
        <is>
          <t>2024-12</t>
        </is>
      </c>
      <c r="B490" s="13" t="inlineStr">
        <is>
          <t>管理費收入</t>
        </is>
      </c>
      <c r="C490" s="7" t="inlineStr">
        <is>
          <t>113年度Q4(12月)</t>
        </is>
      </c>
      <c r="D490" s="13" t="inlineStr">
        <is>
          <t>管理費收入 113年度Q4(12月)</t>
        </is>
      </c>
      <c r="E490" s="104" t="n">
        <v>111621</v>
      </c>
      <c r="F490" s="108" t="inlineStr">
        <is>
          <t>管理費收入</t>
        </is>
      </c>
    </row>
    <row r="491" ht="16.5" customHeight="1" s="84">
      <c r="A491" s="7" t="inlineStr">
        <is>
          <t>2024-12</t>
        </is>
      </c>
      <c r="B491" s="13" t="inlineStr">
        <is>
          <t>管委會12月出席費回存</t>
        </is>
      </c>
      <c r="C491" s="7" t="n"/>
      <c r="D491" s="13" t="inlineStr">
        <is>
          <t>管委會12月出席費回存</t>
        </is>
      </c>
      <c r="E491" s="104" t="n">
        <v>3500</v>
      </c>
      <c r="F491" s="108" t="inlineStr">
        <is>
          <t>出席費回存</t>
        </is>
      </c>
    </row>
    <row r="492" ht="15" customHeight="1" s="84">
      <c r="A492" s="7" t="inlineStr">
        <is>
          <t>2024-12</t>
        </is>
      </c>
      <c r="B492" s="7" t="inlineStr">
        <is>
          <t>12月公設收入</t>
        </is>
      </c>
      <c r="C492" s="7" t="n"/>
      <c r="D492" s="7" t="inlineStr">
        <is>
          <t>12月公設收入</t>
        </is>
      </c>
      <c r="E492" s="104" t="n">
        <v>11380</v>
      </c>
      <c r="F492" s="108" t="inlineStr">
        <is>
          <t>公設收入</t>
        </is>
      </c>
    </row>
    <row r="493" ht="15" customHeight="1" s="84">
      <c r="A493" s="15" t="inlineStr">
        <is>
          <t>2024-12</t>
        </is>
      </c>
      <c r="B493" s="16" t="inlineStr">
        <is>
          <t>門票收入</t>
        </is>
      </c>
      <c r="C493" s="15" t="n"/>
      <c r="D493" s="16" t="inlineStr">
        <is>
          <t>門票收入</t>
        </is>
      </c>
      <c r="E493" s="109" t="n">
        <v>0</v>
      </c>
      <c r="F493" s="110" t="inlineStr">
        <is>
          <t>其他收入</t>
        </is>
      </c>
    </row>
    <row r="494" ht="16.5" customHeight="1" s="84">
      <c r="A494" s="7" t="inlineStr">
        <is>
          <t>2025-01</t>
        </is>
      </c>
      <c r="B494" s="13" t="inlineStr">
        <is>
          <t>元大活期利息</t>
        </is>
      </c>
      <c r="C494" s="7" t="n"/>
      <c r="D494" s="13" t="inlineStr">
        <is>
          <t>元大活期利息</t>
        </is>
      </c>
      <c r="E494" s="104" t="n">
        <v>3584</v>
      </c>
      <c r="F494" s="108" t="inlineStr">
        <is>
          <t>利息收入</t>
        </is>
      </c>
    </row>
    <row r="495" ht="16.5" customHeight="1" s="84">
      <c r="A495" s="7" t="inlineStr">
        <is>
          <t>2025-01</t>
        </is>
      </c>
      <c r="B495" s="13" t="inlineStr">
        <is>
          <t>元大定存利息</t>
        </is>
      </c>
      <c r="C495" s="7" t="inlineStr">
        <is>
          <t>683000016001</t>
        </is>
      </c>
      <c r="D495" s="13" t="inlineStr">
        <is>
          <t>元大定存利息 683000016001</t>
        </is>
      </c>
      <c r="E495" s="104" t="n">
        <v>0</v>
      </c>
      <c r="F495" s="108" t="inlineStr">
        <is>
          <t>利息收入</t>
        </is>
      </c>
    </row>
    <row r="496" ht="16.5" customHeight="1" s="84">
      <c r="A496" s="7" t="inlineStr">
        <is>
          <t>2025-01</t>
        </is>
      </c>
      <c r="B496" s="13" t="inlineStr">
        <is>
          <t>元大定存利息</t>
        </is>
      </c>
      <c r="C496" s="7" t="inlineStr">
        <is>
          <t>683000006773</t>
        </is>
      </c>
      <c r="D496" s="13" t="inlineStr">
        <is>
          <t>元大定存利息 683000006773</t>
        </is>
      </c>
      <c r="E496" s="104" t="n">
        <v>1176</v>
      </c>
      <c r="F496" s="108" t="inlineStr">
        <is>
          <t>利息收入</t>
        </is>
      </c>
    </row>
    <row r="497" ht="16.5" customHeight="1" s="84">
      <c r="A497" s="7" t="inlineStr">
        <is>
          <t>2025-01</t>
        </is>
      </c>
      <c r="B497" s="13" t="inlineStr">
        <is>
          <t>元大定存利息</t>
        </is>
      </c>
      <c r="C497" s="7" t="inlineStr">
        <is>
          <t>683000006745</t>
        </is>
      </c>
      <c r="D497" s="13" t="inlineStr">
        <is>
          <t>元大定存利息 683000006745</t>
        </is>
      </c>
      <c r="E497" s="104" t="n">
        <v>1176</v>
      </c>
      <c r="F497" s="108" t="inlineStr">
        <is>
          <t>利息收入</t>
        </is>
      </c>
    </row>
    <row r="498" ht="16.5" customHeight="1" s="84">
      <c r="A498" s="7" t="inlineStr">
        <is>
          <t>2025-01</t>
        </is>
      </c>
      <c r="B498" s="13" t="inlineStr">
        <is>
          <t>元大定存利息</t>
        </is>
      </c>
      <c r="C498" s="7" t="inlineStr">
        <is>
          <t>683000013365</t>
        </is>
      </c>
      <c r="D498" s="13" t="inlineStr">
        <is>
          <t>元大定存利息 683000013365</t>
        </is>
      </c>
      <c r="E498" s="104" t="n">
        <v>1406</v>
      </c>
      <c r="F498" s="108" t="inlineStr">
        <is>
          <t>利息收入</t>
        </is>
      </c>
    </row>
    <row r="499" ht="16.5" customHeight="1" s="84">
      <c r="A499" s="7" t="inlineStr">
        <is>
          <t>2025-01</t>
        </is>
      </c>
      <c r="B499" s="13" t="inlineStr">
        <is>
          <t>管理費收入</t>
        </is>
      </c>
      <c r="C499" s="7" t="inlineStr">
        <is>
          <t>114年度Q1(1月)</t>
        </is>
      </c>
      <c r="D499" s="13" t="inlineStr">
        <is>
          <t>管理費收入 114年度Q1(1月)</t>
        </is>
      </c>
      <c r="E499" s="104" t="n">
        <v>1824402</v>
      </c>
      <c r="F499" s="108" t="inlineStr">
        <is>
          <t>管理費收入</t>
        </is>
      </c>
    </row>
    <row r="500" ht="16.5" customHeight="1" s="84">
      <c r="A500" s="7" t="inlineStr">
        <is>
          <t>2025-01</t>
        </is>
      </c>
      <c r="B500" s="13" t="inlineStr">
        <is>
          <t>管委會1月出席費回存</t>
        </is>
      </c>
      <c r="C500" s="7" t="n"/>
      <c r="D500" s="13" t="inlineStr">
        <is>
          <t>管委會1月出席費回存</t>
        </is>
      </c>
      <c r="E500" s="104" t="n">
        <v>3500</v>
      </c>
      <c r="F500" s="108" t="inlineStr">
        <is>
          <t>出席費回存</t>
        </is>
      </c>
    </row>
    <row r="501" ht="16.5" customHeight="1" s="84">
      <c r="A501" s="7" t="inlineStr">
        <is>
          <t>2025-01</t>
        </is>
      </c>
      <c r="B501" s="7" t="inlineStr">
        <is>
          <t>1月公設收入</t>
        </is>
      </c>
      <c r="C501" s="7" t="n"/>
      <c r="D501" s="7" t="inlineStr">
        <is>
          <t>1月公設收入</t>
        </is>
      </c>
      <c r="E501" s="104" t="n">
        <v>7980</v>
      </c>
      <c r="F501" s="108" t="inlineStr">
        <is>
          <t>公設收入</t>
        </is>
      </c>
    </row>
    <row r="502" ht="15" customHeight="1" s="84">
      <c r="A502" s="15" t="inlineStr">
        <is>
          <t>2025-01</t>
        </is>
      </c>
      <c r="B502" s="16" t="inlineStr">
        <is>
          <t>門票收入</t>
        </is>
      </c>
      <c r="C502" s="15" t="n"/>
      <c r="D502" s="16" t="inlineStr">
        <is>
          <t>門票收入</t>
        </is>
      </c>
      <c r="E502" s="109" t="n">
        <v>0</v>
      </c>
      <c r="F502" s="110" t="inlineStr">
        <is>
          <t>其他收入</t>
        </is>
      </c>
    </row>
    <row r="503" ht="15" customHeight="1" s="84">
      <c r="A503" s="7" t="inlineStr">
        <is>
          <t>2025-02</t>
        </is>
      </c>
      <c r="B503" s="13" t="inlineStr">
        <is>
          <t>元大活期利息</t>
        </is>
      </c>
      <c r="C503" s="7" t="n"/>
      <c r="D503" s="13" t="inlineStr">
        <is>
          <t>元大活期利息</t>
        </is>
      </c>
      <c r="E503" s="104" t="n">
        <v>3887</v>
      </c>
      <c r="F503" s="108" t="inlineStr">
        <is>
          <t>利息收入</t>
        </is>
      </c>
    </row>
    <row r="504" ht="16.5" customHeight="1" s="84">
      <c r="A504" s="7" t="inlineStr">
        <is>
          <t>2025-02</t>
        </is>
      </c>
      <c r="B504" s="13" t="inlineStr">
        <is>
          <t>元大定存利息</t>
        </is>
      </c>
      <c r="C504" s="7" t="inlineStr">
        <is>
          <t>683000016001</t>
        </is>
      </c>
      <c r="D504" s="13" t="inlineStr">
        <is>
          <t>元大定存利息 683000016001</t>
        </is>
      </c>
      <c r="E504" s="104" t="n">
        <v>2811</v>
      </c>
      <c r="F504" s="108" t="inlineStr">
        <is>
          <t>利息收入</t>
        </is>
      </c>
    </row>
    <row r="505" ht="16.5" customHeight="1" s="84">
      <c r="A505" s="7" t="inlineStr">
        <is>
          <t>2025-02</t>
        </is>
      </c>
      <c r="B505" s="13" t="inlineStr">
        <is>
          <t>元大定存利息</t>
        </is>
      </c>
      <c r="C505" s="7" t="inlineStr">
        <is>
          <t>683000006773</t>
        </is>
      </c>
      <c r="D505" s="13" t="inlineStr">
        <is>
          <t>元大定存利息 683000006773</t>
        </is>
      </c>
      <c r="E505" s="104" t="n">
        <v>1176</v>
      </c>
      <c r="F505" s="108" t="inlineStr">
        <is>
          <t>利息收入</t>
        </is>
      </c>
    </row>
    <row r="506" ht="16.5" customHeight="1" s="84">
      <c r="A506" s="7" t="inlineStr">
        <is>
          <t>2025-02</t>
        </is>
      </c>
      <c r="B506" s="13" t="inlineStr">
        <is>
          <t>元大定存利息</t>
        </is>
      </c>
      <c r="C506" s="7" t="inlineStr">
        <is>
          <t>683000006745</t>
        </is>
      </c>
      <c r="D506" s="13" t="inlineStr">
        <is>
          <t>元大定存利息 683000006745</t>
        </is>
      </c>
      <c r="E506" s="104" t="n">
        <v>1176</v>
      </c>
      <c r="F506" s="108" t="inlineStr">
        <is>
          <t>利息收入</t>
        </is>
      </c>
    </row>
    <row r="507" ht="16.5" customHeight="1" s="84">
      <c r="A507" s="7" t="inlineStr">
        <is>
          <t>2025-02</t>
        </is>
      </c>
      <c r="B507" s="13" t="inlineStr">
        <is>
          <t>元大定存利息</t>
        </is>
      </c>
      <c r="C507" s="7" t="inlineStr">
        <is>
          <t>683000013365</t>
        </is>
      </c>
      <c r="D507" s="13" t="inlineStr">
        <is>
          <t>元大定存利息 683000013365</t>
        </is>
      </c>
      <c r="E507" s="104" t="n">
        <v>1406</v>
      </c>
      <c r="F507" s="108" t="inlineStr">
        <is>
          <t>利息收入</t>
        </is>
      </c>
    </row>
    <row r="508" ht="16.5" customHeight="1" s="84">
      <c r="A508" s="7" t="inlineStr">
        <is>
          <t>2025-02</t>
        </is>
      </c>
      <c r="B508" s="13" t="inlineStr">
        <is>
          <t>管理費收入</t>
        </is>
      </c>
      <c r="C508" s="7" t="inlineStr">
        <is>
          <t>114年度Q1(2月)</t>
        </is>
      </c>
      <c r="D508" s="13" t="inlineStr">
        <is>
          <t>管理費收入 114年度Q1(2月)</t>
        </is>
      </c>
      <c r="E508" s="104" t="n">
        <v>1631799</v>
      </c>
      <c r="F508" s="108" t="inlineStr">
        <is>
          <t>管理費收入</t>
        </is>
      </c>
    </row>
    <row r="509" ht="16.5" customHeight="1" s="84">
      <c r="A509" s="7" t="inlineStr">
        <is>
          <t>2025-02</t>
        </is>
      </c>
      <c r="B509" s="13" t="inlineStr">
        <is>
          <t>管理費收入</t>
        </is>
      </c>
      <c r="C509" s="7" t="inlineStr">
        <is>
          <t>113年度Q4(2月)</t>
        </is>
      </c>
      <c r="D509" s="13" t="inlineStr">
        <is>
          <t>管理費收入 113年度Q4(2月)</t>
        </is>
      </c>
      <c r="E509" s="104" t="n">
        <v>7515</v>
      </c>
      <c r="F509" s="108" t="inlineStr">
        <is>
          <t>管理費收入</t>
        </is>
      </c>
    </row>
    <row r="510" ht="16.5" customHeight="1" s="84">
      <c r="A510" s="7" t="inlineStr">
        <is>
          <t>2025-02</t>
        </is>
      </c>
      <c r="B510" s="13" t="inlineStr">
        <is>
          <t>管委會2月出席費回存</t>
        </is>
      </c>
      <c r="C510" s="7" t="n"/>
      <c r="D510" s="13" t="inlineStr">
        <is>
          <t>管委會2月出席費回存</t>
        </is>
      </c>
      <c r="E510" s="104" t="n">
        <v>0</v>
      </c>
      <c r="F510" s="108" t="inlineStr">
        <is>
          <t>出席費回存</t>
        </is>
      </c>
    </row>
    <row r="511" ht="16.5" customHeight="1" s="84">
      <c r="A511" s="7" t="inlineStr">
        <is>
          <t>2025-02</t>
        </is>
      </c>
      <c r="B511" s="7" t="inlineStr">
        <is>
          <t>2月公設收入</t>
        </is>
      </c>
      <c r="C511" s="7" t="n"/>
      <c r="D511" s="7" t="inlineStr">
        <is>
          <t>2月公設收入</t>
        </is>
      </c>
      <c r="E511" s="104" t="n">
        <v>0</v>
      </c>
      <c r="F511" s="108" t="inlineStr">
        <is>
          <t>公設收入</t>
        </is>
      </c>
    </row>
    <row r="512" ht="16.5" customHeight="1" s="84">
      <c r="A512" s="15" t="inlineStr">
        <is>
          <t>2025-02</t>
        </is>
      </c>
      <c r="B512" s="16" t="inlineStr">
        <is>
          <t>門票收入</t>
        </is>
      </c>
      <c r="C512" s="15" t="n"/>
      <c r="D512" s="16" t="inlineStr">
        <is>
          <t>門票收入</t>
        </is>
      </c>
      <c r="E512" s="109" t="n">
        <v>0</v>
      </c>
      <c r="F512" s="110" t="inlineStr">
        <is>
          <t>其他收入</t>
        </is>
      </c>
    </row>
    <row r="513" ht="15" customHeight="1" s="84">
      <c r="A513" s="7" t="inlineStr">
        <is>
          <t>2025-03</t>
        </is>
      </c>
      <c r="B513" s="13" t="inlineStr">
        <is>
          <t>元大活期利息</t>
        </is>
      </c>
      <c r="C513" s="7" t="n"/>
      <c r="D513" s="13" t="inlineStr">
        <is>
          <t>元大活期利息</t>
        </is>
      </c>
      <c r="E513" s="104" t="n">
        <v>3604</v>
      </c>
      <c r="F513" s="108" t="inlineStr">
        <is>
          <t>利息收入</t>
        </is>
      </c>
    </row>
    <row r="514" ht="15" customHeight="1" s="84">
      <c r="A514" s="7" t="inlineStr">
        <is>
          <t>2025-03</t>
        </is>
      </c>
      <c r="B514" s="13" t="inlineStr">
        <is>
          <t>元大定存利息</t>
        </is>
      </c>
      <c r="C514" s="7" t="inlineStr">
        <is>
          <t>683000016001</t>
        </is>
      </c>
      <c r="D514" s="13" t="inlineStr">
        <is>
          <t>元大定存利息 683000016001</t>
        </is>
      </c>
      <c r="E514" s="104" t="n">
        <v>5350</v>
      </c>
      <c r="F514" s="108" t="inlineStr">
        <is>
          <t>利息收入</t>
        </is>
      </c>
    </row>
    <row r="515" ht="16.5" customHeight="1" s="84">
      <c r="A515" s="7" t="inlineStr">
        <is>
          <t>2025-03</t>
        </is>
      </c>
      <c r="B515" s="13" t="inlineStr">
        <is>
          <t>元大定存利息</t>
        </is>
      </c>
      <c r="C515" s="7" t="inlineStr">
        <is>
          <t>683000006773</t>
        </is>
      </c>
      <c r="D515" s="13" t="inlineStr">
        <is>
          <t>元大定存利息 683000006773</t>
        </is>
      </c>
      <c r="E515" s="104" t="n">
        <v>1062</v>
      </c>
      <c r="F515" s="108" t="inlineStr">
        <is>
          <t>利息收入</t>
        </is>
      </c>
    </row>
    <row r="516" ht="16.5" customHeight="1" s="84">
      <c r="A516" s="7" t="inlineStr">
        <is>
          <t>2025-03</t>
        </is>
      </c>
      <c r="B516" s="13" t="inlineStr">
        <is>
          <t>元大定存利息</t>
        </is>
      </c>
      <c r="C516" s="7" t="inlineStr">
        <is>
          <t>683000006745</t>
        </is>
      </c>
      <c r="D516" s="13" t="inlineStr">
        <is>
          <t>元大定存利息 683000006745</t>
        </is>
      </c>
      <c r="E516" s="104" t="n">
        <v>1062</v>
      </c>
      <c r="F516" s="108" t="inlineStr">
        <is>
          <t>利息收入</t>
        </is>
      </c>
    </row>
    <row r="517" ht="16.5" customHeight="1" s="84">
      <c r="A517" s="7" t="inlineStr">
        <is>
          <t>2025-03</t>
        </is>
      </c>
      <c r="B517" s="13" t="inlineStr">
        <is>
          <t>元大定存利息</t>
        </is>
      </c>
      <c r="C517" s="7" t="inlineStr">
        <is>
          <t>683000013365</t>
        </is>
      </c>
      <c r="D517" s="13" t="inlineStr">
        <is>
          <t>元大定存利息 683000013365</t>
        </is>
      </c>
      <c r="E517" s="104" t="n">
        <v>1270</v>
      </c>
      <c r="F517" s="108" t="inlineStr">
        <is>
          <t>利息收入</t>
        </is>
      </c>
    </row>
    <row r="518" ht="16.5" customHeight="1" s="84">
      <c r="A518" s="7" t="inlineStr">
        <is>
          <t>2025-03</t>
        </is>
      </c>
      <c r="B518" s="13" t="inlineStr">
        <is>
          <t>管理費收入</t>
        </is>
      </c>
      <c r="C518" s="7" t="inlineStr">
        <is>
          <t>113年度Q4</t>
        </is>
      </c>
      <c r="D518" s="13" t="inlineStr">
        <is>
          <t>管理費收入 113年度Q4</t>
        </is>
      </c>
      <c r="E518" s="104" t="n">
        <v>31878</v>
      </c>
      <c r="F518" s="108" t="inlineStr">
        <is>
          <t>管理費收入</t>
        </is>
      </c>
    </row>
    <row r="519" ht="16.5" customHeight="1" s="84">
      <c r="A519" s="7" t="inlineStr">
        <is>
          <t>2025-03</t>
        </is>
      </c>
      <c r="B519" s="13" t="inlineStr">
        <is>
          <t>管理費收入</t>
        </is>
      </c>
      <c r="C519" s="7" t="inlineStr">
        <is>
          <t>114年度Q1</t>
        </is>
      </c>
      <c r="D519" s="13" t="inlineStr">
        <is>
          <t>管理費收入 114年度Q1</t>
        </is>
      </c>
      <c r="E519" s="104" t="n">
        <v>88788</v>
      </c>
      <c r="F519" s="108" t="inlineStr">
        <is>
          <t>管理費收入</t>
        </is>
      </c>
    </row>
    <row r="520" ht="16.5" customHeight="1" s="84">
      <c r="A520" s="7" t="inlineStr">
        <is>
          <t>2025-03</t>
        </is>
      </c>
      <c r="B520" s="13" t="inlineStr">
        <is>
          <t>管理費收入</t>
        </is>
      </c>
      <c r="C520" s="7" t="inlineStr">
        <is>
          <t>114年度Q2</t>
        </is>
      </c>
      <c r="D520" s="13" t="inlineStr">
        <is>
          <t>管理費收入 114年度Q2</t>
        </is>
      </c>
      <c r="E520" s="104" t="n">
        <v>7662</v>
      </c>
      <c r="F520" s="108" t="inlineStr">
        <is>
          <t>管理費收入</t>
        </is>
      </c>
    </row>
    <row r="521" ht="16.5" customHeight="1" s="84">
      <c r="A521" s="7" t="inlineStr">
        <is>
          <t>2025-03</t>
        </is>
      </c>
      <c r="B521" s="13" t="inlineStr">
        <is>
          <t>管委會2月出席費回存</t>
        </is>
      </c>
      <c r="C521" s="7" t="n"/>
      <c r="D521" s="13" t="inlineStr">
        <is>
          <t>管委會2月出席費回存</t>
        </is>
      </c>
      <c r="E521" s="104" t="n">
        <v>4000</v>
      </c>
      <c r="F521" s="108" t="inlineStr">
        <is>
          <t>出席費回存</t>
        </is>
      </c>
    </row>
    <row r="522" ht="16.5" customHeight="1" s="84">
      <c r="A522" s="7" t="inlineStr">
        <is>
          <t>2025-03</t>
        </is>
      </c>
      <c r="B522" s="7" t="inlineStr">
        <is>
          <t>2月公設收入</t>
        </is>
      </c>
      <c r="C522" s="7" t="n"/>
      <c r="D522" s="7" t="inlineStr">
        <is>
          <t>2月公設收入</t>
        </is>
      </c>
      <c r="E522" s="104" t="n">
        <v>9410</v>
      </c>
      <c r="F522" s="108" t="inlineStr">
        <is>
          <t>公設收入</t>
        </is>
      </c>
    </row>
    <row r="523" ht="15" customHeight="1" s="84">
      <c r="A523" s="15" t="inlineStr">
        <is>
          <t>2025-03</t>
        </is>
      </c>
      <c r="B523" s="16" t="inlineStr">
        <is>
          <t>門票收入</t>
        </is>
      </c>
      <c r="C523" s="15" t="n"/>
      <c r="D523" s="16" t="inlineStr">
        <is>
          <t>門票收入</t>
        </is>
      </c>
      <c r="E523" s="109" t="n">
        <v>0</v>
      </c>
      <c r="F523" s="110" t="inlineStr">
        <is>
          <t>其他收入</t>
        </is>
      </c>
    </row>
    <row r="524" ht="15" customHeight="1" s="84">
      <c r="A524" s="7" t="inlineStr">
        <is>
          <t>2025-04</t>
        </is>
      </c>
      <c r="B524" s="13" t="inlineStr">
        <is>
          <t>元大活期利息</t>
        </is>
      </c>
      <c r="C524" s="7" t="n"/>
      <c r="D524" s="13" t="inlineStr">
        <is>
          <t>元大活期利息</t>
        </is>
      </c>
      <c r="E524" s="104" t="n">
        <v>3458</v>
      </c>
      <c r="F524" s="108" t="inlineStr">
        <is>
          <t>利息收入</t>
        </is>
      </c>
    </row>
    <row r="525" ht="16.5" customHeight="1" s="84">
      <c r="A525" s="7" t="inlineStr">
        <is>
          <t>2025-04</t>
        </is>
      </c>
      <c r="B525" s="13" t="inlineStr">
        <is>
          <t>元大定存利息</t>
        </is>
      </c>
      <c r="C525" s="7" t="inlineStr">
        <is>
          <t>683000016001</t>
        </is>
      </c>
      <c r="D525" s="13" t="inlineStr">
        <is>
          <t>元大定存利息 683000016001</t>
        </is>
      </c>
      <c r="E525" s="104" t="n">
        <v>2811</v>
      </c>
      <c r="F525" s="108" t="inlineStr">
        <is>
          <t>利息收入</t>
        </is>
      </c>
    </row>
    <row r="526" ht="16.5" customHeight="1" s="84">
      <c r="A526" s="7" t="inlineStr">
        <is>
          <t>2025-04</t>
        </is>
      </c>
      <c r="B526" s="13" t="inlineStr">
        <is>
          <t>元大定存利息</t>
        </is>
      </c>
      <c r="C526" s="7" t="inlineStr">
        <is>
          <t>683000006773</t>
        </is>
      </c>
      <c r="D526" s="13" t="inlineStr">
        <is>
          <t>元大定存利息 683000006773</t>
        </is>
      </c>
      <c r="E526" s="104" t="n">
        <v>1176</v>
      </c>
      <c r="F526" s="108" t="inlineStr">
        <is>
          <t>利息收入</t>
        </is>
      </c>
    </row>
    <row r="527" ht="16.5" customHeight="1" s="84">
      <c r="A527" s="7" t="inlineStr">
        <is>
          <t>2025-04</t>
        </is>
      </c>
      <c r="B527" s="13" t="inlineStr">
        <is>
          <t>元大定存利息</t>
        </is>
      </c>
      <c r="C527" s="7" t="inlineStr">
        <is>
          <t>683000006745</t>
        </is>
      </c>
      <c r="D527" s="13" t="inlineStr">
        <is>
          <t>元大定存利息 683000006745</t>
        </is>
      </c>
      <c r="E527" s="104" t="n">
        <v>1176</v>
      </c>
      <c r="F527" s="108" t="inlineStr">
        <is>
          <t>利息收入</t>
        </is>
      </c>
    </row>
    <row r="528" ht="16.5" customHeight="1" s="84">
      <c r="A528" s="7" t="inlineStr">
        <is>
          <t>2025-04</t>
        </is>
      </c>
      <c r="B528" s="13" t="inlineStr">
        <is>
          <t>元大定存利息</t>
        </is>
      </c>
      <c r="C528" s="7" t="inlineStr">
        <is>
          <t>683000013365</t>
        </is>
      </c>
      <c r="D528" s="13" t="inlineStr">
        <is>
          <t>元大定存利息 683000013365</t>
        </is>
      </c>
      <c r="E528" s="104" t="n">
        <v>1406</v>
      </c>
      <c r="F528" s="108" t="inlineStr">
        <is>
          <t>利息收入</t>
        </is>
      </c>
    </row>
    <row r="529" ht="16.5" customHeight="1" s="84">
      <c r="A529" s="7" t="inlineStr">
        <is>
          <t>2025-04</t>
        </is>
      </c>
      <c r="B529" s="13" t="inlineStr">
        <is>
          <t>管理費收入</t>
        </is>
      </c>
      <c r="C529" s="7" t="inlineStr">
        <is>
          <t>114年度Q1</t>
        </is>
      </c>
      <c r="D529" s="13" t="inlineStr">
        <is>
          <t>管理費收入 114年度Q1</t>
        </is>
      </c>
      <c r="E529" s="104" t="n">
        <v>47604</v>
      </c>
      <c r="F529" s="108" t="inlineStr">
        <is>
          <t>管理費收入</t>
        </is>
      </c>
    </row>
    <row r="530" ht="16.5" customHeight="1" s="84">
      <c r="A530" s="7" t="inlineStr">
        <is>
          <t>2025-04</t>
        </is>
      </c>
      <c r="B530" s="13" t="inlineStr">
        <is>
          <t>管理費收入</t>
        </is>
      </c>
      <c r="C530" s="7" t="inlineStr">
        <is>
          <t>114年度Q2</t>
        </is>
      </c>
      <c r="D530" s="13" t="inlineStr">
        <is>
          <t>管理費收入 114年度Q2</t>
        </is>
      </c>
      <c r="E530" s="104" t="n">
        <v>2411430</v>
      </c>
      <c r="F530" s="108" t="inlineStr">
        <is>
          <t>管理費收入</t>
        </is>
      </c>
    </row>
    <row r="531" ht="16.5" customHeight="1" s="84">
      <c r="A531" s="7" t="inlineStr">
        <is>
          <t>2025-04</t>
        </is>
      </c>
      <c r="B531" s="13" t="inlineStr">
        <is>
          <t>管委會3月出席費回存</t>
        </is>
      </c>
      <c r="C531" s="7" t="n"/>
      <c r="D531" s="13" t="inlineStr">
        <is>
          <t>管委會3月出席費回存</t>
        </is>
      </c>
      <c r="E531" s="104" t="n">
        <v>2500</v>
      </c>
      <c r="F531" s="108" t="inlineStr">
        <is>
          <t>出席費回存</t>
        </is>
      </c>
    </row>
    <row r="532" ht="16.5" customHeight="1" s="84">
      <c r="A532" s="7" t="inlineStr">
        <is>
          <t>2025-04</t>
        </is>
      </c>
      <c r="B532" s="7" t="inlineStr">
        <is>
          <t>3月公設收入</t>
        </is>
      </c>
      <c r="C532" s="7" t="n"/>
      <c r="D532" s="7" t="inlineStr">
        <is>
          <t>3月公設收入</t>
        </is>
      </c>
      <c r="E532" s="104" t="n">
        <v>9520</v>
      </c>
      <c r="F532" s="108" t="inlineStr">
        <is>
          <t>公設收入</t>
        </is>
      </c>
    </row>
    <row r="533" ht="16.5" customHeight="1" s="84">
      <c r="A533" s="15" t="inlineStr">
        <is>
          <t>2025-04</t>
        </is>
      </c>
      <c r="B533" s="16" t="inlineStr">
        <is>
          <t>門票收入</t>
        </is>
      </c>
      <c r="C533" s="15" t="n"/>
      <c r="D533" s="16" t="inlineStr">
        <is>
          <t>門票收入</t>
        </is>
      </c>
      <c r="E533" s="109" t="n">
        <v>0</v>
      </c>
      <c r="F533" s="110" t="inlineStr">
        <is>
          <t>其他收入</t>
        </is>
      </c>
    </row>
    <row r="534" ht="16.5" customHeight="1" s="84">
      <c r="A534" s="7" t="inlineStr">
        <is>
          <t>2025-05</t>
        </is>
      </c>
      <c r="B534" s="13" t="inlineStr">
        <is>
          <t>元大活期利息</t>
        </is>
      </c>
      <c r="C534" s="7" t="n"/>
      <c r="D534" s="13" t="inlineStr">
        <is>
          <t>元大活期利息</t>
        </is>
      </c>
      <c r="E534" s="104" t="n">
        <v>3589</v>
      </c>
      <c r="F534" s="108" t="inlineStr">
        <is>
          <t>利息收入</t>
        </is>
      </c>
    </row>
    <row r="535" ht="15" customHeight="1" s="84">
      <c r="A535" s="7" t="inlineStr">
        <is>
          <t>2025-05</t>
        </is>
      </c>
      <c r="B535" s="13" t="inlineStr">
        <is>
          <t>元大定存利息</t>
        </is>
      </c>
      <c r="C535" s="7" t="inlineStr">
        <is>
          <t>683000016001</t>
        </is>
      </c>
      <c r="D535" s="13" t="inlineStr">
        <is>
          <t>元大定存利息 683000016001</t>
        </is>
      </c>
      <c r="E535" s="104" t="n">
        <v>2721</v>
      </c>
      <c r="F535" s="108" t="inlineStr">
        <is>
          <t>利息收入</t>
        </is>
      </c>
    </row>
    <row r="536" ht="15" customHeight="1" s="84">
      <c r="A536" s="7" t="inlineStr">
        <is>
          <t>2025-05</t>
        </is>
      </c>
      <c r="B536" s="13" t="inlineStr">
        <is>
          <t>元大定存利息</t>
        </is>
      </c>
      <c r="C536" s="7" t="inlineStr">
        <is>
          <t>683000006773</t>
        </is>
      </c>
      <c r="D536" s="13" t="inlineStr">
        <is>
          <t>元大定存利息 683000006773</t>
        </is>
      </c>
      <c r="E536" s="104" t="n">
        <v>1138</v>
      </c>
      <c r="F536" s="108" t="inlineStr">
        <is>
          <t>利息收入</t>
        </is>
      </c>
    </row>
    <row r="537" ht="16.5" customHeight="1" s="84">
      <c r="A537" s="7" t="inlineStr">
        <is>
          <t>2025-05</t>
        </is>
      </c>
      <c r="B537" s="13" t="inlineStr">
        <is>
          <t>元大定存利息</t>
        </is>
      </c>
      <c r="C537" s="7" t="inlineStr">
        <is>
          <t>683000006745</t>
        </is>
      </c>
      <c r="D537" s="13" t="inlineStr">
        <is>
          <t>元大定存利息 683000006745</t>
        </is>
      </c>
      <c r="E537" s="104" t="n">
        <v>1138</v>
      </c>
      <c r="F537" s="108" t="inlineStr">
        <is>
          <t>利息收入</t>
        </is>
      </c>
    </row>
    <row r="538" ht="16.5" customHeight="1" s="84">
      <c r="A538" s="7" t="inlineStr">
        <is>
          <t>2025-05</t>
        </is>
      </c>
      <c r="B538" s="13" t="inlineStr">
        <is>
          <t>元大定存利息</t>
        </is>
      </c>
      <c r="C538" s="7" t="inlineStr">
        <is>
          <t>683000013365</t>
        </is>
      </c>
      <c r="D538" s="13" t="inlineStr">
        <is>
          <t>元大定存利息 683000013365</t>
        </is>
      </c>
      <c r="E538" s="104" t="n">
        <v>1360</v>
      </c>
      <c r="F538" s="108" t="inlineStr">
        <is>
          <t>利息收入</t>
        </is>
      </c>
    </row>
    <row r="539" ht="16.5" customHeight="1" s="84">
      <c r="A539" s="7" t="inlineStr">
        <is>
          <t>2025-05</t>
        </is>
      </c>
      <c r="B539" s="13" t="inlineStr">
        <is>
          <t>管理費收入</t>
        </is>
      </c>
      <c r="C539" s="7" t="inlineStr">
        <is>
          <t>114年度Q1</t>
        </is>
      </c>
      <c r="D539" s="13" t="inlineStr">
        <is>
          <t>管理費收入 114年度Q1</t>
        </is>
      </c>
      <c r="E539" s="104" t="n">
        <v>17514</v>
      </c>
      <c r="F539" s="108" t="inlineStr">
        <is>
          <t>管理費收入</t>
        </is>
      </c>
    </row>
    <row r="540" ht="16.5" customHeight="1" s="84">
      <c r="A540" s="7" t="inlineStr">
        <is>
          <t>2025-05</t>
        </is>
      </c>
      <c r="B540" s="13" t="inlineStr">
        <is>
          <t>管理費收入</t>
        </is>
      </c>
      <c r="C540" s="7" t="inlineStr">
        <is>
          <t>114年度Q2</t>
        </is>
      </c>
      <c r="D540" s="13" t="inlineStr">
        <is>
          <t>管理費收入 114年度Q2</t>
        </is>
      </c>
      <c r="E540" s="104" t="n">
        <v>1431129</v>
      </c>
      <c r="F540" s="108" t="inlineStr">
        <is>
          <t>管理費收入</t>
        </is>
      </c>
    </row>
    <row r="541" ht="16.5" customHeight="1" s="84">
      <c r="A541" s="7" t="inlineStr">
        <is>
          <t>2025-05</t>
        </is>
      </c>
      <c r="B541" s="13" t="inlineStr">
        <is>
          <t>管委會4月出席費回存</t>
        </is>
      </c>
      <c r="C541" s="7" t="n"/>
      <c r="D541" s="13" t="inlineStr">
        <is>
          <t>管委會4月出席費回存</t>
        </is>
      </c>
      <c r="E541" s="104" t="n">
        <v>2500</v>
      </c>
      <c r="F541" s="108" t="inlineStr">
        <is>
          <t>出席費回存</t>
        </is>
      </c>
    </row>
    <row r="542" ht="16.5" customHeight="1" s="84">
      <c r="A542" s="7" t="inlineStr">
        <is>
          <t>2025-05</t>
        </is>
      </c>
      <c r="B542" s="13" t="inlineStr">
        <is>
          <t>管委會5月出席費回存</t>
        </is>
      </c>
      <c r="C542" s="7" t="n"/>
      <c r="D542" s="13" t="inlineStr">
        <is>
          <t>管委會5月出席費回存</t>
        </is>
      </c>
      <c r="E542" s="104" t="n">
        <v>500</v>
      </c>
      <c r="F542" s="108" t="inlineStr">
        <is>
          <t>出席費回存</t>
        </is>
      </c>
    </row>
    <row r="543" ht="16.5" customHeight="1" s="84">
      <c r="A543" s="7" t="inlineStr">
        <is>
          <t>2025-05</t>
        </is>
      </c>
      <c r="B543" s="7" t="inlineStr">
        <is>
          <t>4月公設收入</t>
        </is>
      </c>
      <c r="C543" s="7" t="n"/>
      <c r="D543" s="7" t="inlineStr">
        <is>
          <t>4月公設收入</t>
        </is>
      </c>
      <c r="E543" s="104" t="n">
        <v>10040</v>
      </c>
      <c r="F543" s="108" t="inlineStr">
        <is>
          <t>公設收入</t>
        </is>
      </c>
    </row>
    <row r="544" ht="16.5" customHeight="1" s="84">
      <c r="A544" s="7" t="inlineStr">
        <is>
          <t>2025-05</t>
        </is>
      </c>
      <c r="B544" s="7" t="inlineStr">
        <is>
          <t>5月公設收入</t>
        </is>
      </c>
      <c r="C544" s="7" t="n"/>
      <c r="D544" s="7" t="inlineStr">
        <is>
          <t>5月公設收入</t>
        </is>
      </c>
      <c r="E544" s="104" t="n">
        <v>11610</v>
      </c>
      <c r="F544" s="108" t="inlineStr">
        <is>
          <t>公設收入</t>
        </is>
      </c>
    </row>
    <row r="545" ht="15" customHeight="1" s="84">
      <c r="A545" s="15" t="inlineStr">
        <is>
          <t>2025-05</t>
        </is>
      </c>
      <c r="B545" s="16" t="inlineStr">
        <is>
          <t>門票收入</t>
        </is>
      </c>
      <c r="C545" s="15" t="n"/>
      <c r="D545" s="16" t="inlineStr">
        <is>
          <t>門票收入</t>
        </is>
      </c>
      <c r="E545" s="109" t="n">
        <v>0</v>
      </c>
      <c r="F545" s="110" t="inlineStr">
        <is>
          <t>其他收入</t>
        </is>
      </c>
    </row>
    <row r="546" ht="16.5" customHeight="1" s="84">
      <c r="A546" s="7" t="inlineStr">
        <is>
          <t>2025-06</t>
        </is>
      </c>
      <c r="B546" s="13" t="inlineStr">
        <is>
          <t>元大活期利息</t>
        </is>
      </c>
      <c r="C546" s="7" t="n"/>
      <c r="D546" s="13" t="inlineStr">
        <is>
          <t>元大活期利息</t>
        </is>
      </c>
      <c r="E546" s="104" t="n">
        <v>3750</v>
      </c>
      <c r="F546" s="108" t="inlineStr">
        <is>
          <t>利息收入</t>
        </is>
      </c>
    </row>
    <row r="547" ht="16.5" customHeight="1" s="84">
      <c r="A547" s="7" t="inlineStr">
        <is>
          <t>2025-06</t>
        </is>
      </c>
      <c r="B547" s="13" t="inlineStr">
        <is>
          <t>元大定存利息</t>
        </is>
      </c>
      <c r="C547" s="7" t="inlineStr">
        <is>
          <t>683000016001</t>
        </is>
      </c>
      <c r="D547" s="13" t="inlineStr">
        <is>
          <t>元大定存利息 683000016001</t>
        </is>
      </c>
      <c r="E547" s="104" t="n">
        <v>2811</v>
      </c>
      <c r="F547" s="108" t="inlineStr">
        <is>
          <t>利息收入</t>
        </is>
      </c>
    </row>
    <row r="548" ht="16.5" customHeight="1" s="84">
      <c r="A548" s="7" t="inlineStr">
        <is>
          <t>2025-06</t>
        </is>
      </c>
      <c r="B548" s="13" t="inlineStr">
        <is>
          <t>元大定存利息</t>
        </is>
      </c>
      <c r="C548" s="7" t="inlineStr">
        <is>
          <t>683000006773</t>
        </is>
      </c>
      <c r="D548" s="13" t="inlineStr">
        <is>
          <t>元大定存利息 683000006773</t>
        </is>
      </c>
      <c r="E548" s="104" t="n">
        <v>1176</v>
      </c>
      <c r="F548" s="108" t="inlineStr">
        <is>
          <t>利息收入</t>
        </is>
      </c>
    </row>
    <row r="549" ht="16.5" customHeight="1" s="84">
      <c r="A549" s="7" t="inlineStr">
        <is>
          <t>2025-06</t>
        </is>
      </c>
      <c r="B549" s="13" t="inlineStr">
        <is>
          <t>元大定存利息</t>
        </is>
      </c>
      <c r="C549" s="7" t="inlineStr">
        <is>
          <t>683000006745</t>
        </is>
      </c>
      <c r="D549" s="13" t="inlineStr">
        <is>
          <t>元大定存利息 683000006745</t>
        </is>
      </c>
      <c r="E549" s="104" t="n">
        <v>1176</v>
      </c>
      <c r="F549" s="108" t="inlineStr">
        <is>
          <t>利息收入</t>
        </is>
      </c>
    </row>
    <row r="550" ht="16.5" customHeight="1" s="84">
      <c r="A550" s="7" t="inlineStr">
        <is>
          <t>2025-06</t>
        </is>
      </c>
      <c r="B550" s="13" t="inlineStr">
        <is>
          <t>元大定存利息</t>
        </is>
      </c>
      <c r="C550" s="7" t="inlineStr">
        <is>
          <t>683000013365</t>
        </is>
      </c>
      <c r="D550" s="13" t="inlineStr">
        <is>
          <t>元大定存利息 683000013365</t>
        </is>
      </c>
      <c r="E550" s="104" t="n">
        <v>1406</v>
      </c>
      <c r="F550" s="108" t="inlineStr">
        <is>
          <t>利息收入</t>
        </is>
      </c>
    </row>
    <row r="551" ht="16.5" customHeight="1" s="84">
      <c r="A551" s="7" t="inlineStr">
        <is>
          <t>2025-06</t>
        </is>
      </c>
      <c r="B551" s="13" t="inlineStr">
        <is>
          <t>管理費收入</t>
        </is>
      </c>
      <c r="C551" s="7" t="inlineStr">
        <is>
          <t>114年度Q1</t>
        </is>
      </c>
      <c r="D551" s="13" t="inlineStr">
        <is>
          <t>管理費收入 114年度Q1</t>
        </is>
      </c>
      <c r="E551" s="104" t="n">
        <v>22542</v>
      </c>
      <c r="F551" s="108" t="inlineStr">
        <is>
          <t>管理費收入</t>
        </is>
      </c>
    </row>
    <row r="552" ht="16.5" customHeight="1" s="84">
      <c r="A552" s="7" t="inlineStr">
        <is>
          <t>2025-06</t>
        </is>
      </c>
      <c r="B552" s="13" t="inlineStr">
        <is>
          <t>管理費收入</t>
        </is>
      </c>
      <c r="C552" s="7" t="inlineStr">
        <is>
          <t>114年度Q2</t>
        </is>
      </c>
      <c r="D552" s="13" t="inlineStr">
        <is>
          <t>管理費收入 114年度Q2</t>
        </is>
      </c>
      <c r="E552" s="104" t="n">
        <v>88083</v>
      </c>
      <c r="F552" s="108" t="inlineStr">
        <is>
          <t>管理費收入</t>
        </is>
      </c>
    </row>
    <row r="553" ht="16.5" customHeight="1" s="84">
      <c r="A553" s="7" t="inlineStr">
        <is>
          <t>2025-06</t>
        </is>
      </c>
      <c r="B553" s="13" t="inlineStr">
        <is>
          <t>管委會6月出席費回存</t>
        </is>
      </c>
      <c r="C553" s="7" t="n"/>
      <c r="D553" s="13" t="inlineStr">
        <is>
          <t>管委會6月出席費回存</t>
        </is>
      </c>
      <c r="E553" s="104" t="n">
        <v>2000</v>
      </c>
      <c r="F553" s="108" t="inlineStr">
        <is>
          <t>出席費回存</t>
        </is>
      </c>
    </row>
    <row r="554" ht="16.5" customHeight="1" s="84">
      <c r="A554" s="7" t="inlineStr">
        <is>
          <t>2025-06</t>
        </is>
      </c>
      <c r="B554" s="7" t="inlineStr">
        <is>
          <t>6月公設收入</t>
        </is>
      </c>
      <c r="C554" s="7" t="n"/>
      <c r="D554" s="7" t="inlineStr">
        <is>
          <t>6月公設收入</t>
        </is>
      </c>
      <c r="E554" s="104" t="n">
        <v>6050</v>
      </c>
      <c r="F554" s="108" t="inlineStr">
        <is>
          <t>公設收入</t>
        </is>
      </c>
    </row>
    <row r="555" ht="16.5" customHeight="1" s="84">
      <c r="A555" s="7" t="inlineStr">
        <is>
          <t>2025-07</t>
        </is>
      </c>
      <c r="B555" s="13" t="inlineStr">
        <is>
          <t>元大活期利息</t>
        </is>
      </c>
      <c r="C555" s="7" t="n"/>
      <c r="D555" s="13" t="inlineStr">
        <is>
          <t>元大活期利息</t>
        </is>
      </c>
      <c r="E555" s="104" t="n">
        <v>2479</v>
      </c>
      <c r="F555" s="108" t="inlineStr">
        <is>
          <t>利息收入</t>
        </is>
      </c>
    </row>
    <row r="556" ht="15" customHeight="1" s="84">
      <c r="A556" s="7" t="inlineStr">
        <is>
          <t>2025-07</t>
        </is>
      </c>
      <c r="B556" s="13" t="inlineStr">
        <is>
          <t>元大定存利息</t>
        </is>
      </c>
      <c r="C556" s="7" t="inlineStr">
        <is>
          <t>683000016001</t>
        </is>
      </c>
      <c r="D556" s="13" t="inlineStr">
        <is>
          <t>元大定存利息 683000016001</t>
        </is>
      </c>
      <c r="E556" s="104" t="n">
        <v>2721</v>
      </c>
      <c r="F556" s="108" t="inlineStr">
        <is>
          <t>利息收入</t>
        </is>
      </c>
    </row>
    <row r="557" ht="15" customHeight="1" s="84">
      <c r="A557" s="7" t="inlineStr">
        <is>
          <t>2025-07</t>
        </is>
      </c>
      <c r="B557" s="13" t="inlineStr">
        <is>
          <t>元大定存利息</t>
        </is>
      </c>
      <c r="C557" s="7" t="inlineStr">
        <is>
          <t>683000006773</t>
        </is>
      </c>
      <c r="D557" s="13" t="inlineStr">
        <is>
          <t>元大定存利息 683000006773</t>
        </is>
      </c>
      <c r="E557" s="104" t="n">
        <v>1138</v>
      </c>
      <c r="F557" s="108" t="inlineStr">
        <is>
          <t>利息收入</t>
        </is>
      </c>
    </row>
    <row r="558" ht="16.5" customHeight="1" s="84">
      <c r="A558" s="7" t="inlineStr">
        <is>
          <t>2025-07</t>
        </is>
      </c>
      <c r="B558" s="13" t="inlineStr">
        <is>
          <t>元大定存利息</t>
        </is>
      </c>
      <c r="C558" s="7" t="inlineStr">
        <is>
          <t>683000006745</t>
        </is>
      </c>
      <c r="D558" s="13" t="inlineStr">
        <is>
          <t>元大定存利息 683000006745</t>
        </is>
      </c>
      <c r="E558" s="104" t="n">
        <v>1138</v>
      </c>
      <c r="F558" s="108" t="inlineStr">
        <is>
          <t>利息收入</t>
        </is>
      </c>
    </row>
    <row r="559" ht="16.5" customHeight="1" s="84">
      <c r="A559" s="7" t="inlineStr">
        <is>
          <t>2025-07</t>
        </is>
      </c>
      <c r="B559" s="13" t="inlineStr">
        <is>
          <t>元大定存利息</t>
        </is>
      </c>
      <c r="C559" s="7" t="inlineStr">
        <is>
          <t>683000013365</t>
        </is>
      </c>
      <c r="D559" s="13" t="inlineStr">
        <is>
          <t>元大定存利息 683000013365</t>
        </is>
      </c>
      <c r="E559" s="104" t="n">
        <v>1360</v>
      </c>
      <c r="F559" s="108" t="inlineStr">
        <is>
          <t>利息收入</t>
        </is>
      </c>
    </row>
    <row r="560" ht="16.5" customHeight="1" s="84">
      <c r="A560" s="7" t="inlineStr">
        <is>
          <t>2025-07</t>
        </is>
      </c>
      <c r="B560" s="13" t="inlineStr">
        <is>
          <t>管理費收入</t>
        </is>
      </c>
      <c r="C560" s="7" t="inlineStr">
        <is>
          <t>113年度Q4</t>
        </is>
      </c>
      <c r="D560" s="13" t="inlineStr">
        <is>
          <t>管理費收入 113年度Q4</t>
        </is>
      </c>
      <c r="E560" s="104" t="n">
        <v>17046</v>
      </c>
      <c r="F560" s="108" t="inlineStr">
        <is>
          <t>管理費收入</t>
        </is>
      </c>
    </row>
    <row r="561" ht="16.5" customHeight="1" s="84">
      <c r="A561" s="7" t="inlineStr">
        <is>
          <t>2025-07</t>
        </is>
      </c>
      <c r="B561" s="13" t="inlineStr">
        <is>
          <t>管理費收入</t>
        </is>
      </c>
      <c r="C561" s="7" t="inlineStr">
        <is>
          <t>114年度Q1</t>
        </is>
      </c>
      <c r="D561" s="13" t="inlineStr">
        <is>
          <t>管理費收入 114年度Q1</t>
        </is>
      </c>
      <c r="E561" s="104" t="n">
        <v>7776</v>
      </c>
      <c r="F561" s="108" t="inlineStr">
        <is>
          <t>管理費收入</t>
        </is>
      </c>
    </row>
    <row r="562" ht="15" customHeight="1" s="84">
      <c r="A562" s="7" t="inlineStr">
        <is>
          <t>2025-07</t>
        </is>
      </c>
      <c r="B562" s="13" t="inlineStr">
        <is>
          <t>管理費收入</t>
        </is>
      </c>
      <c r="C562" s="7" t="inlineStr">
        <is>
          <t>114年度Q2</t>
        </is>
      </c>
      <c r="D562" s="13" t="inlineStr">
        <is>
          <t>管理費收入 114年度Q2</t>
        </is>
      </c>
      <c r="E562" s="104" t="n">
        <v>28977</v>
      </c>
      <c r="F562" s="108" t="inlineStr">
        <is>
          <t>管理費收入</t>
        </is>
      </c>
    </row>
    <row r="563" ht="15" customHeight="1" s="84">
      <c r="A563" s="7" t="inlineStr">
        <is>
          <t>2025-07</t>
        </is>
      </c>
      <c r="B563" s="13" t="inlineStr">
        <is>
          <t>管理費收入</t>
        </is>
      </c>
      <c r="C563" s="7" t="inlineStr">
        <is>
          <t>114年度Q3</t>
        </is>
      </c>
      <c r="D563" s="13" t="inlineStr">
        <is>
          <t>管理費收入 114年度Q3</t>
        </is>
      </c>
      <c r="E563" s="104" t="n">
        <v>2034012</v>
      </c>
      <c r="F563" s="108" t="inlineStr">
        <is>
          <t>管理費收入</t>
        </is>
      </c>
    </row>
    <row r="564" ht="16.5" customHeight="1" s="84">
      <c r="A564" s="7" t="inlineStr">
        <is>
          <t>2025-07</t>
        </is>
      </c>
      <c r="B564" s="13" t="inlineStr">
        <is>
          <t>管委會7月出席費回存</t>
        </is>
      </c>
      <c r="C564" s="7" t="n"/>
      <c r="D564" s="13" t="inlineStr">
        <is>
          <t>管委會7月出席費回存</t>
        </is>
      </c>
      <c r="E564" s="104" t="n">
        <v>1000</v>
      </c>
      <c r="F564" s="108" t="inlineStr">
        <is>
          <t>出席費回存</t>
        </is>
      </c>
    </row>
    <row r="565" ht="16.5" customHeight="1" s="84">
      <c r="A565" s="7" t="inlineStr">
        <is>
          <t>2025-07</t>
        </is>
      </c>
      <c r="B565" s="7" t="inlineStr">
        <is>
          <t>05/29～06/13公設收入</t>
        </is>
      </c>
      <c r="C565" s="7" t="n"/>
      <c r="D565" s="7" t="inlineStr">
        <is>
          <t>05/29～06/13公設收入</t>
        </is>
      </c>
      <c r="E565" s="104" t="n">
        <v>6910</v>
      </c>
      <c r="F565" s="108" t="inlineStr">
        <is>
          <t>公設收入</t>
        </is>
      </c>
    </row>
    <row r="566" ht="16.5" customHeight="1" s="84">
      <c r="A566" s="7" t="inlineStr">
        <is>
          <t>2025-07</t>
        </is>
      </c>
      <c r="B566" s="13" t="inlineStr">
        <is>
          <t>七月公設收入</t>
        </is>
      </c>
      <c r="C566" s="7" t="n"/>
      <c r="D566" s="13" t="inlineStr">
        <is>
          <t>七月公設收入</t>
        </is>
      </c>
      <c r="E566" s="104" t="n">
        <v>10300</v>
      </c>
      <c r="F566" s="108" t="inlineStr">
        <is>
          <t>公設收入</t>
        </is>
      </c>
    </row>
    <row r="567" ht="16.5" customHeight="1" s="84">
      <c r="A567" s="15" t="inlineStr">
        <is>
          <t>2025-07</t>
        </is>
      </c>
      <c r="B567" s="16" t="inlineStr">
        <is>
          <t>門票收入</t>
        </is>
      </c>
      <c r="C567" s="15" t="n"/>
      <c r="D567" s="16" t="inlineStr">
        <is>
          <t>門票收入</t>
        </is>
      </c>
      <c r="E567" s="109" t="n">
        <v>34580</v>
      </c>
      <c r="F567" s="110" t="inlineStr">
        <is>
          <t>其他收入</t>
        </is>
      </c>
    </row>
    <row r="568" ht="16.5" customHeight="1" s="84">
      <c r="A568" s="15" t="inlineStr">
        <is>
          <t>2025-07</t>
        </is>
      </c>
      <c r="B568" s="16" t="inlineStr">
        <is>
          <t>元大銀行管理費帳戶解定存(683000016001)</t>
        </is>
      </c>
      <c r="C568" s="15" t="n"/>
      <c r="D568" s="16" t="inlineStr">
        <is>
          <t>元大銀行管理費帳戶解定存(683000016001)</t>
        </is>
      </c>
      <c r="E568" s="109" t="n">
        <v>1997138</v>
      </c>
      <c r="F568" s="110" t="inlineStr">
        <is>
          <t>其他收入</t>
        </is>
      </c>
    </row>
    <row r="569" ht="16.5" customHeight="1" s="84">
      <c r="A569" s="15" t="inlineStr">
        <is>
          <t>2025-07</t>
        </is>
      </c>
      <c r="B569" s="16" t="inlineStr">
        <is>
          <t>元大銀行管理費帳戶解定存(683000006773)</t>
        </is>
      </c>
      <c r="C569" s="15" t="n"/>
      <c r="D569" s="16" t="inlineStr">
        <is>
          <t>元大銀行管理費帳戶解定存(683000006773)</t>
        </is>
      </c>
      <c r="E569" s="109" t="n">
        <v>996684</v>
      </c>
      <c r="F569" s="110" t="inlineStr">
        <is>
          <t>其他收入</t>
        </is>
      </c>
    </row>
    <row r="570" ht="16.5" customHeight="1" s="84">
      <c r="A570" s="15" t="inlineStr">
        <is>
          <t>2025-07</t>
        </is>
      </c>
      <c r="B570" s="16" t="inlineStr">
        <is>
          <t>元大銀行管理費帳戶解定存(683000006745)</t>
        </is>
      </c>
      <c r="C570" s="15" t="n"/>
      <c r="D570" s="16" t="inlineStr">
        <is>
          <t>元大銀行管理費帳戶解定存(683000006745)</t>
        </is>
      </c>
      <c r="E570" s="109" t="n">
        <v>999086</v>
      </c>
      <c r="F570" s="110" t="inlineStr">
        <is>
          <t>其他收入</t>
        </is>
      </c>
    </row>
    <row r="571" ht="15" customHeight="1" s="84">
      <c r="A571" s="15" t="inlineStr">
        <is>
          <t>2025-07</t>
        </is>
      </c>
      <c r="B571" s="16" t="inlineStr">
        <is>
          <t>元大銀行管理費帳戶解定存(683000013365)</t>
        </is>
      </c>
      <c r="C571" s="15" t="n"/>
      <c r="D571" s="16" t="inlineStr">
        <is>
          <t>元大銀行管理費帳戶解定存(683000013365)</t>
        </is>
      </c>
      <c r="E571" s="109" t="n">
        <v>999086</v>
      </c>
      <c r="F571" s="110" t="inlineStr">
        <is>
          <t>其他收入</t>
        </is>
      </c>
    </row>
    <row r="572" ht="16.5" customHeight="1" s="84">
      <c r="A572" s="7" t="inlineStr">
        <is>
          <t>2025-08</t>
        </is>
      </c>
      <c r="B572" s="13" t="inlineStr">
        <is>
          <t>元大活期利息</t>
        </is>
      </c>
      <c r="C572" s="7" t="n"/>
      <c r="D572" s="13" t="inlineStr">
        <is>
          <t>元大活期利息</t>
        </is>
      </c>
      <c r="E572" s="104" t="n">
        <v>3425</v>
      </c>
      <c r="F572" s="108" t="inlineStr">
        <is>
          <t>利息收入</t>
        </is>
      </c>
    </row>
    <row r="573" ht="16.5" customHeight="1" s="84">
      <c r="A573" s="7" t="inlineStr">
        <is>
          <t>2025-08</t>
        </is>
      </c>
      <c r="B573" s="13" t="inlineStr">
        <is>
          <t>台銀活期利息</t>
        </is>
      </c>
      <c r="C573" s="7" t="n"/>
      <c r="D573" s="13" t="inlineStr">
        <is>
          <t>台銀活期利息</t>
        </is>
      </c>
      <c r="E573" s="104" t="n">
        <v>5632</v>
      </c>
      <c r="F573" s="108" t="inlineStr">
        <is>
          <t>利息收入</t>
        </is>
      </c>
    </row>
    <row r="574" ht="15" customHeight="1" s="84">
      <c r="A574" s="7" t="inlineStr">
        <is>
          <t>2025-08</t>
        </is>
      </c>
      <c r="B574" s="13" t="inlineStr">
        <is>
          <t>管理費收入</t>
        </is>
      </c>
      <c r="C574" s="7" t="inlineStr">
        <is>
          <t>113年度Q4</t>
        </is>
      </c>
      <c r="D574" s="13" t="inlineStr">
        <is>
          <t>管理費收入 113年度Q4</t>
        </is>
      </c>
      <c r="E574" s="104" t="n">
        <v>0</v>
      </c>
      <c r="F574" s="108" t="inlineStr">
        <is>
          <t>管理費收入</t>
        </is>
      </c>
    </row>
    <row r="575" ht="15" customHeight="1" s="84">
      <c r="A575" s="7" t="inlineStr">
        <is>
          <t>2025-08</t>
        </is>
      </c>
      <c r="B575" s="13" t="inlineStr">
        <is>
          <t>管理費收入</t>
        </is>
      </c>
      <c r="C575" s="7" t="inlineStr">
        <is>
          <t>114年度Q1</t>
        </is>
      </c>
      <c r="D575" s="13" t="inlineStr">
        <is>
          <t>管理費收入 114年度Q1</t>
        </is>
      </c>
      <c r="E575" s="104" t="n">
        <v>0</v>
      </c>
      <c r="F575" s="108" t="inlineStr">
        <is>
          <t>管理費收入</t>
        </is>
      </c>
    </row>
    <row r="576" ht="16.5" customHeight="1" s="84">
      <c r="A576" s="7" t="inlineStr">
        <is>
          <t>2025-08</t>
        </is>
      </c>
      <c r="B576" s="13" t="inlineStr">
        <is>
          <t>管理費收入</t>
        </is>
      </c>
      <c r="C576" s="7" t="inlineStr">
        <is>
          <t>114年度Q2</t>
        </is>
      </c>
      <c r="D576" s="13" t="inlineStr">
        <is>
          <t>管理費收入 114年度Q2</t>
        </is>
      </c>
      <c r="E576" s="104" t="n">
        <v>32250</v>
      </c>
      <c r="F576" s="108" t="inlineStr">
        <is>
          <t>管理費收入</t>
        </is>
      </c>
    </row>
    <row r="577" ht="16.5" customHeight="1" s="84">
      <c r="A577" s="7" t="inlineStr">
        <is>
          <t>2025-08</t>
        </is>
      </c>
      <c r="B577" s="13" t="inlineStr">
        <is>
          <t>管理費收入</t>
        </is>
      </c>
      <c r="C577" s="7" t="inlineStr">
        <is>
          <t>114年度Q3</t>
        </is>
      </c>
      <c r="D577" s="13" t="inlineStr">
        <is>
          <t>管理費收入 114年度Q3</t>
        </is>
      </c>
      <c r="E577" s="104" t="n">
        <v>1526034</v>
      </c>
      <c r="F577" s="108" t="inlineStr">
        <is>
          <t>管理費收入</t>
        </is>
      </c>
    </row>
    <row r="578" ht="16.5" customHeight="1" s="84">
      <c r="A578" s="7" t="inlineStr">
        <is>
          <t>2025-08</t>
        </is>
      </c>
      <c r="B578" s="13" t="inlineStr">
        <is>
          <t>管委會8月出席費回存</t>
        </is>
      </c>
      <c r="C578" s="7" t="n"/>
      <c r="D578" s="13" t="inlineStr">
        <is>
          <t>管委會8月出席費回存</t>
        </is>
      </c>
      <c r="E578" s="104" t="n">
        <v>3500</v>
      </c>
      <c r="F578" s="108" t="inlineStr">
        <is>
          <t>出席費回存</t>
        </is>
      </c>
    </row>
    <row r="579" ht="16.5" customHeight="1" s="84">
      <c r="A579" s="7" t="inlineStr">
        <is>
          <t>2025-08</t>
        </is>
      </c>
      <c r="B579" s="13" t="inlineStr">
        <is>
          <t>公設收入8月</t>
        </is>
      </c>
      <c r="C579" s="7" t="n"/>
      <c r="D579" s="13" t="inlineStr">
        <is>
          <t>公設收入8月</t>
        </is>
      </c>
      <c r="E579" s="104" t="n">
        <v>10150</v>
      </c>
      <c r="F579" s="108" t="inlineStr">
        <is>
          <t>公設收入</t>
        </is>
      </c>
    </row>
    <row r="580" ht="16.5" customHeight="1" s="84">
      <c r="A580" s="15" t="inlineStr">
        <is>
          <t>2025-08</t>
        </is>
      </c>
      <c r="B580" s="16" t="inlineStr">
        <is>
          <t>門票收入8月</t>
        </is>
      </c>
      <c r="C580" s="15" t="n"/>
      <c r="D580" s="16" t="inlineStr">
        <is>
          <t>門票收入8月</t>
        </is>
      </c>
      <c r="E580" s="109" t="n">
        <v>39480</v>
      </c>
      <c r="F580" s="110" t="inlineStr">
        <is>
          <t>其他收入</t>
        </is>
      </c>
    </row>
    <row r="581" ht="16.5" customHeight="1" s="84">
      <c r="A581" s="15" t="inlineStr">
        <is>
          <t>2025-08</t>
        </is>
      </c>
      <c r="B581" s="16" t="inlineStr">
        <is>
          <t>紅帥回饋金</t>
        </is>
      </c>
      <c r="C581" s="15" t="n"/>
      <c r="D581" s="16" t="inlineStr">
        <is>
          <t>紅帥回饋金</t>
        </is>
      </c>
      <c r="E581" s="109" t="n">
        <v>120</v>
      </c>
      <c r="F581" s="110" t="inlineStr">
        <is>
          <t>其他收入</t>
        </is>
      </c>
    </row>
    <row r="582" ht="15" customHeight="1" s="84">
      <c r="A582" s="15" t="inlineStr">
        <is>
          <t>2025-08</t>
        </is>
      </c>
      <c r="B582" s="15" t="inlineStr">
        <is>
          <t>K21充電樁</t>
        </is>
      </c>
      <c r="C582" s="15" t="n"/>
      <c r="D582" s="15" t="inlineStr">
        <is>
          <t>K21充電樁</t>
        </is>
      </c>
      <c r="E582" s="109" t="n">
        <v>50000</v>
      </c>
      <c r="F582" s="110" t="inlineStr">
        <is>
          <t>其他收入</t>
        </is>
      </c>
    </row>
    <row r="583" ht="16.5" customHeight="1" s="84">
      <c r="A583" s="7" t="inlineStr">
        <is>
          <t>2025-08</t>
        </is>
      </c>
      <c r="B583" s="7" t="inlineStr">
        <is>
          <t>B13裝潢保證金</t>
        </is>
      </c>
      <c r="C583" s="7" t="n"/>
      <c r="D583" s="7" t="inlineStr">
        <is>
          <t>B13裝潢保證金</t>
        </is>
      </c>
      <c r="E583" s="104" t="n">
        <v>20000</v>
      </c>
      <c r="F583" s="108" t="inlineStr">
        <is>
          <t>暫收款進</t>
        </is>
      </c>
    </row>
    <row r="584" ht="15" customHeight="1" s="84">
      <c r="A584" s="7" t="inlineStr">
        <is>
          <t>2025-09</t>
        </is>
      </c>
      <c r="B584" s="13" t="inlineStr">
        <is>
          <t>元大活期利息</t>
        </is>
      </c>
      <c r="C584" s="7" t="n"/>
      <c r="D584" s="13" t="inlineStr">
        <is>
          <t>元大活期利息</t>
        </is>
      </c>
      <c r="E584" s="104" t="n">
        <v>3123</v>
      </c>
      <c r="F584" s="108" t="inlineStr">
        <is>
          <t>利息收入</t>
        </is>
      </c>
    </row>
    <row r="585" ht="15" customHeight="1" s="84">
      <c r="A585" s="7" t="inlineStr">
        <is>
          <t>2025-09</t>
        </is>
      </c>
      <c r="B585" s="13" t="inlineStr">
        <is>
          <t>台銀活期利息</t>
        </is>
      </c>
      <c r="C585" s="7" t="n"/>
      <c r="D585" s="13" t="inlineStr">
        <is>
          <t>台銀活期利息</t>
        </is>
      </c>
      <c r="E585" s="104" t="n">
        <v>5632</v>
      </c>
      <c r="F585" s="108" t="inlineStr">
        <is>
          <t>利息收入</t>
        </is>
      </c>
    </row>
    <row r="586" ht="16.5" customHeight="1" s="84">
      <c r="A586" s="7" t="inlineStr">
        <is>
          <t>2025-09</t>
        </is>
      </c>
      <c r="B586" s="13" t="inlineStr">
        <is>
          <t>管理費收入</t>
        </is>
      </c>
      <c r="C586" s="7" t="inlineStr">
        <is>
          <t>113年度Q4</t>
        </is>
      </c>
      <c r="D586" s="13" t="inlineStr">
        <is>
          <t>管理費收入 113年度Q4</t>
        </is>
      </c>
      <c r="E586" s="104" t="n">
        <v>0</v>
      </c>
      <c r="F586" s="108" t="inlineStr">
        <is>
          <t>管理費收入</t>
        </is>
      </c>
    </row>
    <row r="587" ht="16.5" customHeight="1" s="84">
      <c r="A587" s="7" t="inlineStr">
        <is>
          <t>2025-09</t>
        </is>
      </c>
      <c r="B587" s="13" t="inlineStr">
        <is>
          <t>管理費收入</t>
        </is>
      </c>
      <c r="C587" s="7" t="inlineStr">
        <is>
          <t>114年度Q1</t>
        </is>
      </c>
      <c r="D587" s="13" t="inlineStr">
        <is>
          <t>管理費收入 114年度Q1</t>
        </is>
      </c>
      <c r="E587" s="104" t="n">
        <v>0</v>
      </c>
      <c r="F587" s="108" t="inlineStr">
        <is>
          <t>管理費收入</t>
        </is>
      </c>
    </row>
    <row r="588" ht="16.5" customHeight="1" s="84">
      <c r="A588" s="7" t="inlineStr">
        <is>
          <t>2025-09</t>
        </is>
      </c>
      <c r="B588" s="13" t="inlineStr">
        <is>
          <t>管理費收入</t>
        </is>
      </c>
      <c r="C588" s="7" t="inlineStr">
        <is>
          <t>114年度Q2</t>
        </is>
      </c>
      <c r="D588" s="13" t="inlineStr">
        <is>
          <t>管理費收入 114年度Q2</t>
        </is>
      </c>
      <c r="E588" s="104" t="n">
        <v>0</v>
      </c>
      <c r="F588" s="108" t="inlineStr">
        <is>
          <t>管理費收入</t>
        </is>
      </c>
    </row>
    <row r="589" ht="16.5" customHeight="1" s="84">
      <c r="A589" s="7" t="inlineStr">
        <is>
          <t>2025-09</t>
        </is>
      </c>
      <c r="B589" s="13" t="inlineStr">
        <is>
          <t>管理費收入</t>
        </is>
      </c>
      <c r="C589" s="7" t="inlineStr">
        <is>
          <t>114年度Q3</t>
        </is>
      </c>
      <c r="D589" s="13" t="inlineStr">
        <is>
          <t>管理費收入 114年度Q3</t>
        </is>
      </c>
      <c r="E589" s="104" t="n">
        <v>88322</v>
      </c>
      <c r="F589" s="108" t="inlineStr">
        <is>
          <t>管理費收入</t>
        </is>
      </c>
    </row>
    <row r="590" ht="15" customHeight="1" s="84">
      <c r="A590" s="7" t="inlineStr">
        <is>
          <t>2025-09</t>
        </is>
      </c>
      <c r="B590" s="13" t="inlineStr">
        <is>
          <t>管委會8月出席費回存</t>
        </is>
      </c>
      <c r="C590" s="7" t="n"/>
      <c r="D590" s="13" t="inlineStr">
        <is>
          <t>管委會8月出席費回存</t>
        </is>
      </c>
      <c r="E590" s="104" t="n">
        <v>1000</v>
      </c>
      <c r="F590" s="108" t="inlineStr">
        <is>
          <t>出席費回存</t>
        </is>
      </c>
    </row>
    <row r="591" ht="15" customHeight="1" s="84">
      <c r="A591" s="7" t="inlineStr">
        <is>
          <t>2025-09</t>
        </is>
      </c>
      <c r="B591" s="13" t="inlineStr">
        <is>
          <t>公設收入9月</t>
        </is>
      </c>
      <c r="C591" s="7" t="n"/>
      <c r="D591" s="13" t="inlineStr">
        <is>
          <t>公設收入9月</t>
        </is>
      </c>
      <c r="E591" s="104" t="n">
        <v>12760</v>
      </c>
      <c r="F591" s="108" t="inlineStr">
        <is>
          <t>公設收入</t>
        </is>
      </c>
    </row>
    <row r="592" ht="15" customHeight="1" s="84">
      <c r="A592" s="15" t="inlineStr">
        <is>
          <t>2025-09</t>
        </is>
      </c>
      <c r="B592" s="16" t="inlineStr">
        <is>
          <t>宏宇環保</t>
        </is>
      </c>
      <c r="C592" s="15" t="n"/>
      <c r="D592" s="16" t="inlineStr">
        <is>
          <t>宏宇環保</t>
        </is>
      </c>
      <c r="E592" s="109" t="n">
        <v>35440</v>
      </c>
      <c r="F592" s="110" t="inlineStr">
        <is>
          <t>其他收入</t>
        </is>
      </c>
    </row>
    <row r="593" ht="15" customHeight="1" s="84">
      <c r="A593" s="7" t="inlineStr">
        <is>
          <t>2025-09</t>
        </is>
      </c>
      <c r="B593" s="7" t="inlineStr">
        <is>
          <t>S8 施工裝潢保證金</t>
        </is>
      </c>
      <c r="C593" s="7" t="n"/>
      <c r="D593" s="7" t="inlineStr">
        <is>
          <t>S8 施工裝潢保證金</t>
        </is>
      </c>
      <c r="E593" s="104" t="n">
        <v>80000</v>
      </c>
      <c r="F593" s="108" t="inlineStr">
        <is>
          <t>暫收款進</t>
        </is>
      </c>
    </row>
    <row r="594" ht="16.5" customHeight="1" s="84">
      <c r="A594" s="7" t="inlineStr">
        <is>
          <t>2025-10</t>
        </is>
      </c>
      <c r="B594" s="13" t="inlineStr">
        <is>
          <t>元大活期利息</t>
        </is>
      </c>
      <c r="C594" s="7" t="n"/>
      <c r="D594" s="13" t="inlineStr">
        <is>
          <t>元大活期利息</t>
        </is>
      </c>
      <c r="E594" s="104" t="n">
        <v>1894</v>
      </c>
      <c r="F594" s="108" t="inlineStr">
        <is>
          <t>利息收入</t>
        </is>
      </c>
    </row>
    <row r="595" ht="16.5" customHeight="1" s="84">
      <c r="A595" s="7" t="inlineStr">
        <is>
          <t>2025-10</t>
        </is>
      </c>
      <c r="B595" s="13" t="inlineStr">
        <is>
          <t>台銀活期利息</t>
        </is>
      </c>
      <c r="C595" s="7" t="n"/>
      <c r="D595" s="13" t="inlineStr">
        <is>
          <t>台銀活期利息</t>
        </is>
      </c>
      <c r="E595" s="104" t="n">
        <v>5632</v>
      </c>
      <c r="F595" s="108" t="inlineStr">
        <is>
          <t>利息收入</t>
        </is>
      </c>
    </row>
    <row r="596" ht="16.5" customHeight="1" s="84">
      <c r="A596" s="7" t="inlineStr">
        <is>
          <t>2025-10</t>
        </is>
      </c>
      <c r="B596" s="13" t="inlineStr">
        <is>
          <t>管理費收入</t>
        </is>
      </c>
      <c r="C596" s="7" t="inlineStr">
        <is>
          <t>114年度Q1</t>
        </is>
      </c>
      <c r="D596" s="13" t="inlineStr">
        <is>
          <t>管理費收入 114年度Q1</t>
        </is>
      </c>
      <c r="E596" s="104" t="n">
        <v>65151</v>
      </c>
      <c r="F596" s="108" t="inlineStr">
        <is>
          <t>管理費收入</t>
        </is>
      </c>
    </row>
    <row r="597" ht="16.5" customHeight="1" s="84">
      <c r="A597" s="7" t="inlineStr">
        <is>
          <t>2025-10</t>
        </is>
      </c>
      <c r="B597" s="13" t="inlineStr">
        <is>
          <t>管理費收入</t>
        </is>
      </c>
      <c r="C597" s="7" t="inlineStr">
        <is>
          <t>114年度Q2</t>
        </is>
      </c>
      <c r="D597" s="13" t="inlineStr">
        <is>
          <t>管理費收入 114年度Q2</t>
        </is>
      </c>
      <c r="E597" s="104" t="n">
        <v>9861</v>
      </c>
      <c r="F597" s="108" t="inlineStr">
        <is>
          <t>管理費收入</t>
        </is>
      </c>
    </row>
    <row r="598" ht="15" customHeight="1" s="84">
      <c r="A598" s="7" t="inlineStr">
        <is>
          <t>2025-10</t>
        </is>
      </c>
      <c r="B598" s="13" t="inlineStr">
        <is>
          <t>管理費收入</t>
        </is>
      </c>
      <c r="C598" s="7" t="inlineStr">
        <is>
          <t>114年度Q3</t>
        </is>
      </c>
      <c r="D598" s="13" t="inlineStr">
        <is>
          <t>管理費收入 114年度Q3</t>
        </is>
      </c>
      <c r="E598" s="104" t="n">
        <v>100690</v>
      </c>
      <c r="F598" s="108" t="inlineStr">
        <is>
          <t>管理費收入</t>
        </is>
      </c>
    </row>
    <row r="599" ht="15" customHeight="1" s="84">
      <c r="A599" s="7" t="inlineStr">
        <is>
          <t>2025-10</t>
        </is>
      </c>
      <c r="B599" s="13" t="inlineStr">
        <is>
          <t>管理費收入</t>
        </is>
      </c>
      <c r="C599" s="7" t="inlineStr">
        <is>
          <t>114年度Q4</t>
        </is>
      </c>
      <c r="D599" s="13" t="inlineStr">
        <is>
          <t>管理費收入 114年度Q4</t>
        </is>
      </c>
      <c r="E599" s="104" t="n">
        <v>2286616</v>
      </c>
      <c r="F599" s="108" t="inlineStr">
        <is>
          <t>管理費收入</t>
        </is>
      </c>
    </row>
    <row r="600" ht="16.5" customHeight="1" s="84">
      <c r="A600" s="7" t="inlineStr">
        <is>
          <t>2025-10</t>
        </is>
      </c>
      <c r="B600" s="13" t="inlineStr">
        <is>
          <t>管委會出席費回存</t>
        </is>
      </c>
      <c r="C600" s="7" t="n"/>
      <c r="D600" s="13" t="inlineStr">
        <is>
          <t>管委會出席費回存</t>
        </is>
      </c>
      <c r="E600" s="104" t="n">
        <v>2500</v>
      </c>
      <c r="F600" s="108" t="inlineStr">
        <is>
          <t>出席費回存</t>
        </is>
      </c>
    </row>
    <row r="601" ht="15" customHeight="1" s="84">
      <c r="A601" s="7" t="inlineStr">
        <is>
          <t>2025-10</t>
        </is>
      </c>
      <c r="B601" s="13" t="inlineStr">
        <is>
          <t>公設收入</t>
        </is>
      </c>
      <c r="C601" s="7" t="n"/>
      <c r="D601" s="13" t="inlineStr">
        <is>
          <t>公設收入</t>
        </is>
      </c>
      <c r="E601" s="104" t="n">
        <v>8100</v>
      </c>
      <c r="F601" s="108" t="inlineStr">
        <is>
          <t>公設收入</t>
        </is>
      </c>
    </row>
    <row r="602" ht="15" customHeight="1" s="84">
      <c r="A602" s="7" t="inlineStr">
        <is>
          <t>2025-11</t>
        </is>
      </c>
      <c r="B602" s="13" t="inlineStr">
        <is>
          <t>元大活期利息</t>
        </is>
      </c>
      <c r="C602" s="7" t="n"/>
      <c r="D602" s="13" t="inlineStr">
        <is>
          <t>元大活期利息</t>
        </is>
      </c>
      <c r="E602" s="104" t="n">
        <v>1706</v>
      </c>
      <c r="F602" s="108" t="inlineStr">
        <is>
          <t>利息收入</t>
        </is>
      </c>
    </row>
    <row r="603" ht="16.5" customHeight="1" s="84">
      <c r="A603" s="7" t="inlineStr">
        <is>
          <t>2025-11</t>
        </is>
      </c>
      <c r="B603" s="13" t="inlineStr">
        <is>
          <t>台銀活期利息</t>
        </is>
      </c>
      <c r="C603" s="7" t="n"/>
      <c r="D603" s="13" t="inlineStr">
        <is>
          <t>台銀活期利息</t>
        </is>
      </c>
      <c r="E603" s="104" t="n">
        <v>5632</v>
      </c>
      <c r="F603" s="108" t="inlineStr">
        <is>
          <t>利息收入</t>
        </is>
      </c>
    </row>
    <row r="604" ht="16.5" customHeight="1" s="84">
      <c r="A604" s="7" t="inlineStr">
        <is>
          <t>2025-11</t>
        </is>
      </c>
      <c r="B604" s="13" t="inlineStr">
        <is>
          <t>管理費收入</t>
        </is>
      </c>
      <c r="C604" s="7" t="inlineStr">
        <is>
          <t>114年度Q1</t>
        </is>
      </c>
      <c r="D604" s="13" t="inlineStr">
        <is>
          <t>管理費收入 114年度Q1</t>
        </is>
      </c>
      <c r="E604" s="104" t="n">
        <v>31217</v>
      </c>
      <c r="F604" s="108" t="inlineStr">
        <is>
          <t>管理費收入</t>
        </is>
      </c>
    </row>
    <row r="605" ht="15" customHeight="1" s="84">
      <c r="A605" s="7" t="inlineStr">
        <is>
          <t>2025-11</t>
        </is>
      </c>
      <c r="B605" s="13" t="inlineStr">
        <is>
          <t>管理費收入</t>
        </is>
      </c>
      <c r="C605" s="7" t="inlineStr">
        <is>
          <t>114年度Q2</t>
        </is>
      </c>
      <c r="D605" s="13" t="inlineStr">
        <is>
          <t>管理費收入 114年度Q2</t>
        </is>
      </c>
      <c r="E605" s="104" t="n">
        <v>36558</v>
      </c>
      <c r="F605" s="108" t="inlineStr">
        <is>
          <t>管理費收入</t>
        </is>
      </c>
    </row>
    <row r="606" ht="15" customHeight="1" s="84">
      <c r="A606" s="7" t="inlineStr">
        <is>
          <t>2025-11</t>
        </is>
      </c>
      <c r="B606" s="13" t="inlineStr">
        <is>
          <t>管理費收入</t>
        </is>
      </c>
      <c r="C606" s="7" t="inlineStr">
        <is>
          <t>114年度Q3</t>
        </is>
      </c>
      <c r="D606" s="13" t="inlineStr">
        <is>
          <t>管理費收入 114年度Q3</t>
        </is>
      </c>
      <c r="E606" s="104" t="n">
        <v>48174</v>
      </c>
      <c r="F606" s="108" t="inlineStr">
        <is>
          <t>管理費收入</t>
        </is>
      </c>
    </row>
    <row r="607" ht="16.5" customHeight="1" s="84">
      <c r="A607" s="7" t="inlineStr">
        <is>
          <t>2025-11</t>
        </is>
      </c>
      <c r="B607" s="13" t="inlineStr">
        <is>
          <t>管理費收入</t>
        </is>
      </c>
      <c r="C607" s="7" t="inlineStr">
        <is>
          <t>114年度Q4</t>
        </is>
      </c>
      <c r="D607" s="13" t="inlineStr">
        <is>
          <t>管理費收入 114年度Q4</t>
        </is>
      </c>
      <c r="E607" s="104" t="n">
        <v>1341381</v>
      </c>
      <c r="F607" s="108" t="inlineStr">
        <is>
          <t>管理費收入</t>
        </is>
      </c>
    </row>
    <row r="608" ht="16.5" customHeight="1" s="84">
      <c r="A608" s="7" t="inlineStr">
        <is>
          <t>2025-11</t>
        </is>
      </c>
      <c r="B608" s="13" t="inlineStr">
        <is>
          <t>管委會出席費回存</t>
        </is>
      </c>
      <c r="C608" s="7" t="n"/>
      <c r="D608" s="13" t="inlineStr">
        <is>
          <t>管委會出席費回存</t>
        </is>
      </c>
      <c r="E608" s="104" t="n">
        <v>2500</v>
      </c>
      <c r="F608" s="108" t="inlineStr">
        <is>
          <t>出席費回存</t>
        </is>
      </c>
    </row>
    <row r="609" ht="16.5" customHeight="1" s="84">
      <c r="A609" s="7" t="inlineStr">
        <is>
          <t>2025-11</t>
        </is>
      </c>
      <c r="B609" s="13" t="inlineStr">
        <is>
          <t>公設收入</t>
        </is>
      </c>
      <c r="C609" s="7" t="n"/>
      <c r="D609" s="13" t="inlineStr">
        <is>
          <t>公設收入</t>
        </is>
      </c>
      <c r="E609" s="104" t="n">
        <v>10720</v>
      </c>
      <c r="F609" s="108" t="inlineStr">
        <is>
          <t>公設收入</t>
        </is>
      </c>
    </row>
    <row r="610" ht="16.5" customHeight="1" s="84">
      <c r="A610" s="7" t="inlineStr">
        <is>
          <t>2025-11</t>
        </is>
      </c>
      <c r="B610" s="7" t="inlineStr">
        <is>
          <t>K4 裝潢保證金</t>
        </is>
      </c>
      <c r="C610" s="7" t="n"/>
      <c r="D610" s="7" t="inlineStr">
        <is>
          <t>K4 裝潢保證金</t>
        </is>
      </c>
      <c r="E610" s="104" t="n">
        <v>20000</v>
      </c>
      <c r="F610" s="108" t="inlineStr">
        <is>
          <t>暫收款進</t>
        </is>
      </c>
    </row>
    <row r="611" ht="16.5" customHeight="1" s="84">
      <c r="A611" s="15" t="inlineStr">
        <is>
          <t>2025-11</t>
        </is>
      </c>
      <c r="B611" s="16" t="inlineStr">
        <is>
          <t>工程修繕費</t>
        </is>
      </c>
      <c r="C611" s="15" t="n"/>
      <c r="D611" s="16" t="inlineStr">
        <is>
          <t>工程修繕費</t>
        </is>
      </c>
      <c r="E611" s="109" t="n">
        <v>21370</v>
      </c>
      <c r="F611" s="110" t="inlineStr">
        <is>
          <t>其他收入</t>
        </is>
      </c>
    </row>
    <row r="612" ht="16.5" customHeight="1" s="84">
      <c r="A612" s="15" t="inlineStr">
        <is>
          <t>2025-11</t>
        </is>
      </c>
      <c r="B612" s="16" t="inlineStr">
        <is>
          <t>陽台鋁板修繕費</t>
        </is>
      </c>
      <c r="C612" s="15" t="n"/>
      <c r="D612" s="16" t="inlineStr">
        <is>
          <t>陽台鋁板修繕費</t>
        </is>
      </c>
      <c r="E612" s="109" t="n">
        <v>140000</v>
      </c>
      <c r="F612" s="110" t="inlineStr">
        <is>
          <t>其他收入</t>
        </is>
      </c>
    </row>
    <row r="613" ht="15" customHeight="1" s="84">
      <c r="A613" s="7" t="inlineStr">
        <is>
          <t>2025-11</t>
        </is>
      </c>
      <c r="B613" s="7" t="inlineStr">
        <is>
          <t>G5 裝潢保證金</t>
        </is>
      </c>
      <c r="C613" s="7" t="n"/>
      <c r="D613" s="7" t="inlineStr">
        <is>
          <t>G5 裝潢保證金</t>
        </is>
      </c>
      <c r="E613" s="104" t="n">
        <v>20000</v>
      </c>
      <c r="F613" s="108" t="inlineStr">
        <is>
          <t>暫收款進</t>
        </is>
      </c>
    </row>
    <row r="614" ht="15" customHeight="1" s="84">
      <c r="A614" s="7" t="inlineStr">
        <is>
          <t>2025-11</t>
        </is>
      </c>
      <c r="B614" s="7" t="inlineStr">
        <is>
          <t>J15 裝潢保證金</t>
        </is>
      </c>
      <c r="C614" s="7" t="n"/>
      <c r="D614" s="7" t="inlineStr">
        <is>
          <t>J15 裝潢保證金</t>
        </is>
      </c>
      <c r="E614" s="104" t="n">
        <v>20000</v>
      </c>
      <c r="F614" s="108" t="inlineStr">
        <is>
          <t>暫收款進</t>
        </is>
      </c>
    </row>
    <row r="615" ht="15" customHeight="1" s="84">
      <c r="A615" s="7" t="inlineStr">
        <is>
          <t>2025-12</t>
        </is>
      </c>
      <c r="B615" s="13" t="inlineStr">
        <is>
          <t>元大活期利息</t>
        </is>
      </c>
      <c r="C615" s="7" t="n"/>
      <c r="D615" s="13" t="inlineStr">
        <is>
          <t>元大活期利息</t>
        </is>
      </c>
      <c r="E615" s="104" t="n">
        <v>1523</v>
      </c>
      <c r="F615" s="108" t="inlineStr">
        <is>
          <t>利息收入</t>
        </is>
      </c>
    </row>
    <row r="616" ht="15" customHeight="1" s="84">
      <c r="A616" s="7" t="inlineStr">
        <is>
          <t>2025-12</t>
        </is>
      </c>
      <c r="B616" s="13" t="inlineStr">
        <is>
          <t>台銀活期利息</t>
        </is>
      </c>
      <c r="C616" s="7" t="n"/>
      <c r="D616" s="13" t="inlineStr">
        <is>
          <t>台銀活期利息</t>
        </is>
      </c>
      <c r="E616" s="104" t="n">
        <v>13417</v>
      </c>
      <c r="F616" s="108" t="inlineStr">
        <is>
          <t>利息收入</t>
        </is>
      </c>
    </row>
    <row r="617" ht="15" customHeight="1" s="84">
      <c r="A617" s="7" t="inlineStr">
        <is>
          <t>2025-12</t>
        </is>
      </c>
      <c r="B617" s="13" t="inlineStr">
        <is>
          <t>管理費收入</t>
        </is>
      </c>
      <c r="C617" s="7" t="inlineStr">
        <is>
          <t>113年度Q4</t>
        </is>
      </c>
      <c r="D617" s="13" t="inlineStr">
        <is>
          <t>管理費收入 113年度Q4</t>
        </is>
      </c>
      <c r="E617" s="104" t="n">
        <v>8025</v>
      </c>
      <c r="F617" s="108" t="inlineStr">
        <is>
          <t>管理費收入</t>
        </is>
      </c>
    </row>
    <row r="618" ht="15" customHeight="1" s="84">
      <c r="A618" s="7" t="inlineStr">
        <is>
          <t>2025-12</t>
        </is>
      </c>
      <c r="B618" s="13" t="inlineStr">
        <is>
          <t>管理費收入</t>
        </is>
      </c>
      <c r="C618" s="7" t="inlineStr">
        <is>
          <t>114年度Q1</t>
        </is>
      </c>
      <c r="D618" s="13" t="inlineStr">
        <is>
          <t>管理費收入 114年度Q1</t>
        </is>
      </c>
      <c r="E618" s="104" t="n">
        <v>83403</v>
      </c>
      <c r="F618" s="108" t="inlineStr">
        <is>
          <t>管理費收入</t>
        </is>
      </c>
    </row>
    <row r="619" ht="15" customHeight="1" s="84">
      <c r="A619" s="7" t="inlineStr">
        <is>
          <t>2025-12</t>
        </is>
      </c>
      <c r="B619" s="13" t="inlineStr">
        <is>
          <t>管理費收入</t>
        </is>
      </c>
      <c r="C619" s="7" t="inlineStr">
        <is>
          <t>114年度Q2</t>
        </is>
      </c>
      <c r="D619" s="13" t="inlineStr">
        <is>
          <t>管理費收入 114年度Q2</t>
        </is>
      </c>
      <c r="E619" s="104" t="n">
        <v>37809</v>
      </c>
      <c r="F619" s="108" t="inlineStr">
        <is>
          <t>管理費收入</t>
        </is>
      </c>
    </row>
    <row r="620" ht="16.5" customHeight="1" s="84">
      <c r="A620" s="7" t="inlineStr">
        <is>
          <t>2025-12</t>
        </is>
      </c>
      <c r="B620" s="13" t="inlineStr">
        <is>
          <t>管理費收入</t>
        </is>
      </c>
      <c r="C620" s="7" t="inlineStr">
        <is>
          <t>114年度Q3</t>
        </is>
      </c>
      <c r="D620" s="13" t="inlineStr">
        <is>
          <t>管理費收入 114年度Q3</t>
        </is>
      </c>
      <c r="E620" s="104" t="n">
        <v>161212</v>
      </c>
      <c r="F620" s="108" t="inlineStr">
        <is>
          <t>管理費收入</t>
        </is>
      </c>
    </row>
    <row r="621" ht="16.5" customHeight="1" s="84">
      <c r="A621" s="7" t="inlineStr">
        <is>
          <t>2025-12</t>
        </is>
      </c>
      <c r="B621" s="13" t="inlineStr">
        <is>
          <t>管理費收入</t>
        </is>
      </c>
      <c r="C621" s="7" t="inlineStr">
        <is>
          <t>114年度Q4</t>
        </is>
      </c>
      <c r="D621" s="13" t="inlineStr">
        <is>
          <t>管理費收入 114年度Q4</t>
        </is>
      </c>
      <c r="E621" s="104" t="n">
        <v>966677</v>
      </c>
      <c r="F621" s="108" t="inlineStr">
        <is>
          <t>管理費收入</t>
        </is>
      </c>
    </row>
    <row r="622" ht="16.5" customHeight="1" s="84">
      <c r="A622" s="7" t="inlineStr">
        <is>
          <t>2025-12</t>
        </is>
      </c>
      <c r="B622" s="7" t="inlineStr">
        <is>
          <t>P12裝潢保證金</t>
        </is>
      </c>
      <c r="C622" s="7" t="n"/>
      <c r="D622" s="7" t="inlineStr">
        <is>
          <t>P12裝潢保證金</t>
        </is>
      </c>
      <c r="E622" s="104" t="n">
        <v>20000</v>
      </c>
      <c r="F622" s="108" t="inlineStr">
        <is>
          <t>暫收款進</t>
        </is>
      </c>
    </row>
    <row r="623" ht="16.5" customHeight="1" s="84">
      <c r="A623" s="15" t="inlineStr">
        <is>
          <t>2025-12</t>
        </is>
      </c>
      <c r="B623" s="16" t="inlineStr">
        <is>
          <t>太古意款項重覆匯廠商退回</t>
        </is>
      </c>
      <c r="C623" s="15" t="n"/>
      <c r="D623" s="16" t="inlineStr">
        <is>
          <t>太古意款項重覆匯廠商退回</t>
        </is>
      </c>
      <c r="E623" s="109" t="n">
        <v>16245</v>
      </c>
      <c r="F623" s="110" t="inlineStr">
        <is>
          <t>其他收入</t>
        </is>
      </c>
    </row>
    <row r="624" ht="15" customHeight="1" s="84">
      <c r="A624" s="15" t="inlineStr">
        <is>
          <t>2025-12</t>
        </is>
      </c>
      <c r="B624" s="16" t="inlineStr">
        <is>
          <t>充電樁撥補</t>
        </is>
      </c>
      <c r="C624" s="15" t="n"/>
      <c r="D624" s="16" t="inlineStr">
        <is>
          <t>充電樁撥補</t>
        </is>
      </c>
      <c r="E624" s="109" t="n">
        <v>200000</v>
      </c>
      <c r="F624" s="110" t="inlineStr">
        <is>
          <t>其他收入</t>
        </is>
      </c>
    </row>
    <row r="625" ht="15" customHeight="1" s="84">
      <c r="A625" s="15" t="inlineStr">
        <is>
          <t>2025-12</t>
        </is>
      </c>
      <c r="B625" s="16" t="inlineStr">
        <is>
          <t>榮盛工程行退匯</t>
        </is>
      </c>
      <c r="C625" s="15" t="n"/>
      <c r="D625" s="16" t="inlineStr">
        <is>
          <t>榮盛工程行退匯</t>
        </is>
      </c>
      <c r="E625" s="109" t="n">
        <v>20970</v>
      </c>
      <c r="F625" s="110" t="inlineStr">
        <is>
          <t>其他收入</t>
        </is>
      </c>
    </row>
    <row r="626" ht="16.5" customHeight="1" s="84">
      <c r="A626" s="7" t="inlineStr">
        <is>
          <t>2025-12</t>
        </is>
      </c>
      <c r="B626" s="13" t="inlineStr">
        <is>
          <t>公設收入</t>
        </is>
      </c>
      <c r="C626" s="7" t="n"/>
      <c r="D626" s="13" t="inlineStr">
        <is>
          <t>公設收入</t>
        </is>
      </c>
      <c r="E626" s="104" t="n">
        <v>13220</v>
      </c>
      <c r="F626" s="108" t="inlineStr">
        <is>
          <t>公設收入</t>
        </is>
      </c>
    </row>
    <row r="627" ht="15" customHeight="1" s="84">
      <c r="A627" s="7" t="inlineStr">
        <is>
          <t>2025-12</t>
        </is>
      </c>
      <c r="B627" s="13" t="inlineStr">
        <is>
          <t>管委會出席費回存</t>
        </is>
      </c>
      <c r="C627" s="7" t="n"/>
      <c r="D627" s="13" t="inlineStr">
        <is>
          <t>管委會出席費回存</t>
        </is>
      </c>
      <c r="E627" s="104" t="n">
        <v>3000</v>
      </c>
      <c r="F627" s="108" t="inlineStr">
        <is>
          <t>出席費回存</t>
        </is>
      </c>
    </row>
    <row r="628" ht="15" customHeight="1" s="84">
      <c r="A628" s="7" t="inlineStr">
        <is>
          <t>2026-01</t>
        </is>
      </c>
      <c r="B628" s="13" t="inlineStr">
        <is>
          <t>元大活期利息</t>
        </is>
      </c>
      <c r="C628" s="7" t="n"/>
      <c r="D628" s="13" t="inlineStr">
        <is>
          <t>元大活期利息</t>
        </is>
      </c>
      <c r="E628" s="104" t="n">
        <v>856</v>
      </c>
      <c r="F628" s="108" t="inlineStr">
        <is>
          <t>利息收入</t>
        </is>
      </c>
    </row>
    <row r="629" ht="16.5" customHeight="1" s="84">
      <c r="A629" s="7" t="inlineStr">
        <is>
          <t>2026-01</t>
        </is>
      </c>
      <c r="B629" s="13" t="inlineStr">
        <is>
          <t>台銀活期利息</t>
        </is>
      </c>
      <c r="C629" s="7" t="n"/>
      <c r="D629" s="13" t="inlineStr">
        <is>
          <t>台銀活期利息</t>
        </is>
      </c>
      <c r="E629" s="104" t="n">
        <v>5632</v>
      </c>
      <c r="F629" s="108" t="inlineStr">
        <is>
          <t>利息收入</t>
        </is>
      </c>
    </row>
    <row r="630" ht="16.5" customHeight="1" s="84">
      <c r="A630" s="7" t="inlineStr">
        <is>
          <t>2026-01</t>
        </is>
      </c>
      <c r="B630" s="13" t="inlineStr">
        <is>
          <t>管理費收入</t>
        </is>
      </c>
      <c r="C630" s="7" t="inlineStr">
        <is>
          <t>114年度Q2</t>
        </is>
      </c>
      <c r="D630" s="13" t="inlineStr">
        <is>
          <t>管理費收入 114年度Q2</t>
        </is>
      </c>
      <c r="E630" s="104" t="n">
        <v>8064</v>
      </c>
      <c r="F630" s="108" t="inlineStr">
        <is>
          <t>管理費收入</t>
        </is>
      </c>
    </row>
    <row r="631" ht="16.5" customHeight="1" s="84">
      <c r="A631" s="7" t="inlineStr">
        <is>
          <t>2026-01</t>
        </is>
      </c>
      <c r="B631" s="13" t="inlineStr">
        <is>
          <t>管理費收入</t>
        </is>
      </c>
      <c r="C631" s="7" t="inlineStr">
        <is>
          <t>114年度Q3</t>
        </is>
      </c>
      <c r="D631" s="13" t="inlineStr">
        <is>
          <t>管理費收入 114年度Q3</t>
        </is>
      </c>
      <c r="E631" s="104" t="n">
        <v>103389</v>
      </c>
      <c r="F631" s="108" t="inlineStr">
        <is>
          <t>管理費收入</t>
        </is>
      </c>
    </row>
    <row r="632" ht="16.5" customHeight="1" s="84">
      <c r="A632" s="7" t="inlineStr">
        <is>
          <t>2026-01</t>
        </is>
      </c>
      <c r="B632" s="13" t="inlineStr">
        <is>
          <t>管理費收入</t>
        </is>
      </c>
      <c r="C632" s="7" t="inlineStr">
        <is>
          <t>114年度Q4</t>
        </is>
      </c>
      <c r="D632" s="13" t="inlineStr">
        <is>
          <t>管理費收入 114年度Q4</t>
        </is>
      </c>
      <c r="E632" s="104" t="n">
        <v>177124</v>
      </c>
      <c r="F632" s="108" t="inlineStr">
        <is>
          <t>管理費收入</t>
        </is>
      </c>
    </row>
    <row r="633" ht="15" customHeight="1" s="84">
      <c r="A633" s="7" t="inlineStr">
        <is>
          <t>2026-01</t>
        </is>
      </c>
      <c r="B633" s="13" t="inlineStr">
        <is>
          <t>管理費收入</t>
        </is>
      </c>
      <c r="C633" s="7" t="inlineStr">
        <is>
          <t>115年度Q1</t>
        </is>
      </c>
      <c r="D633" s="13" t="inlineStr">
        <is>
          <t>管理費收入 115年度Q1</t>
        </is>
      </c>
      <c r="E633" s="104" t="n">
        <v>2588589</v>
      </c>
      <c r="F633" s="108" t="inlineStr">
        <is>
          <t>管理費收入</t>
        </is>
      </c>
    </row>
    <row r="634" ht="15" customHeight="1" s="84">
      <c r="A634" s="7" t="inlineStr">
        <is>
          <t>2026-01</t>
        </is>
      </c>
      <c r="B634" s="13" t="inlineStr">
        <is>
          <t>管委會出席費回存</t>
        </is>
      </c>
      <c r="C634" s="7" t="n"/>
      <c r="D634" s="13" t="inlineStr">
        <is>
          <t>管委會出席費回存</t>
        </is>
      </c>
      <c r="E634" s="104" t="n">
        <v>1500</v>
      </c>
      <c r="F634" s="108" t="inlineStr">
        <is>
          <t>出席費回存</t>
        </is>
      </c>
    </row>
    <row r="635" ht="15" customHeight="1" s="84">
      <c r="A635" s="7" t="inlineStr">
        <is>
          <t>2026-01</t>
        </is>
      </c>
      <c r="B635" s="13" t="inlineStr">
        <is>
          <t>公設收入</t>
        </is>
      </c>
      <c r="C635" s="7" t="n"/>
      <c r="D635" s="13" t="inlineStr">
        <is>
          <t>公設收入</t>
        </is>
      </c>
      <c r="E635" s="104" t="n">
        <v>11340</v>
      </c>
      <c r="F635" s="108" t="inlineStr">
        <is>
          <t>公設收入</t>
        </is>
      </c>
    </row>
    <row r="636" ht="15" customHeight="1" s="84">
      <c r="A636" s="7" t="inlineStr">
        <is>
          <t>2026-01</t>
        </is>
      </c>
      <c r="B636" s="7" t="inlineStr">
        <is>
          <t>L8裝潢保證金</t>
        </is>
      </c>
      <c r="C636" s="7" t="n"/>
      <c r="D636" s="7" t="inlineStr">
        <is>
          <t>L8裝潢保證金</t>
        </is>
      </c>
      <c r="E636" s="104" t="n">
        <v>20000</v>
      </c>
      <c r="F636" s="108" t="inlineStr">
        <is>
          <t>暫收款進</t>
        </is>
      </c>
    </row>
    <row r="637" ht="15" customHeight="1" s="84">
      <c r="A637" s="7" t="inlineStr">
        <is>
          <t>2026-02</t>
        </is>
      </c>
      <c r="B637" s="13" t="inlineStr">
        <is>
          <t>元大活期利息</t>
        </is>
      </c>
      <c r="C637" s="7" t="n"/>
      <c r="D637" s="13" t="inlineStr">
        <is>
          <t>元大活期利息</t>
        </is>
      </c>
      <c r="E637" s="104" t="n">
        <v>1357</v>
      </c>
      <c r="F637" s="108" t="inlineStr">
        <is>
          <t>利息收入</t>
        </is>
      </c>
    </row>
    <row r="638" ht="16.5" customHeight="1" s="84">
      <c r="A638" s="7" t="inlineStr">
        <is>
          <t>2026-02</t>
        </is>
      </c>
      <c r="B638" s="13" t="inlineStr">
        <is>
          <t>台銀活期利息</t>
        </is>
      </c>
      <c r="C638" s="7" t="n"/>
      <c r="D638" s="13" t="inlineStr">
        <is>
          <t>台銀活期利息</t>
        </is>
      </c>
      <c r="E638" s="104" t="n">
        <v>5632</v>
      </c>
      <c r="F638" s="108" t="inlineStr">
        <is>
          <t>利息收入</t>
        </is>
      </c>
    </row>
    <row r="639" ht="16.5" customHeight="1" s="84">
      <c r="A639" s="7" t="inlineStr">
        <is>
          <t>2026-02</t>
        </is>
      </c>
      <c r="B639" s="13" t="inlineStr">
        <is>
          <t>管理費收入</t>
        </is>
      </c>
      <c r="C639" s="7" t="inlineStr">
        <is>
          <t>114年度Q2</t>
        </is>
      </c>
      <c r="D639" s="13" t="inlineStr">
        <is>
          <t>管理費收入 114年度Q2</t>
        </is>
      </c>
      <c r="E639" s="104" t="n">
        <v>44301</v>
      </c>
      <c r="F639" s="108" t="inlineStr">
        <is>
          <t>管理費收入</t>
        </is>
      </c>
    </row>
    <row r="640" ht="16.5" customHeight="1" s="84">
      <c r="A640" s="7" t="inlineStr">
        <is>
          <t>2026-02</t>
        </is>
      </c>
      <c r="B640" s="13" t="inlineStr">
        <is>
          <t>管理費收入</t>
        </is>
      </c>
      <c r="C640" s="7" t="inlineStr">
        <is>
          <t>114年度Q3</t>
        </is>
      </c>
      <c r="D640" s="13" t="inlineStr">
        <is>
          <t>管理費收入 114年度Q3</t>
        </is>
      </c>
      <c r="E640" s="104" t="n">
        <v>73946</v>
      </c>
      <c r="F640" s="108" t="inlineStr">
        <is>
          <t>管理費收入</t>
        </is>
      </c>
    </row>
    <row r="641" ht="16.5" customHeight="1" s="84">
      <c r="A641" s="7" t="inlineStr">
        <is>
          <t>2026-02</t>
        </is>
      </c>
      <c r="B641" s="13" t="inlineStr">
        <is>
          <t>管理費收入</t>
        </is>
      </c>
      <c r="C641" s="7" t="inlineStr">
        <is>
          <t>114年度Q4</t>
        </is>
      </c>
      <c r="D641" s="13" t="inlineStr">
        <is>
          <t>管理費收入 114年度Q4</t>
        </is>
      </c>
      <c r="E641" s="104" t="n">
        <v>117339</v>
      </c>
      <c r="F641" s="108" t="inlineStr">
        <is>
          <t>管理費收入</t>
        </is>
      </c>
    </row>
    <row r="642" ht="16.5" customHeight="1" s="84">
      <c r="A642" s="7" t="inlineStr">
        <is>
          <t>2026-02</t>
        </is>
      </c>
      <c r="B642" s="13" t="inlineStr">
        <is>
          <t>管理費收入</t>
        </is>
      </c>
      <c r="C642" s="7" t="inlineStr">
        <is>
          <t>115年度Q1</t>
        </is>
      </c>
      <c r="D642" s="13" t="inlineStr">
        <is>
          <t>管理費收入 115年度Q1</t>
        </is>
      </c>
      <c r="E642" s="104" t="n">
        <v>999156</v>
      </c>
      <c r="F642" s="108" t="inlineStr">
        <is>
          <t>管理費收入</t>
        </is>
      </c>
    </row>
    <row r="643" ht="16.5" customHeight="1" s="84">
      <c r="A643" s="7" t="inlineStr">
        <is>
          <t>2026-02</t>
        </is>
      </c>
      <c r="B643" s="13" t="inlineStr">
        <is>
          <t>管委會出席費回存</t>
        </is>
      </c>
      <c r="C643" s="7" t="n"/>
      <c r="D643" s="13" t="inlineStr">
        <is>
          <t>管委會出席費回存</t>
        </is>
      </c>
      <c r="E643" s="104" t="n">
        <v>0</v>
      </c>
      <c r="F643" s="108" t="inlineStr">
        <is>
          <t>出席費回存</t>
        </is>
      </c>
    </row>
    <row r="644" ht="15" customHeight="1" s="84">
      <c r="A644" s="7" t="inlineStr">
        <is>
          <t>2026-02</t>
        </is>
      </c>
      <c r="B644" s="13" t="inlineStr">
        <is>
          <t>公設收入</t>
        </is>
      </c>
      <c r="C644" s="7" t="n"/>
      <c r="D644" s="13" t="inlineStr">
        <is>
          <t>公設收入</t>
        </is>
      </c>
      <c r="E644" s="104" t="n">
        <v>6520</v>
      </c>
      <c r="F644" s="108" t="inlineStr">
        <is>
          <t>公設收入</t>
        </is>
      </c>
    </row>
    <row r="645" ht="15" customHeight="1" s="84">
      <c r="A645" s="19" t="inlineStr">
        <is>
          <t>2026-02</t>
        </is>
      </c>
      <c r="B645" s="20" t="inlineStr">
        <is>
          <t>充電樁回補</t>
        </is>
      </c>
      <c r="C645" s="19" t="n"/>
      <c r="D645" s="20" t="inlineStr">
        <is>
          <t>充電樁回補</t>
        </is>
      </c>
      <c r="E645" s="111" t="n">
        <v>50000</v>
      </c>
      <c r="F645" s="112" t="inlineStr">
        <is>
          <t>內部轉帳</t>
        </is>
      </c>
    </row>
    <row r="646" ht="16.5" customHeight="1" s="84">
      <c r="A646" s="7" t="inlineStr">
        <is>
          <t>2026-03</t>
        </is>
      </c>
      <c r="B646" s="13" t="inlineStr">
        <is>
          <t>元大活期利息</t>
        </is>
      </c>
      <c r="C646" s="7" t="n"/>
      <c r="D646" s="13" t="inlineStr">
        <is>
          <t>元大活期利息</t>
        </is>
      </c>
      <c r="E646" s="104" t="n">
        <v>1567</v>
      </c>
      <c r="F646" s="108" t="inlineStr">
        <is>
          <t>利息收入</t>
        </is>
      </c>
    </row>
    <row r="647" ht="16.5" customHeight="1" s="84">
      <c r="A647" s="7" t="inlineStr">
        <is>
          <t>2026-03</t>
        </is>
      </c>
      <c r="B647" s="13" t="inlineStr">
        <is>
          <t>台銀活期利息</t>
        </is>
      </c>
      <c r="C647" s="7" t="n"/>
      <c r="D647" s="13" t="inlineStr">
        <is>
          <t>台銀活期利息</t>
        </is>
      </c>
      <c r="E647" s="104" t="n">
        <v>5632</v>
      </c>
      <c r="F647" s="108" t="inlineStr">
        <is>
          <t>利息收入</t>
        </is>
      </c>
    </row>
    <row r="648" ht="15" customHeight="1" s="84">
      <c r="A648" s="7" t="inlineStr">
        <is>
          <t>2026-03</t>
        </is>
      </c>
      <c r="B648" s="13" t="inlineStr">
        <is>
          <t>管理費收入</t>
        </is>
      </c>
      <c r="C648" s="7" t="inlineStr">
        <is>
          <t>114年度Q2</t>
        </is>
      </c>
      <c r="D648" s="13" t="inlineStr">
        <is>
          <t>管理費收入 114年度Q2</t>
        </is>
      </c>
      <c r="E648" s="104" t="n">
        <v>34316</v>
      </c>
      <c r="F648" s="108" t="inlineStr">
        <is>
          <t>管理費收入</t>
        </is>
      </c>
    </row>
    <row r="649" ht="15" customHeight="1" s="84">
      <c r="A649" s="7" t="inlineStr">
        <is>
          <t>2026-03</t>
        </is>
      </c>
      <c r="B649" s="13" t="inlineStr">
        <is>
          <t>管理費收入</t>
        </is>
      </c>
      <c r="C649" s="7" t="inlineStr">
        <is>
          <t>114年度Q3</t>
        </is>
      </c>
      <c r="D649" s="13" t="inlineStr">
        <is>
          <t>管理費收入 114年度Q3</t>
        </is>
      </c>
      <c r="E649" s="104" t="n">
        <v>31461</v>
      </c>
      <c r="F649" s="108" t="inlineStr">
        <is>
          <t>管理費收入</t>
        </is>
      </c>
    </row>
    <row r="650" ht="16.5" customHeight="1" s="84">
      <c r="A650" s="7" t="inlineStr">
        <is>
          <t>2026-03</t>
        </is>
      </c>
      <c r="B650" s="13" t="inlineStr">
        <is>
          <t>管理費收入</t>
        </is>
      </c>
      <c r="C650" s="7" t="inlineStr">
        <is>
          <t>114年度Q4</t>
        </is>
      </c>
      <c r="D650" s="13" t="inlineStr">
        <is>
          <t>管理費收入 114年度Q4</t>
        </is>
      </c>
      <c r="E650" s="104" t="n">
        <v>12710</v>
      </c>
      <c r="F650" s="108" t="inlineStr">
        <is>
          <t>管理費收入</t>
        </is>
      </c>
    </row>
    <row r="651" ht="16.5" customHeight="1" s="84">
      <c r="A651" s="7" t="inlineStr">
        <is>
          <t>2026-03</t>
        </is>
      </c>
      <c r="B651" s="13" t="inlineStr">
        <is>
          <t>管理費收入</t>
        </is>
      </c>
      <c r="C651" s="7" t="inlineStr">
        <is>
          <t>115年度Q1</t>
        </is>
      </c>
      <c r="D651" s="13" t="inlineStr">
        <is>
          <t>管理費收入 115年度Q1</t>
        </is>
      </c>
      <c r="E651" s="104" t="n">
        <v>1237884</v>
      </c>
      <c r="F651" s="108" t="inlineStr">
        <is>
          <t>管理費收入</t>
        </is>
      </c>
    </row>
    <row r="652" ht="16.5" customHeight="1" s="84">
      <c r="A652" s="7" t="inlineStr">
        <is>
          <t>2026-03</t>
        </is>
      </c>
      <c r="B652" s="13" t="inlineStr">
        <is>
          <t>管委會出席費回存(二月)</t>
        </is>
      </c>
      <c r="C652" s="7" t="n"/>
      <c r="D652" s="13" t="inlineStr">
        <is>
          <t>管委會出席費回存(二月)</t>
        </is>
      </c>
      <c r="E652" s="104" t="n">
        <v>2500</v>
      </c>
      <c r="F652" s="108" t="inlineStr">
        <is>
          <t>出席費回存</t>
        </is>
      </c>
    </row>
    <row r="653" ht="16.5" customHeight="1" s="84">
      <c r="A653" s="7" t="inlineStr">
        <is>
          <t>2026-03</t>
        </is>
      </c>
      <c r="B653" s="13" t="inlineStr">
        <is>
          <t>管委會出席費回存(三月)</t>
        </is>
      </c>
      <c r="C653" s="7" t="n"/>
      <c r="D653" s="13" t="inlineStr">
        <is>
          <t>管委會出席費回存(三月)</t>
        </is>
      </c>
      <c r="E653" s="104" t="n">
        <v>500</v>
      </c>
      <c r="F653" s="108" t="inlineStr">
        <is>
          <t>出席費回存</t>
        </is>
      </c>
    </row>
    <row r="654" ht="15" customHeight="1" s="84">
      <c r="A654" s="7" t="inlineStr">
        <is>
          <t>2026-03</t>
        </is>
      </c>
      <c r="B654" s="13" t="inlineStr">
        <is>
          <t>公設收入</t>
        </is>
      </c>
      <c r="C654" s="7" t="n"/>
      <c r="D654" s="13" t="inlineStr">
        <is>
          <t>公設收入</t>
        </is>
      </c>
      <c r="E654" s="104" t="n">
        <v>11560</v>
      </c>
      <c r="F654" s="108" t="inlineStr">
        <is>
          <t>公設收入</t>
        </is>
      </c>
    </row>
    <row r="655" ht="15" customHeight="1" s="84">
      <c r="A655" s="19" t="inlineStr">
        <is>
          <t>2026-03</t>
        </is>
      </c>
      <c r="B655" s="20" t="inlineStr">
        <is>
          <t>崇友回補</t>
        </is>
      </c>
      <c r="C655" s="19" t="n"/>
      <c r="D655" s="20" t="inlineStr">
        <is>
          <t>崇友回補</t>
        </is>
      </c>
      <c r="E655" s="111" t="n">
        <v>36</v>
      </c>
      <c r="F655" s="112" t="inlineStr">
        <is>
          <t>內部轉帳</t>
        </is>
      </c>
    </row>
    <row r="656" ht="15" customHeight="1" s="84">
      <c r="A656" s="7" t="inlineStr">
        <is>
          <t>2026-03</t>
        </is>
      </c>
      <c r="B656" s="13" t="inlineStr">
        <is>
          <t>區權會廠商贊助</t>
        </is>
      </c>
      <c r="C656" s="7" t="n"/>
      <c r="D656" s="13" t="inlineStr">
        <is>
          <t>區權會廠商贊助</t>
        </is>
      </c>
      <c r="E656" s="104" t="n">
        <v>3000</v>
      </c>
      <c r="F656" s="108" t="inlineStr">
        <is>
          <t>贊助/活動</t>
        </is>
      </c>
    </row>
    <row r="657" ht="16.5" customHeight="1" s="84">
      <c r="A657" s="7" t="inlineStr">
        <is>
          <t>2026-03</t>
        </is>
      </c>
      <c r="B657" s="13" t="inlineStr">
        <is>
          <t>元宵節活動費回存</t>
        </is>
      </c>
      <c r="C657" s="7" t="n"/>
      <c r="D657" s="13" t="inlineStr">
        <is>
          <t>元宵節活動費回存</t>
        </is>
      </c>
      <c r="E657" s="104" t="n">
        <v>12095</v>
      </c>
      <c r="F657" s="108" t="inlineStr">
        <is>
          <t>贊助/活動</t>
        </is>
      </c>
    </row>
    <row r="658" ht="15" customHeight="1" s="84">
      <c r="A658" s="7" t="inlineStr">
        <is>
          <t>2026-04</t>
        </is>
      </c>
      <c r="B658" s="13" t="inlineStr">
        <is>
          <t>元大活期利息</t>
        </is>
      </c>
      <c r="C658" s="7" t="n"/>
      <c r="D658" s="13" t="inlineStr">
        <is>
          <t>元大活期利息</t>
        </is>
      </c>
      <c r="E658" s="104" t="n">
        <v>669</v>
      </c>
      <c r="F658" s="108" t="inlineStr">
        <is>
          <t>利息收入</t>
        </is>
      </c>
    </row>
    <row r="659">
      <c r="A659" s="7" t="inlineStr">
        <is>
          <t>2026-04</t>
        </is>
      </c>
      <c r="B659" s="13" t="inlineStr">
        <is>
          <t>台銀活期利息</t>
        </is>
      </c>
      <c r="C659" s="7" t="n"/>
      <c r="D659" s="13" t="inlineStr">
        <is>
          <t>台銀活期利息</t>
        </is>
      </c>
      <c r="E659" s="104" t="n">
        <v>5632</v>
      </c>
      <c r="F659" s="108" t="inlineStr">
        <is>
          <t>利息收入</t>
        </is>
      </c>
    </row>
    <row r="660" ht="15" customHeight="1" s="84">
      <c r="A660" s="7" t="inlineStr">
        <is>
          <t>2026-04</t>
        </is>
      </c>
      <c r="B660" s="92" t="n"/>
      <c r="C660" s="92" t="n"/>
      <c r="D660" s="92" t="n"/>
      <c r="E660" s="92" t="n"/>
      <c r="F660" s="93" t="n"/>
    </row>
    <row r="661" ht="15" customHeight="1" s="84">
      <c r="A661" s="7" t="inlineStr">
        <is>
          <t>2026-04</t>
        </is>
      </c>
      <c r="B661" s="92" t="n"/>
      <c r="C661" s="92" t="n"/>
      <c r="D661" s="92" t="n"/>
      <c r="E661" s="92" t="n"/>
      <c r="F661" s="93" t="n"/>
    </row>
    <row r="662">
      <c r="A662" s="7" t="inlineStr">
        <is>
          <t>2026-04</t>
        </is>
      </c>
      <c r="B662" s="13" t="inlineStr">
        <is>
          <t>管理費收入</t>
        </is>
      </c>
      <c r="C662" s="7" t="inlineStr">
        <is>
          <t>115年度Q2</t>
        </is>
      </c>
      <c r="D662" s="13" t="inlineStr">
        <is>
          <t>管理費收入 115年度Q2</t>
        </is>
      </c>
      <c r="E662" s="104" t="n">
        <v>3059512</v>
      </c>
      <c r="F662" s="108" t="inlineStr">
        <is>
          <t>管理費收入</t>
        </is>
      </c>
    </row>
    <row r="663">
      <c r="A663" s="7" t="inlineStr">
        <is>
          <t>2026-04</t>
        </is>
      </c>
      <c r="B663" s="13" t="inlineStr">
        <is>
          <t>管委會出席費回存(四月)</t>
        </is>
      </c>
      <c r="C663" s="7" t="n"/>
      <c r="D663" s="13" t="inlineStr">
        <is>
          <t>管委會出席費回存(四月)</t>
        </is>
      </c>
      <c r="E663" s="104" t="n">
        <v>2000</v>
      </c>
      <c r="F663" s="108" t="inlineStr">
        <is>
          <t>出席費回存</t>
        </is>
      </c>
    </row>
    <row r="664">
      <c r="A664" s="7" t="inlineStr">
        <is>
          <t>2026-04</t>
        </is>
      </c>
      <c r="B664" s="13" t="inlineStr">
        <is>
          <t>第十屆管委會出席費退回回存</t>
        </is>
      </c>
      <c r="C664" s="7" t="n"/>
      <c r="D664" s="13" t="inlineStr">
        <is>
          <t>第十屆管委會出席費退回回存</t>
        </is>
      </c>
      <c r="E664" s="104" t="n">
        <v>58500</v>
      </c>
      <c r="F664" s="108" t="inlineStr">
        <is>
          <t>出席費回存</t>
        </is>
      </c>
    </row>
    <row r="665">
      <c r="A665" s="7" t="inlineStr">
        <is>
          <t>2026-04</t>
        </is>
      </c>
      <c r="B665" s="13" t="inlineStr">
        <is>
          <t>公設收入</t>
        </is>
      </c>
      <c r="C665" s="7" t="n"/>
      <c r="D665" s="13" t="inlineStr">
        <is>
          <t>公設收入</t>
        </is>
      </c>
      <c r="E665" s="104" t="n">
        <v>8480</v>
      </c>
      <c r="F665" s="108" t="inlineStr">
        <is>
          <t>公設收入</t>
        </is>
      </c>
    </row>
    <row r="666">
      <c r="A666" s="19" t="inlineStr">
        <is>
          <t>2026-04</t>
        </is>
      </c>
      <c r="B666" s="20" t="inlineStr">
        <is>
          <t>台灣銀行活存轉元大管理費活存</t>
        </is>
      </c>
      <c r="C666" s="19" t="n"/>
      <c r="D666" s="20" t="inlineStr">
        <is>
          <t>台灣銀行活存轉元大管理費活存</t>
        </is>
      </c>
      <c r="E666" s="111" t="n">
        <v>2239346</v>
      </c>
      <c r="F666" s="112" t="inlineStr">
        <is>
          <t>內部轉帳</t>
        </is>
      </c>
    </row>
    <row r="667">
      <c r="A667" s="7" t="inlineStr">
        <is>
          <t>2026-04</t>
        </is>
      </c>
      <c r="B667" s="7" t="inlineStr">
        <is>
          <t>D6裝保金</t>
        </is>
      </c>
      <c r="C667" s="7" t="n"/>
      <c r="D667" s="7" t="inlineStr">
        <is>
          <t>D6裝保金</t>
        </is>
      </c>
      <c r="E667" s="104" t="n">
        <v>20000</v>
      </c>
      <c r="F667" s="108" t="inlineStr">
        <is>
          <t>暫收款進</t>
        </is>
      </c>
    </row>
    <row r="668">
      <c r="A668" s="19" t="inlineStr">
        <is>
          <t>2026-04</t>
        </is>
      </c>
      <c r="B668" s="20" t="inlineStr">
        <is>
          <t>充電樁回補</t>
        </is>
      </c>
      <c r="C668" s="19" t="n"/>
      <c r="D668" s="20" t="inlineStr">
        <is>
          <t>充電樁回補</t>
        </is>
      </c>
      <c r="E668" s="111" t="n">
        <v>50000</v>
      </c>
      <c r="F668" s="112" t="inlineStr">
        <is>
          <t>內部轉帳</t>
        </is>
      </c>
    </row>
    <row r="669"/>
    <row r="670">
      <c r="A670" s="86" t="inlineStr">
        <is>
          <t>📝 「其他」高亮 (黃色背景)：46 項 — 若分類不正確，請告知以調整 regex</t>
        </is>
      </c>
    </row>
    <row r="671">
      <c r="A671" s="86" t="inlineStr">
        <is>
          <t>📝 「內部轉帳」高亮 (藍色背景)：4 項 — 會被 UI toggle「過濾內部轉帳」過濾掉</t>
        </is>
      </c>
    </row>
  </sheetData>
  <mergeCells count="2">
    <mergeCell ref="A660:F660"/>
    <mergeCell ref="A661:F66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1899"/>
  <sheetViews>
    <sheetView zoomScaleNormal="100" workbookViewId="0">
      <pane xSplit="1" ySplit="1" topLeftCell="B1750" activePane="bottomRight" state="frozen"/>
      <selection pane="topRight" activeCell="B1" sqref="B1"/>
      <selection pane="bottomLeft" activeCell="A2" sqref="A2"/>
      <selection pane="bottomRight" activeCell="I1782" sqref="I1782"/>
    </sheetView>
  </sheetViews>
  <sheetFormatPr baseColWidth="10" defaultColWidth="7.83203125" defaultRowHeight="17"/>
  <cols>
    <col width="11" customWidth="1" style="84" min="1" max="1"/>
    <col width="45.5" customWidth="1" style="84" min="2" max="2"/>
    <col width="12.6640625" customWidth="1" style="84" min="3" max="3"/>
    <col width="16.33203125" customWidth="1" style="84" min="4" max="4"/>
    <col width="9.1640625" customWidth="1" style="84" min="5" max="5"/>
    <col width="12.6640625" customWidth="1" style="84" min="6" max="6"/>
  </cols>
  <sheetData>
    <row r="1" ht="15" customHeight="1" s="84">
      <c r="A1" s="6" t="inlineStr">
        <is>
          <t>月份</t>
        </is>
      </c>
      <c r="B1" s="6" t="inlineStr">
        <is>
          <t>顯示名稱</t>
        </is>
      </c>
      <c r="C1" s="6" t="inlineStr">
        <is>
          <t>金額</t>
        </is>
      </c>
      <c r="D1" s="6" t="inlineStr">
        <is>
          <t>分類</t>
        </is>
      </c>
      <c r="E1" s="24" t="inlineStr">
        <is>
          <t>Section</t>
        </is>
      </c>
      <c r="F1" s="6" t="inlineStr">
        <is>
          <t>議案類別</t>
        </is>
      </c>
    </row>
    <row r="2" ht="16.5" customHeight="1" s="84">
      <c r="A2" t="inlineStr">
        <is>
          <t xml:space="preserve">   小計：固定 661 項、非固定 1202 項、暫收款 0 項</t>
        </is>
      </c>
    </row>
    <row r="3" ht="16.5" customHeight="1" s="84">
      <c r="A3" t="inlineStr">
        <is>
          <t xml:space="preserve">   小計：外牆修繕 14 項、納管 9 項、電梯 139 項、游泳池 39 項 — 給 PPT 第 4 頁 + 「議案-*」 sheet 用</t>
        </is>
      </c>
    </row>
    <row r="4" ht="16.5" customHeight="1" s="84">
      <c r="A4" t="inlineStr">
        <is>
          <t>2021-01</t>
        </is>
      </c>
      <c r="B4" t="inlineStr">
        <is>
          <t>零用金撥補(109/12)</t>
        </is>
      </c>
      <c r="C4" t="n">
        <v>4077</v>
      </c>
      <c r="D4" t="inlineStr">
        <is>
          <t>零用金/出席費</t>
        </is>
      </c>
      <c r="E4" t="inlineStr">
        <is>
          <t>非固定</t>
        </is>
      </c>
    </row>
    <row r="5" ht="16.5" customHeight="1" s="84">
      <c r="A5" t="inlineStr">
        <is>
          <t>2021-01</t>
        </is>
      </c>
      <c r="B5" t="inlineStr">
        <is>
          <t>管會會出席費(110/01)</t>
        </is>
      </c>
      <c r="C5" t="n">
        <v>8000</v>
      </c>
      <c r="D5" t="inlineStr">
        <is>
          <t>零用金/出席費</t>
        </is>
      </c>
      <c r="E5" t="inlineStr">
        <is>
          <t>非固定</t>
        </is>
      </c>
    </row>
    <row r="6" ht="16.5" customHeight="1" s="84">
      <c r="A6" t="inlineStr">
        <is>
          <t>2021-01</t>
        </is>
      </c>
      <c r="B6" t="inlineStr">
        <is>
          <t>電梯專用款撥補(110/01)</t>
        </is>
      </c>
      <c r="C6" t="n">
        <v>50000</v>
      </c>
      <c r="D6" t="inlineStr">
        <is>
          <t>電梯專款撥款</t>
        </is>
      </c>
      <c r="E6" t="inlineStr">
        <is>
          <t>非固定</t>
        </is>
      </c>
      <c r="F6" t="inlineStr">
        <is>
          <t>電梯</t>
        </is>
      </c>
    </row>
    <row r="7" ht="16.5" customHeight="1" s="84">
      <c r="A7" t="inlineStr">
        <is>
          <t>2021-01</t>
        </is>
      </c>
      <c r="B7" t="inlineStr">
        <is>
          <t>德懋物業管理服務費(109/12)</t>
        </is>
      </c>
      <c r="C7" t="n">
        <v>359100</v>
      </c>
      <c r="D7" t="inlineStr">
        <is>
          <t>管服費</t>
        </is>
      </c>
      <c r="E7" t="inlineStr">
        <is>
          <t>固定</t>
        </is>
      </c>
    </row>
    <row r="8" ht="16.5" customHeight="1" s="84">
      <c r="A8" t="inlineStr">
        <is>
          <t>2021-01</t>
        </is>
      </c>
      <c r="B8" t="inlineStr">
        <is>
          <t>順達清潔服務費(109/12)</t>
        </is>
      </c>
      <c r="C8" t="n">
        <v>99000</v>
      </c>
      <c r="D8" t="inlineStr">
        <is>
          <t>清潔費</t>
        </is>
      </c>
      <c r="E8" t="inlineStr">
        <is>
          <t>固定</t>
        </is>
      </c>
    </row>
    <row r="9" ht="16.5" customHeight="1" s="84">
      <c r="A9" t="inlineStr">
        <is>
          <t>2021-01</t>
        </is>
      </c>
      <c r="B9" t="inlineStr">
        <is>
          <t>義明清潔服務費(109/12)</t>
        </is>
      </c>
      <c r="C9" t="n">
        <v>99000</v>
      </c>
      <c r="D9" t="inlineStr">
        <is>
          <t>清潔費</t>
        </is>
      </c>
      <c r="E9" t="inlineStr">
        <is>
          <t>固定</t>
        </is>
      </c>
    </row>
    <row r="10" ht="16.5" customHeight="1" s="84">
      <c r="A10" t="inlineStr">
        <is>
          <t>2021-01</t>
        </is>
      </c>
      <c r="B10" t="inlineStr">
        <is>
          <t>侑昇-泳池機房保養(109/12)</t>
        </is>
      </c>
      <c r="C10" t="n">
        <v>3000</v>
      </c>
      <c r="D10" t="inlineStr">
        <is>
          <t>泳池保養</t>
        </is>
      </c>
      <c r="E10" t="inlineStr">
        <is>
          <t>固定</t>
        </is>
      </c>
      <c r="F10" t="inlineStr">
        <is>
          <t>游泳池</t>
        </is>
      </c>
    </row>
    <row r="11" ht="16.5" customHeight="1" s="84">
      <c r="A11" t="inlineStr">
        <is>
          <t>2021-01</t>
        </is>
      </c>
      <c r="B11" t="inlineStr">
        <is>
          <t>崇友電梯(109/12)電梯保養</t>
        </is>
      </c>
      <c r="C11" t="n">
        <v>100000</v>
      </c>
      <c r="D11" t="inlineStr">
        <is>
          <t>電梯保養</t>
        </is>
      </c>
      <c r="E11" t="inlineStr">
        <is>
          <t>固定</t>
        </is>
      </c>
      <c r="F11" t="inlineStr">
        <is>
          <t>電梯</t>
        </is>
      </c>
    </row>
    <row r="12" ht="16.5" customHeight="1" s="84">
      <c r="A12" t="inlineStr">
        <is>
          <t>2021-01</t>
        </is>
      </c>
      <c r="B12" t="inlineStr">
        <is>
          <t>AED(110/01)租賃費</t>
        </is>
      </c>
      <c r="C12" t="n">
        <v>1500</v>
      </c>
      <c r="D12" t="inlineStr">
        <is>
          <t>AED</t>
        </is>
      </c>
      <c r="E12" t="inlineStr">
        <is>
          <t>固定</t>
        </is>
      </c>
    </row>
    <row r="13" ht="16.5" customHeight="1" s="84">
      <c r="A13" t="inlineStr">
        <is>
          <t>2021-01</t>
        </is>
      </c>
      <c r="B13" t="inlineStr">
        <is>
          <t>御品寬頻(109/12)網路服務租賃</t>
        </is>
      </c>
      <c r="C13" t="n">
        <v>9450</v>
      </c>
      <c r="D13" t="inlineStr">
        <is>
          <t>電話/網路費</t>
        </is>
      </c>
      <c r="E13" t="inlineStr">
        <is>
          <t>固定</t>
        </is>
      </c>
    </row>
    <row r="14" ht="16.5" customHeight="1" s="84">
      <c r="A14" t="inlineStr">
        <is>
          <t>2021-01</t>
        </is>
      </c>
      <c r="B14" t="inlineStr">
        <is>
          <t>新鑫堯109/12清潔費(垃圾.資源回收)</t>
        </is>
      </c>
      <c r="C14" t="n">
        <v>24990</v>
      </c>
      <c r="D14" t="inlineStr">
        <is>
          <t>清潔費</t>
        </is>
      </c>
      <c r="E14" t="inlineStr">
        <is>
          <t>固定</t>
        </is>
      </c>
    </row>
    <row r="15" ht="16.5" customHeight="1" s="84">
      <c r="A15" t="inlineStr">
        <is>
          <t>2021-01</t>
        </is>
      </c>
      <c r="B15" t="inlineStr">
        <is>
          <t>太古意門禁維護檢點費(109/12)</t>
        </is>
      </c>
      <c r="C15" t="n">
        <v>10000</v>
      </c>
      <c r="D15" t="inlineStr">
        <is>
          <t>弱電/門禁</t>
        </is>
      </c>
      <c r="E15" t="inlineStr">
        <is>
          <t>固定</t>
        </is>
      </c>
    </row>
    <row r="16" ht="15" customHeight="1" s="84">
      <c r="A16" t="inlineStr">
        <is>
          <t>2021-01</t>
        </is>
      </c>
      <c r="B16" t="inlineStr">
        <is>
          <t>鑫禾機電保養費(109/12)</t>
        </is>
      </c>
      <c r="C16" t="n">
        <v>28000</v>
      </c>
      <c r="D16" t="inlineStr">
        <is>
          <t>機電保養</t>
        </is>
      </c>
      <c r="E16" t="inlineStr">
        <is>
          <t>固定</t>
        </is>
      </c>
    </row>
    <row r="17" ht="16.5" customHeight="1" s="84">
      <c r="A17" t="inlineStr">
        <is>
          <t>2021-01</t>
        </is>
      </c>
      <c r="B17" t="inlineStr">
        <is>
          <t>景輝-園藝定期保養(12月)</t>
        </is>
      </c>
      <c r="C17" t="n">
        <v>28000</v>
      </c>
      <c r="D17" t="inlineStr">
        <is>
          <t>園藝</t>
        </is>
      </c>
      <c r="E17" t="inlineStr">
        <is>
          <t>固定</t>
        </is>
      </c>
    </row>
    <row r="18" ht="16.5" customHeight="1" s="84">
      <c r="A18" t="inlineStr">
        <is>
          <t>2021-01</t>
        </is>
      </c>
      <c r="B18" t="inlineStr">
        <is>
          <t>鋐隆清潔用品</t>
        </is>
      </c>
      <c r="C18" t="n">
        <v>1550</v>
      </c>
      <c r="D18" t="inlineStr">
        <is>
          <t>其他</t>
        </is>
      </c>
      <c r="E18" t="inlineStr">
        <is>
          <t>非固定</t>
        </is>
      </c>
    </row>
    <row r="19" ht="16.5" customHeight="1" s="84">
      <c r="A19" t="inlineStr">
        <is>
          <t>2021-01</t>
        </is>
      </c>
      <c r="B19" t="inlineStr">
        <is>
          <t>英特康-磁扣100個</t>
        </is>
      </c>
      <c r="C19" t="n">
        <v>4500</v>
      </c>
      <c r="D19" t="inlineStr">
        <is>
          <t>其他</t>
        </is>
      </c>
      <c r="E19" t="inlineStr">
        <is>
          <t>非固定</t>
        </is>
      </c>
    </row>
    <row r="20" ht="16.5" customHeight="1" s="84">
      <c r="A20" t="inlineStr">
        <is>
          <t>2021-01</t>
        </is>
      </c>
      <c r="B20" t="inlineStr">
        <is>
          <t>崇友電梯維修-丙棟電梯紅外線光幕傳輸線</t>
        </is>
      </c>
      <c r="C20" t="n">
        <v>1050</v>
      </c>
      <c r="D20" t="inlineStr">
        <is>
          <t>電梯保養</t>
        </is>
      </c>
      <c r="E20" t="inlineStr">
        <is>
          <t>非固定</t>
        </is>
      </c>
      <c r="F20" t="inlineStr">
        <is>
          <t>電梯</t>
        </is>
      </c>
    </row>
    <row r="21" ht="16.5" customHeight="1" s="84">
      <c r="A21" t="inlineStr">
        <is>
          <t>2021-01</t>
        </is>
      </c>
      <c r="B21" t="inlineStr">
        <is>
          <t>10P乾粉滅火器性能檢查，數量323個 單價$120元，總計$120*323=$38,760元</t>
        </is>
      </c>
      <c r="C21" t="n">
        <v>38760</v>
      </c>
      <c r="D21" t="inlineStr">
        <is>
          <t>其他</t>
        </is>
      </c>
      <c r="E21" t="inlineStr">
        <is>
          <t>非固定</t>
        </is>
      </c>
    </row>
    <row r="22" ht="16.5" customHeight="1" s="84">
      <c r="A22" t="inlineStr">
        <is>
          <t>2021-01</t>
        </is>
      </c>
      <c r="B22" t="inlineStr">
        <is>
          <t>鑫禾 1.外圍人行道-噴灌重新配管(單價$1,000元) 2.丁棟景觀燈盤-漏電斷路器(單價$1,200元) 3.景觀池-1HP揚水馬達(單價$9,500元) 4.丙棟下水池-A泵主閘閥更換(單價$12,000元) 5.地下室、公廁-LED-MR16 (單價$395元*19盞=$7,505元) 5%稅金$1,560元，總計$1,000+1,200+9,500+12,000+7,505+1,560 =$32,765元</t>
        </is>
      </c>
      <c r="C22" t="n">
        <v>32765</v>
      </c>
      <c r="D22" t="inlineStr">
        <is>
          <t>其他</t>
        </is>
      </c>
      <c r="E22" t="inlineStr">
        <is>
          <t>非固定</t>
        </is>
      </c>
    </row>
    <row r="23" ht="16.5" customHeight="1" s="84">
      <c r="A23" t="inlineStr">
        <is>
          <t>2021-01</t>
        </is>
      </c>
      <c r="B23" t="inlineStr">
        <is>
          <t>禾順環保-高壓水刀清洗管路 單價$84,000元</t>
        </is>
      </c>
      <c r="C23" t="n">
        <v>84000</v>
      </c>
      <c r="D23" t="inlineStr">
        <is>
          <t>其他</t>
        </is>
      </c>
      <c r="E23" t="inlineStr">
        <is>
          <t>非固定</t>
        </is>
      </c>
    </row>
    <row r="24" ht="16.5" customHeight="1" s="84">
      <c r="A24" t="inlineStr">
        <is>
          <t>2021-01</t>
        </is>
      </c>
      <c r="B24" t="inlineStr">
        <is>
          <t>請求郁緁企業有限公司損害賠償民事訴訟第一審訴訟代理律師費(費用$45,000元，裁判費$1,000元，總計$46,000元)</t>
        </is>
      </c>
      <c r="C24" t="n">
        <v>46000</v>
      </c>
      <c r="D24" t="inlineStr">
        <is>
          <t>其他</t>
        </is>
      </c>
      <c r="E24" t="inlineStr">
        <is>
          <t>非固定</t>
        </is>
      </c>
    </row>
    <row r="25" ht="16.5" customHeight="1" s="84">
      <c r="A25" t="inlineStr">
        <is>
          <t>2021-01</t>
        </is>
      </c>
      <c r="B25" t="inlineStr">
        <is>
          <t>水質檢測費-大腸桿菌群</t>
        </is>
      </c>
      <c r="C25" t="n">
        <v>1200</v>
      </c>
      <c r="D25" t="inlineStr">
        <is>
          <t>其他</t>
        </is>
      </c>
      <c r="E25" t="inlineStr">
        <is>
          <t>非固定</t>
        </is>
      </c>
    </row>
    <row r="26" ht="15" customHeight="1" s="84">
      <c r="A26" t="inlineStr">
        <is>
          <t>2021-01</t>
        </is>
      </c>
      <c r="B26" t="inlineStr">
        <is>
          <t>慶餘輸出-樓層貼紙</t>
        </is>
      </c>
      <c r="C26" t="n">
        <v>8610</v>
      </c>
      <c r="D26" t="inlineStr">
        <is>
          <t>其他</t>
        </is>
      </c>
      <c r="E26" t="inlineStr">
        <is>
          <t>非固定</t>
        </is>
      </c>
    </row>
    <row r="27" ht="16.5" customHeight="1" s="84">
      <c r="A27" t="inlineStr">
        <is>
          <t>2021-01</t>
        </is>
      </c>
      <c r="B27" t="inlineStr">
        <is>
          <t>中國石油-柴油</t>
        </is>
      </c>
      <c r="C27" t="n">
        <v>9950</v>
      </c>
      <c r="D27" t="inlineStr">
        <is>
          <t>其他</t>
        </is>
      </c>
      <c r="E27" t="inlineStr">
        <is>
          <t>非固定</t>
        </is>
      </c>
    </row>
    <row r="28" ht="16.5" customHeight="1" s="84">
      <c r="A28" t="inlineStr">
        <is>
          <t>2021-01</t>
        </is>
      </c>
      <c r="B28" t="inlineStr">
        <is>
          <t>退裝潢保證金</t>
        </is>
      </c>
      <c r="C28" t="n">
        <v>80000</v>
      </c>
      <c r="D28" t="inlineStr">
        <is>
          <t>退裝潢保證金</t>
        </is>
      </c>
      <c r="E28" t="inlineStr">
        <is>
          <t>非固定</t>
        </is>
      </c>
    </row>
    <row r="29" ht="16.5" customHeight="1" s="84">
      <c r="A29" t="inlineStr">
        <is>
          <t>2021-01</t>
        </is>
      </c>
      <c r="B29" t="inlineStr">
        <is>
          <t>社區電話費(109/12/01-109/12/31)(5630533)</t>
        </is>
      </c>
      <c r="C29" t="n">
        <v>880</v>
      </c>
      <c r="D29" t="inlineStr">
        <is>
          <t>電話/網路費</t>
        </is>
      </c>
      <c r="E29" t="inlineStr">
        <is>
          <t>非固定</t>
        </is>
      </c>
    </row>
    <row r="30" ht="16.5" customHeight="1" s="84">
      <c r="A30" t="inlineStr">
        <is>
          <t>2021-01</t>
        </is>
      </c>
      <c r="B30" t="inlineStr">
        <is>
          <t>社區網路費(109/12/01-109/12/31)(Y123617)</t>
        </is>
      </c>
      <c r="C30" t="n">
        <v>2199</v>
      </c>
      <c r="D30" t="inlineStr">
        <is>
          <t>電話/網路費</t>
        </is>
      </c>
      <c r="E30" t="inlineStr">
        <is>
          <t>非固定</t>
        </is>
      </c>
    </row>
    <row r="31" ht="16.5" customHeight="1" s="84">
      <c r="A31" t="inlineStr">
        <is>
          <t>2021-01</t>
        </is>
      </c>
      <c r="B31" t="inlineStr">
        <is>
          <t>社區網路費(109/12/01-109/12/31)(Y174790)</t>
        </is>
      </c>
      <c r="C31" t="n">
        <v>1899</v>
      </c>
      <c r="D31" t="inlineStr">
        <is>
          <t>電話/網路費</t>
        </is>
      </c>
      <c r="E31" t="inlineStr">
        <is>
          <t>非固定</t>
        </is>
      </c>
    </row>
    <row r="32" ht="16.5" customHeight="1" s="84">
      <c r="A32" t="inlineStr">
        <is>
          <t>2021-01</t>
        </is>
      </c>
      <c r="B32" t="inlineStr">
        <is>
          <t>109年12月公共電費</t>
        </is>
      </c>
      <c r="C32" t="n">
        <v>87413</v>
      </c>
      <c r="D32" t="inlineStr">
        <is>
          <t>公共水電瓦斯</t>
        </is>
      </c>
      <c r="E32" t="inlineStr">
        <is>
          <t>非固定</t>
        </is>
      </c>
    </row>
    <row r="33" ht="16.5" customHeight="1" s="84">
      <c r="A33" t="inlineStr">
        <is>
          <t>2021-01</t>
        </is>
      </c>
      <c r="B33" t="inlineStr">
        <is>
          <t>109年12月自來水費</t>
        </is>
      </c>
      <c r="C33" t="n">
        <v>0</v>
      </c>
      <c r="D33" t="inlineStr">
        <is>
          <t>公共水電瓦斯</t>
        </is>
      </c>
      <c r="E33" t="inlineStr">
        <is>
          <t>非固定</t>
        </is>
      </c>
    </row>
    <row r="34" ht="16.5" customHeight="1" s="84">
      <c r="A34" t="inlineStr">
        <is>
          <t>2021-02</t>
        </is>
      </c>
      <c r="B34" t="inlineStr">
        <is>
          <t>零用金撥補(110/02)</t>
        </is>
      </c>
      <c r="C34" t="n">
        <v>4541</v>
      </c>
      <c r="D34" t="inlineStr">
        <is>
          <t>零用金/出席費</t>
        </is>
      </c>
      <c r="E34" t="inlineStr">
        <is>
          <t>非固定</t>
        </is>
      </c>
    </row>
    <row r="35" ht="16.5" customHeight="1" s="84">
      <c r="A35" t="inlineStr">
        <is>
          <t>2021-02</t>
        </is>
      </c>
      <c r="B35" t="inlineStr">
        <is>
          <t>管委會出席費(110/03)</t>
        </is>
      </c>
      <c r="C35" t="n">
        <v>8000</v>
      </c>
      <c r="D35" t="inlineStr">
        <is>
          <t>零用金/出席費</t>
        </is>
      </c>
      <c r="E35" t="inlineStr">
        <is>
          <t>非固定</t>
        </is>
      </c>
    </row>
    <row r="36" ht="16.5" customHeight="1" s="84">
      <c r="A36" t="inlineStr">
        <is>
          <t>2021-02</t>
        </is>
      </c>
      <c r="B36" t="inlineStr">
        <is>
          <t>德懋物業管理服務費(110/02)</t>
        </is>
      </c>
      <c r="C36" t="n">
        <v>359100</v>
      </c>
      <c r="D36" t="inlineStr">
        <is>
          <t>管服費</t>
        </is>
      </c>
      <c r="E36" t="inlineStr">
        <is>
          <t>固定</t>
        </is>
      </c>
    </row>
    <row r="37" ht="16.5" customHeight="1" s="84">
      <c r="A37" t="inlineStr">
        <is>
          <t>2021-02</t>
        </is>
      </c>
      <c r="B37" t="inlineStr">
        <is>
          <t>順達清潔服務費(110/02)</t>
        </is>
      </c>
      <c r="C37" t="n">
        <v>99000</v>
      </c>
      <c r="D37" t="inlineStr">
        <is>
          <t>清潔費</t>
        </is>
      </c>
      <c r="E37" t="inlineStr">
        <is>
          <t>固定</t>
        </is>
      </c>
    </row>
    <row r="38" ht="16.5" customHeight="1" s="84">
      <c r="A38" t="inlineStr">
        <is>
          <t>2021-02</t>
        </is>
      </c>
      <c r="B38" t="inlineStr">
        <is>
          <t>義明清潔服務費(110/02)</t>
        </is>
      </c>
      <c r="C38" t="n">
        <v>99000</v>
      </c>
      <c r="D38" t="inlineStr">
        <is>
          <t>清潔費</t>
        </is>
      </c>
      <c r="E38" t="inlineStr">
        <is>
          <t>固定</t>
        </is>
      </c>
    </row>
    <row r="39" ht="16.5" customHeight="1" s="84">
      <c r="A39" t="inlineStr">
        <is>
          <t>2021-02</t>
        </is>
      </c>
      <c r="B39" t="inlineStr">
        <is>
          <t>侑昇-泳池機房保養(110/02)</t>
        </is>
      </c>
      <c r="C39" t="n">
        <v>3000</v>
      </c>
      <c r="D39" t="inlineStr">
        <is>
          <t>泳池保養</t>
        </is>
      </c>
      <c r="E39" t="inlineStr">
        <is>
          <t>固定</t>
        </is>
      </c>
      <c r="F39" t="inlineStr">
        <is>
          <t>游泳池</t>
        </is>
      </c>
    </row>
    <row r="40" ht="16.5" customHeight="1" s="84">
      <c r="A40" t="inlineStr">
        <is>
          <t>2021-02</t>
        </is>
      </c>
      <c r="B40" t="inlineStr">
        <is>
          <t>崇友電梯(110/02)電梯保養</t>
        </is>
      </c>
      <c r="C40" t="n">
        <v>100000</v>
      </c>
      <c r="D40" t="inlineStr">
        <is>
          <t>電梯保養</t>
        </is>
      </c>
      <c r="E40" t="inlineStr">
        <is>
          <t>固定</t>
        </is>
      </c>
      <c r="F40" t="inlineStr">
        <is>
          <t>電梯</t>
        </is>
      </c>
    </row>
    <row r="41" ht="16.5" customHeight="1" s="84">
      <c r="A41" t="inlineStr">
        <is>
          <t>2021-02</t>
        </is>
      </c>
      <c r="B41" t="inlineStr">
        <is>
          <t>AED(110/03)租賃費</t>
        </is>
      </c>
      <c r="C41" t="n">
        <v>1500</v>
      </c>
      <c r="D41" t="inlineStr">
        <is>
          <t>AED</t>
        </is>
      </c>
      <c r="E41" t="inlineStr">
        <is>
          <t>固定</t>
        </is>
      </c>
    </row>
    <row r="42" ht="16.5" customHeight="1" s="84">
      <c r="A42" t="inlineStr">
        <is>
          <t>2021-02</t>
        </is>
      </c>
      <c r="B42" t="inlineStr">
        <is>
          <t>御品寬頻(110/02)網路服務租賃</t>
        </is>
      </c>
      <c r="C42" t="n">
        <v>9450</v>
      </c>
      <c r="D42" t="inlineStr">
        <is>
          <t>電話/網路費</t>
        </is>
      </c>
      <c r="E42" t="inlineStr">
        <is>
          <t>固定</t>
        </is>
      </c>
    </row>
    <row r="43" ht="16.5" customHeight="1" s="84">
      <c r="A43" t="inlineStr">
        <is>
          <t>2021-02</t>
        </is>
      </c>
      <c r="B43" t="inlineStr">
        <is>
          <t>新鑫堯110/02清潔費(垃圾.資源回收)</t>
        </is>
      </c>
      <c r="C43" t="n">
        <v>24990</v>
      </c>
      <c r="D43" t="inlineStr">
        <is>
          <t>清潔費</t>
        </is>
      </c>
      <c r="E43" t="inlineStr">
        <is>
          <t>固定</t>
        </is>
      </c>
    </row>
    <row r="44" ht="16.5" customHeight="1" s="84">
      <c r="A44" t="inlineStr">
        <is>
          <t>2021-02</t>
        </is>
      </c>
      <c r="B44" t="inlineStr">
        <is>
          <t>太古意門禁維護檢點費(110/02)</t>
        </is>
      </c>
      <c r="C44" t="n">
        <v>10000</v>
      </c>
      <c r="D44" t="inlineStr">
        <is>
          <t>弱電/門禁</t>
        </is>
      </c>
      <c r="E44" t="inlineStr">
        <is>
          <t>非固定</t>
        </is>
      </c>
    </row>
    <row r="45" ht="16.5" customHeight="1" s="84">
      <c r="A45" t="inlineStr">
        <is>
          <t>2021-02</t>
        </is>
      </c>
      <c r="B45" t="inlineStr">
        <is>
          <t>鑫禾機電保養費(110/02)</t>
        </is>
      </c>
      <c r="C45" t="n">
        <v>28000</v>
      </c>
      <c r="D45" t="inlineStr">
        <is>
          <t>機電保養</t>
        </is>
      </c>
      <c r="E45" t="inlineStr">
        <is>
          <t>固定</t>
        </is>
      </c>
    </row>
    <row r="46" ht="16.5" customHeight="1" s="84">
      <c r="A46" t="inlineStr">
        <is>
          <t>2021-02</t>
        </is>
      </c>
      <c r="B46" t="inlineStr">
        <is>
          <t>景輝-園藝定期保養(110年02月)</t>
        </is>
      </c>
      <c r="C46" t="n">
        <v>28000</v>
      </c>
      <c r="D46" t="inlineStr">
        <is>
          <t>園藝</t>
        </is>
      </c>
      <c r="E46" t="inlineStr">
        <is>
          <t>固定</t>
        </is>
      </c>
    </row>
    <row r="47" ht="16.5" customHeight="1" s="84">
      <c r="A47" t="inlineStr">
        <is>
          <t>2021-02</t>
        </is>
      </c>
      <c r="B47" t="inlineStr">
        <is>
          <t>鋐隆清潔用品 小垃圾袋53*63一箱單價$950元 抽取式衛生紙一箱單價$950元 計$950+$950=$1900元</t>
        </is>
      </c>
      <c r="C47" t="n">
        <v>1900</v>
      </c>
      <c r="D47" t="inlineStr">
        <is>
          <t>清潔費</t>
        </is>
      </c>
      <c r="E47" t="inlineStr">
        <is>
          <t>非固定</t>
        </is>
      </c>
    </row>
    <row r="48" ht="16.5" customHeight="1" s="84">
      <c r="A48" t="inlineStr">
        <is>
          <t>2021-02</t>
        </is>
      </c>
      <c r="B48" t="inlineStr">
        <is>
          <t>禾順環保 水肥車協助更換管路 單價$8000元</t>
        </is>
      </c>
      <c r="C48" t="n">
        <v>8000</v>
      </c>
      <c r="D48" t="inlineStr">
        <is>
          <t>其他</t>
        </is>
      </c>
      <c r="E48" t="inlineStr">
        <is>
          <t>非固定</t>
        </is>
      </c>
    </row>
    <row r="49" ht="16.5" customHeight="1" s="84">
      <c r="A49" t="inlineStr">
        <is>
          <t>2021-02</t>
        </is>
      </c>
      <c r="B49" t="inlineStr">
        <is>
          <t>騰郡洗衣-清洗戶外抱枕 抱枕單價$80*39個=$3120元 工資單價$500元 計$3120+$500=$3620元</t>
        </is>
      </c>
      <c r="C49" t="n">
        <v>3620</v>
      </c>
      <c r="D49" t="inlineStr">
        <is>
          <t>其他</t>
        </is>
      </c>
      <c r="E49" t="inlineStr">
        <is>
          <t>非固定</t>
        </is>
      </c>
    </row>
    <row r="50" ht="16.5" customHeight="1" s="84">
      <c r="A50" t="inlineStr">
        <is>
          <t>2021-02</t>
        </is>
      </c>
      <c r="B50" t="inlineStr">
        <is>
          <t>景泰順 水質檢測費-大腸桿菌群</t>
        </is>
      </c>
      <c r="C50" t="n">
        <v>1200</v>
      </c>
      <c r="D50" t="inlineStr">
        <is>
          <t>其他</t>
        </is>
      </c>
      <c r="E50" t="inlineStr">
        <is>
          <t>非固定</t>
        </is>
      </c>
    </row>
    <row r="51" ht="16.5" customHeight="1" s="84">
      <c r="A51" t="inlineStr">
        <is>
          <t>2021-02</t>
        </is>
      </c>
      <c r="B51" t="inlineStr">
        <is>
          <t>義明清潔 110/02/02義明派清潔人員清洗B3車庫</t>
        </is>
      </c>
      <c r="C51" t="n">
        <v>10000</v>
      </c>
      <c r="D51" t="inlineStr">
        <is>
          <t>清潔費</t>
        </is>
      </c>
      <c r="E51" t="inlineStr">
        <is>
          <t>固定</t>
        </is>
      </c>
    </row>
    <row r="52" ht="16.5" customHeight="1" s="84">
      <c r="A52" t="inlineStr">
        <is>
          <t>2021-02</t>
        </is>
      </c>
      <c r="B52" t="inlineStr">
        <is>
          <t>鑫禾機電 109年度汙水申報</t>
        </is>
      </c>
      <c r="C52" t="n">
        <v>22000</v>
      </c>
      <c r="D52" t="inlineStr">
        <is>
          <t>機電保養</t>
        </is>
      </c>
      <c r="E52" t="inlineStr">
        <is>
          <t>非固定</t>
        </is>
      </c>
    </row>
    <row r="53" ht="16.5" customHeight="1" s="84">
      <c r="A53" t="inlineStr">
        <is>
          <t>2021-02</t>
        </is>
      </c>
      <c r="B53" t="inlineStr">
        <is>
          <t>鑫禾機電 109年度消防缺失改善工程</t>
        </is>
      </c>
      <c r="C53" t="n">
        <v>359573</v>
      </c>
      <c r="D53" t="inlineStr">
        <is>
          <t>機電保養</t>
        </is>
      </c>
      <c r="E53" t="inlineStr">
        <is>
          <t>非固定</t>
        </is>
      </c>
    </row>
    <row r="54" ht="16.5" customHeight="1" s="84">
      <c r="A54" t="inlineStr">
        <is>
          <t>2021-02</t>
        </is>
      </c>
      <c r="B54" t="inlineStr">
        <is>
          <t>鑫禾機電 汙水設備修繕</t>
        </is>
      </c>
      <c r="C54" t="n">
        <v>142800</v>
      </c>
      <c r="D54" t="inlineStr">
        <is>
          <t>機電保養</t>
        </is>
      </c>
      <c r="E54" t="inlineStr">
        <is>
          <t>非固定</t>
        </is>
      </c>
    </row>
    <row r="55" ht="16.5" customHeight="1" s="84">
      <c r="A55" t="inlineStr">
        <is>
          <t>2021-02</t>
        </is>
      </c>
      <c r="B55" t="inlineStr">
        <is>
          <t>鑫禾機電 泡沫原液內囊更新</t>
        </is>
      </c>
      <c r="C55" t="n">
        <v>89250</v>
      </c>
      <c r="D55" t="inlineStr">
        <is>
          <t>機電保養</t>
        </is>
      </c>
      <c r="E55" t="inlineStr">
        <is>
          <t>非固定</t>
        </is>
      </c>
    </row>
    <row r="56" ht="16.5" customHeight="1" s="84">
      <c r="A56" t="inlineStr">
        <is>
          <t>2021-02</t>
        </is>
      </c>
      <c r="B56" t="inlineStr">
        <is>
          <t>鑫禾機電 汙水幹管堵塞重新配置</t>
        </is>
      </c>
      <c r="C56" t="n">
        <v>57750</v>
      </c>
      <c r="D56" t="inlineStr">
        <is>
          <t>機電保養</t>
        </is>
      </c>
      <c r="E56" t="inlineStr">
        <is>
          <t>非固定</t>
        </is>
      </c>
    </row>
    <row r="57" ht="16.5" customHeight="1" s="84">
      <c r="A57" t="inlineStr">
        <is>
          <t>2021-02</t>
        </is>
      </c>
      <c r="B57" t="inlineStr">
        <is>
          <t>鑫禾機電 1.LED球泡燈單價$100*9=$900元 2.T5層板燈單價$300*5=$1500元 3.電燈感應器單價$650*5=$3250元 4.入口處拉線單價$1200元 5.偵煙感知器單價$500*2=$1000元 6.放流浮球單價$1800元 7.繼電器單價$950元 8.LED杯燈單價$395*4=$1580元 9.自動警報逆止閥檔片更新單價$4200元 10.氯碇25K單價$3625元 11.5%稅金$1000元</t>
        </is>
      </c>
      <c r="C57" t="n">
        <v>21005</v>
      </c>
      <c r="D57" t="inlineStr">
        <is>
          <t>機電保養</t>
        </is>
      </c>
      <c r="E57" t="inlineStr">
        <is>
          <t>非固定</t>
        </is>
      </c>
    </row>
    <row r="58" ht="16.5" customHeight="1" s="84">
      <c r="A58" t="inlineStr">
        <is>
          <t>2021-02</t>
        </is>
      </c>
      <c r="B58" t="inlineStr">
        <is>
          <t>社區電話費(5630533)1月份尚未扣款，延後扣款</t>
        </is>
      </c>
      <c r="C58" t="n">
        <v>0</v>
      </c>
      <c r="D58" t="inlineStr">
        <is>
          <t>電話/網路費</t>
        </is>
      </c>
      <c r="E58" t="inlineStr">
        <is>
          <t>非固定</t>
        </is>
      </c>
    </row>
    <row r="59" ht="16.5" customHeight="1" s="84">
      <c r="A59" t="inlineStr">
        <is>
          <t>2021-02</t>
        </is>
      </c>
      <c r="B59" t="inlineStr">
        <is>
          <t>社區網路費(Y123617)1月份尚未扣款，延後扣款</t>
        </is>
      </c>
      <c r="C59" t="n">
        <v>0</v>
      </c>
      <c r="D59" t="inlineStr">
        <is>
          <t>電話/網路費</t>
        </is>
      </c>
      <c r="E59" t="inlineStr">
        <is>
          <t>非固定</t>
        </is>
      </c>
    </row>
    <row r="60" ht="16.5" customHeight="1" s="84">
      <c r="A60" t="inlineStr">
        <is>
          <t>2021-02</t>
        </is>
      </c>
      <c r="B60" t="inlineStr">
        <is>
          <t>社區網路費(Y174790)1月份尚未扣款，延後扣款</t>
        </is>
      </c>
      <c r="C60" t="n">
        <v>0</v>
      </c>
      <c r="D60" t="inlineStr">
        <is>
          <t>電話/網路費</t>
        </is>
      </c>
      <c r="E60" t="inlineStr">
        <is>
          <t>非固定</t>
        </is>
      </c>
    </row>
    <row r="61" ht="16.5" customHeight="1" s="84">
      <c r="A61" t="inlineStr">
        <is>
          <t>2021-02</t>
        </is>
      </c>
      <c r="B61" t="inlineStr">
        <is>
          <t>公共電費(109.12.11至110.01.12)</t>
        </is>
      </c>
      <c r="C61" t="n">
        <v>88215</v>
      </c>
      <c r="D61" t="inlineStr">
        <is>
          <t>公共水電瓦斯</t>
        </is>
      </c>
      <c r="E61" t="inlineStr">
        <is>
          <t>非固定</t>
        </is>
      </c>
    </row>
    <row r="62" ht="16.5" customHeight="1" s="84">
      <c r="A62" t="inlineStr">
        <is>
          <t>2021-02</t>
        </is>
      </c>
      <c r="B62" t="inlineStr">
        <is>
          <t>自來水費(109.11.11至110.01.06)</t>
        </is>
      </c>
      <c r="C62" t="n">
        <v>3830</v>
      </c>
      <c r="D62" t="inlineStr">
        <is>
          <t>公共水電瓦斯</t>
        </is>
      </c>
      <c r="E62" t="inlineStr">
        <is>
          <t>非固定</t>
        </is>
      </c>
    </row>
    <row r="63" ht="16.5" customHeight="1" s="84">
      <c r="A63" t="inlineStr">
        <is>
          <t>2021-03</t>
        </is>
      </c>
      <c r="B63" t="inlineStr">
        <is>
          <t>零用金撥補(110/03)</t>
        </is>
      </c>
      <c r="C63" t="n">
        <v>16434</v>
      </c>
      <c r="D63" t="inlineStr">
        <is>
          <t>零用金/出席費</t>
        </is>
      </c>
      <c r="E63" t="inlineStr">
        <is>
          <t>非固定</t>
        </is>
      </c>
    </row>
    <row r="64" ht="16.5" customHeight="1" s="84">
      <c r="A64" t="inlineStr">
        <is>
          <t>2021-03</t>
        </is>
      </c>
      <c r="B64" t="inlineStr">
        <is>
          <t>管委會出席費(110/04)</t>
        </is>
      </c>
      <c r="C64" t="n">
        <v>8000</v>
      </c>
      <c r="D64" t="inlineStr">
        <is>
          <t>零用金/出席費</t>
        </is>
      </c>
      <c r="E64" t="inlineStr">
        <is>
          <t>非固定</t>
        </is>
      </c>
    </row>
    <row r="65" ht="16.5" customHeight="1" s="84">
      <c r="A65" t="inlineStr">
        <is>
          <t>2021-03</t>
        </is>
      </c>
      <c r="B65" t="inlineStr">
        <is>
          <t>電梯專用款撥補(110/03)</t>
        </is>
      </c>
      <c r="C65" t="n">
        <v>50000</v>
      </c>
      <c r="D65" t="inlineStr">
        <is>
          <t>電梯專款撥款</t>
        </is>
      </c>
      <c r="E65" t="inlineStr">
        <is>
          <t>非固定</t>
        </is>
      </c>
      <c r="F65" t="inlineStr">
        <is>
          <t>電梯</t>
        </is>
      </c>
    </row>
    <row r="66" ht="16.5" customHeight="1" s="84">
      <c r="A66" t="inlineStr">
        <is>
          <t>2021-03</t>
        </is>
      </c>
      <c r="B66" t="inlineStr">
        <is>
          <t>德懋物業管理服務費(110/03)</t>
        </is>
      </c>
      <c r="C66" t="n">
        <v>359100</v>
      </c>
      <c r="D66" t="inlineStr">
        <is>
          <t>管服費</t>
        </is>
      </c>
      <c r="E66" t="inlineStr">
        <is>
          <t>固定</t>
        </is>
      </c>
    </row>
    <row r="67" ht="16.5" customHeight="1" s="84">
      <c r="A67" t="inlineStr">
        <is>
          <t>2021-03</t>
        </is>
      </c>
      <c r="B67" t="inlineStr">
        <is>
          <t>順達清潔服務費(110/03)</t>
        </is>
      </c>
      <c r="C67" t="n">
        <v>99000</v>
      </c>
      <c r="D67" t="inlineStr">
        <is>
          <t>清潔費</t>
        </is>
      </c>
      <c r="E67" t="inlineStr">
        <is>
          <t>固定</t>
        </is>
      </c>
    </row>
    <row r="68" ht="16.5" customHeight="1" s="84">
      <c r="A68" t="inlineStr">
        <is>
          <t>2021-03</t>
        </is>
      </c>
      <c r="B68" t="inlineStr">
        <is>
          <t>義明清潔服務費(110/03)</t>
        </is>
      </c>
      <c r="C68" t="n">
        <v>99000</v>
      </c>
      <c r="D68" t="inlineStr">
        <is>
          <t>清潔費</t>
        </is>
      </c>
      <c r="E68" t="inlineStr">
        <is>
          <t>固定</t>
        </is>
      </c>
    </row>
    <row r="69" ht="16.5" customHeight="1" s="84">
      <c r="A69" t="inlineStr">
        <is>
          <t>2021-03</t>
        </is>
      </c>
      <c r="B69" t="inlineStr">
        <is>
          <t>侑昇-泳池機房保養(110/03)</t>
        </is>
      </c>
      <c r="C69" t="n">
        <v>3000</v>
      </c>
      <c r="D69" t="inlineStr">
        <is>
          <t>泳池保養</t>
        </is>
      </c>
      <c r="E69" t="inlineStr">
        <is>
          <t>非固定</t>
        </is>
      </c>
      <c r="F69" t="inlineStr">
        <is>
          <t>游泳池</t>
        </is>
      </c>
    </row>
    <row r="70" ht="16.5" customHeight="1" s="84">
      <c r="A70" t="inlineStr">
        <is>
          <t>2021-03</t>
        </is>
      </c>
      <c r="B70" t="inlineStr">
        <is>
          <t>崇友電梯(110/03)電梯保養</t>
        </is>
      </c>
      <c r="C70" t="n">
        <v>100000</v>
      </c>
      <c r="D70" t="inlineStr">
        <is>
          <t>電梯保養</t>
        </is>
      </c>
      <c r="E70" t="inlineStr">
        <is>
          <t>固定</t>
        </is>
      </c>
      <c r="F70" t="inlineStr">
        <is>
          <t>電梯</t>
        </is>
      </c>
    </row>
    <row r="71" ht="16.5" customHeight="1" s="84">
      <c r="A71" t="inlineStr">
        <is>
          <t>2021-03</t>
        </is>
      </c>
      <c r="B71" t="inlineStr">
        <is>
          <t>AED(110/04)租賃費</t>
        </is>
      </c>
      <c r="C71" t="n">
        <v>1500</v>
      </c>
      <c r="D71" t="inlineStr">
        <is>
          <t>AED</t>
        </is>
      </c>
      <c r="E71" t="inlineStr">
        <is>
          <t>固定</t>
        </is>
      </c>
    </row>
    <row r="72" ht="16.5" customHeight="1" s="84">
      <c r="A72" t="inlineStr">
        <is>
          <t>2021-03</t>
        </is>
      </c>
      <c r="B72" t="inlineStr">
        <is>
          <t>御品寬頻(110/03)網路服務租賃</t>
        </is>
      </c>
      <c r="C72" t="n">
        <v>9450</v>
      </c>
      <c r="D72" t="inlineStr">
        <is>
          <t>電話/網路費</t>
        </is>
      </c>
      <c r="E72" t="inlineStr">
        <is>
          <t>固定</t>
        </is>
      </c>
    </row>
    <row r="73" ht="16.5" customHeight="1" s="84">
      <c r="A73" t="inlineStr">
        <is>
          <t>2021-03</t>
        </is>
      </c>
      <c r="B73" t="inlineStr">
        <is>
          <t>新鑫堯110/03清潔費(垃圾.資源回收)</t>
        </is>
      </c>
      <c r="C73" t="n">
        <v>24990</v>
      </c>
      <c r="D73" t="inlineStr">
        <is>
          <t>清潔費</t>
        </is>
      </c>
      <c r="E73" t="inlineStr">
        <is>
          <t>固定</t>
        </is>
      </c>
    </row>
    <row r="74" ht="16.5" customHeight="1" s="84">
      <c r="A74" t="inlineStr">
        <is>
          <t>2021-03</t>
        </is>
      </c>
      <c r="B74" t="inlineStr">
        <is>
          <t>太古意門禁維護檢點費(110/03)</t>
        </is>
      </c>
      <c r="C74" t="n">
        <v>10000</v>
      </c>
      <c r="D74" t="inlineStr">
        <is>
          <t>弱電/門禁</t>
        </is>
      </c>
      <c r="E74" t="inlineStr">
        <is>
          <t>固定</t>
        </is>
      </c>
    </row>
    <row r="75" ht="16.5" customHeight="1" s="84">
      <c r="A75" t="inlineStr">
        <is>
          <t>2021-03</t>
        </is>
      </c>
      <c r="B75" t="inlineStr">
        <is>
          <t>鑫禾機電保養費(110/03)</t>
        </is>
      </c>
      <c r="C75" t="n">
        <v>28000</v>
      </c>
      <c r="D75" t="inlineStr">
        <is>
          <t>機電保養</t>
        </is>
      </c>
      <c r="E75" t="inlineStr">
        <is>
          <t>固定</t>
        </is>
      </c>
    </row>
    <row r="76" ht="15" customHeight="1" s="84">
      <c r="A76" t="inlineStr">
        <is>
          <t>2021-03</t>
        </is>
      </c>
      <c r="B76" t="inlineStr">
        <is>
          <t>景輝-園藝定期保養(110/03)</t>
        </is>
      </c>
      <c r="C76" t="n">
        <v>28000</v>
      </c>
      <c r="D76" t="inlineStr">
        <is>
          <t>園藝</t>
        </is>
      </c>
      <c r="E76" t="inlineStr">
        <is>
          <t>固定</t>
        </is>
      </c>
    </row>
    <row r="77" ht="16.5" customHeight="1" s="84">
      <c r="A77" t="inlineStr">
        <is>
          <t>2021-03</t>
        </is>
      </c>
      <c r="B77" t="inlineStr">
        <is>
          <t>景泰順 水質檢測費-大腸桿菌群</t>
        </is>
      </c>
      <c r="C77" t="n">
        <v>1200</v>
      </c>
      <c r="D77" t="inlineStr">
        <is>
          <t>其他</t>
        </is>
      </c>
      <c r="E77" t="inlineStr">
        <is>
          <t>非固定</t>
        </is>
      </c>
    </row>
    <row r="78" ht="16.5" customHeight="1" s="84">
      <c r="A78" t="inlineStr">
        <is>
          <t>2021-03</t>
        </is>
      </c>
      <c r="B78" t="inlineStr">
        <is>
          <t>松美裝潢 2/25瑜珈室、健身房捲簾保養維修 3/16撞球室、視聽室捲簾保養維修</t>
        </is>
      </c>
      <c r="C78" t="n">
        <v>3000</v>
      </c>
      <c r="D78" t="inlineStr">
        <is>
          <t>其他</t>
        </is>
      </c>
      <c r="E78" t="inlineStr">
        <is>
          <t>固定</t>
        </is>
      </c>
    </row>
    <row r="79" ht="16.5" customHeight="1" s="84">
      <c r="A79" t="inlineStr">
        <is>
          <t>2021-03</t>
        </is>
      </c>
      <c r="B79" t="inlineStr">
        <is>
          <t>崇友電梯-維修款 #2(甲棟貨梯) DD門控制器 PM門馬達組 PMD1{PG}轉接線</t>
        </is>
      </c>
      <c r="C79" t="n">
        <v>24885</v>
      </c>
      <c r="D79" t="inlineStr">
        <is>
          <t>電梯保養</t>
        </is>
      </c>
      <c r="E79" t="inlineStr">
        <is>
          <t>非固定</t>
        </is>
      </c>
      <c r="F79" t="inlineStr">
        <is>
          <t>電梯</t>
        </is>
      </c>
    </row>
    <row r="80" ht="16.5" customHeight="1" s="84">
      <c r="A80" t="inlineStr">
        <is>
          <t>2021-03</t>
        </is>
      </c>
      <c r="B80" t="inlineStr">
        <is>
          <t>崇友電梯-維修款 #6(丙棟貨梯) DD門控制器 PM門馬達組 PMD1{PG}轉接線</t>
        </is>
      </c>
      <c r="C80" t="n">
        <v>24885</v>
      </c>
      <c r="D80" t="inlineStr">
        <is>
          <t>電梯保養</t>
        </is>
      </c>
      <c r="E80" t="inlineStr">
        <is>
          <t>非固定</t>
        </is>
      </c>
      <c r="F80" t="inlineStr">
        <is>
          <t>電梯</t>
        </is>
      </c>
    </row>
    <row r="81" ht="16.5" customHeight="1" s="84">
      <c r="A81" t="inlineStr">
        <is>
          <t>2021-03</t>
        </is>
      </c>
      <c r="B81" t="inlineStr">
        <is>
          <t>全鋐企業社-鋁門窗維修 1.丁棟頂樓安全門，損壞維修(板金、焊接)$6000元 2.丁棟頂樓安全門，鎖更換$3500元</t>
        </is>
      </c>
      <c r="C81" t="n">
        <v>9500</v>
      </c>
      <c r="D81" t="inlineStr">
        <is>
          <t>其他</t>
        </is>
      </c>
      <c r="E81" t="inlineStr">
        <is>
          <t>非固定</t>
        </is>
      </c>
    </row>
    <row r="82" ht="16.5" customHeight="1" s="84">
      <c r="A82" t="inlineStr">
        <is>
          <t>2021-03</t>
        </is>
      </c>
      <c r="B82" t="inlineStr">
        <is>
          <t>鴻陽運動事業有限公司-氯錠 消毒藥劑:韓製氯錠3英寸90% 50KG/桶 $5250*6=$31500元</t>
        </is>
      </c>
      <c r="C82" t="n">
        <v>31500</v>
      </c>
      <c r="D82" t="inlineStr">
        <is>
          <t>其他</t>
        </is>
      </c>
      <c r="E82" t="inlineStr">
        <is>
          <t>非固定</t>
        </is>
      </c>
    </row>
    <row r="83" ht="16.5" customHeight="1" s="84">
      <c r="A83" t="inlineStr">
        <is>
          <t>2021-03</t>
        </is>
      </c>
      <c r="B83" t="inlineStr">
        <is>
          <t>儐順噴灌系統檢測費</t>
        </is>
      </c>
      <c r="C83" t="n">
        <v>4500</v>
      </c>
      <c r="D83" t="inlineStr">
        <is>
          <t>其他</t>
        </is>
      </c>
      <c r="E83" t="inlineStr">
        <is>
          <t>非固定</t>
        </is>
      </c>
    </row>
    <row r="84" ht="16.5" customHeight="1" s="84">
      <c r="A84" t="inlineStr">
        <is>
          <t>2021-03</t>
        </is>
      </c>
      <c r="B84" t="inlineStr">
        <is>
          <t>太古意 TA-390G車牌攝影機單價$10500元，5%稅金$525元</t>
        </is>
      </c>
      <c r="C84" t="n">
        <v>11025</v>
      </c>
      <c r="D84" t="inlineStr">
        <is>
          <t>弱電/門禁</t>
        </is>
      </c>
      <c r="E84" t="inlineStr">
        <is>
          <t>非固定</t>
        </is>
      </c>
    </row>
    <row r="85" ht="16.5" customHeight="1" s="84">
      <c r="A85" t="inlineStr">
        <is>
          <t>2021-03</t>
        </is>
      </c>
      <c r="B85" t="inlineStr">
        <is>
          <t>金伯亨 KS-9401(LED-10W球*1 3000K)單價$450元*7組=$3150元【桌球室崁燈】 改E27燈頭(LED-雪糕10W*1 L)單價$250元*10組=$2500元【車道】 拆裝工資$3000元</t>
        </is>
      </c>
      <c r="C85" t="n">
        <v>8650</v>
      </c>
      <c r="D85" t="inlineStr">
        <is>
          <t>其他</t>
        </is>
      </c>
      <c r="E85" t="inlineStr">
        <is>
          <t>非固定</t>
        </is>
      </c>
    </row>
    <row r="86" ht="16.5" customHeight="1" s="84">
      <c r="A86" t="inlineStr">
        <is>
          <t>2021-03</t>
        </is>
      </c>
      <c r="B86" t="inlineStr">
        <is>
          <t>鑫聲冷氣(媽媽教室) 禾聯落地箱型定頻專冷HO-1685/HIS-168 $84735元 禾聯壁掛1-1型定頻專冷HO-915/HI-91C $61530元</t>
        </is>
      </c>
      <c r="C86" t="n">
        <v>146265</v>
      </c>
      <c r="D86" t="inlineStr">
        <is>
          <t>其他</t>
        </is>
      </c>
      <c r="E86" t="inlineStr">
        <is>
          <t>非固定</t>
        </is>
      </c>
    </row>
    <row r="87" ht="16.5" customHeight="1" s="84">
      <c r="A87" t="inlineStr">
        <is>
          <t>2021-03</t>
        </is>
      </c>
      <c r="B87" t="inlineStr">
        <is>
          <t>110年3月20日區權會出席禮卷 總出席人數249人，一人200元，總計49800元 109年11月已購買21000元禮卷 需再添購$28800元禮卷 $49800-$21000=$28800元， 打99折，折扣後$28512元</t>
        </is>
      </c>
      <c r="C87" t="n">
        <v>28512</v>
      </c>
      <c r="D87" t="inlineStr">
        <is>
          <t>其他</t>
        </is>
      </c>
      <c r="E87" t="inlineStr">
        <is>
          <t>非固定</t>
        </is>
      </c>
    </row>
    <row r="88" ht="16.5" customHeight="1" s="84">
      <c r="A88" t="inlineStr">
        <is>
          <t>2021-03</t>
        </is>
      </c>
      <c r="B88" t="inlineStr">
        <is>
          <t>鑫禾機電 1.減壓閥墊片更新$800*3=$2400元 2.LED杯燈$395*6=$2370元 3.電燈感應器$650元 4.冷氣電源配置$22500元 5.透氣管改管$4200元 6.LED球泡燈$100*15=$1500元 7.5%稅金$1681元</t>
        </is>
      </c>
      <c r="C88" t="n">
        <v>35301</v>
      </c>
      <c r="D88" t="inlineStr">
        <is>
          <t>機電保養</t>
        </is>
      </c>
      <c r="E88" t="inlineStr">
        <is>
          <t>非固定</t>
        </is>
      </c>
    </row>
    <row r="89" ht="15" customHeight="1" s="84">
      <c r="A89" t="inlineStr">
        <is>
          <t>2021-03</t>
        </is>
      </c>
      <c r="B89" t="inlineStr">
        <is>
          <t>社區電話費(5630533)110.01.01~110.01.31</t>
        </is>
      </c>
      <c r="C89" t="n">
        <v>1047</v>
      </c>
      <c r="D89" t="inlineStr">
        <is>
          <t>電話/網路費</t>
        </is>
      </c>
      <c r="E89" t="inlineStr">
        <is>
          <t>非固定</t>
        </is>
      </c>
    </row>
    <row r="90" ht="16.5" customHeight="1" s="84">
      <c r="A90" t="inlineStr">
        <is>
          <t>2021-03</t>
        </is>
      </c>
      <c r="B90" t="inlineStr">
        <is>
          <t>社區網路費(Y123617)110.01.01~110.01.31</t>
        </is>
      </c>
      <c r="C90" t="n">
        <v>2199</v>
      </c>
      <c r="D90" t="inlineStr">
        <is>
          <t>電話/網路費</t>
        </is>
      </c>
      <c r="E90" t="inlineStr">
        <is>
          <t>非固定</t>
        </is>
      </c>
    </row>
    <row r="91" ht="16.5" customHeight="1" s="84">
      <c r="A91" t="inlineStr">
        <is>
          <t>2021-03</t>
        </is>
      </c>
      <c r="B91" t="inlineStr">
        <is>
          <t>社區網路費(Y174790)110.01.01~110.01.31</t>
        </is>
      </c>
      <c r="C91" t="n">
        <v>1899</v>
      </c>
      <c r="D91" t="inlineStr">
        <is>
          <t>電話/網路費</t>
        </is>
      </c>
      <c r="E91" t="inlineStr">
        <is>
          <t>非固定</t>
        </is>
      </c>
    </row>
    <row r="92" ht="16.5" customHeight="1" s="84">
      <c r="A92" t="inlineStr">
        <is>
          <t>2021-03</t>
        </is>
      </c>
      <c r="B92" t="inlineStr">
        <is>
          <t>社區電話費(5630533)110.02.01~110.02.28</t>
        </is>
      </c>
      <c r="C92" t="n">
        <v>1157</v>
      </c>
      <c r="D92" t="inlineStr">
        <is>
          <t>電話/網路費</t>
        </is>
      </c>
      <c r="E92" t="inlineStr">
        <is>
          <t>非固定</t>
        </is>
      </c>
    </row>
    <row r="93" ht="16.5" customHeight="1" s="84">
      <c r="A93" t="inlineStr">
        <is>
          <t>2021-03</t>
        </is>
      </c>
      <c r="B93" t="inlineStr">
        <is>
          <t>社區網路費(Y123617)110.02.01~110.02.28</t>
        </is>
      </c>
      <c r="C93" t="n">
        <v>2199</v>
      </c>
      <c r="D93" t="inlineStr">
        <is>
          <t>電話/網路費</t>
        </is>
      </c>
      <c r="E93" t="inlineStr">
        <is>
          <t>非固定</t>
        </is>
      </c>
    </row>
    <row r="94" ht="16.5" customHeight="1" s="84">
      <c r="A94" t="inlineStr">
        <is>
          <t>2021-03</t>
        </is>
      </c>
      <c r="B94" t="inlineStr">
        <is>
          <t>社區網路費(Y174790)110.02.01~110.02.28</t>
        </is>
      </c>
      <c r="C94" t="n">
        <v>1899</v>
      </c>
      <c r="D94" t="inlineStr">
        <is>
          <t>電話/網路費</t>
        </is>
      </c>
      <c r="E94" t="inlineStr">
        <is>
          <t>非固定</t>
        </is>
      </c>
    </row>
    <row r="95" ht="16.5" customHeight="1" s="84">
      <c r="A95" t="inlineStr">
        <is>
          <t>2021-03</t>
        </is>
      </c>
      <c r="B95" t="inlineStr">
        <is>
          <t>公共電費(110.01.13至110.2.16)</t>
        </is>
      </c>
      <c r="C95" t="n">
        <v>101777</v>
      </c>
      <c r="D95" t="inlineStr">
        <is>
          <t>公共水電瓦斯</t>
        </is>
      </c>
      <c r="E95" t="inlineStr">
        <is>
          <t>非固定</t>
        </is>
      </c>
    </row>
    <row r="96" ht="16.5" customHeight="1" s="84">
      <c r="A96" t="inlineStr">
        <is>
          <t>2021-03</t>
        </is>
      </c>
      <c r="B96" t="inlineStr">
        <is>
          <t>自來水費</t>
        </is>
      </c>
      <c r="C96" t="n">
        <v>0</v>
      </c>
      <c r="D96" t="inlineStr">
        <is>
          <t>公共水電瓦斯</t>
        </is>
      </c>
      <c r="E96" t="inlineStr">
        <is>
          <t>非固定</t>
        </is>
      </c>
    </row>
    <row r="97" ht="16.5" customHeight="1" s="84">
      <c r="A97" t="inlineStr">
        <is>
          <t>2021-04</t>
        </is>
      </c>
      <c r="B97" t="inlineStr">
        <is>
          <t>零用金撥補(110/04) 總計$5606元</t>
        </is>
      </c>
      <c r="C97" t="n">
        <v>5606</v>
      </c>
      <c r="D97" t="inlineStr">
        <is>
          <t>內部轉帳</t>
        </is>
      </c>
      <c r="E97" t="inlineStr">
        <is>
          <t>非固定</t>
        </is>
      </c>
    </row>
    <row r="98" ht="16.5" customHeight="1" s="84">
      <c r="A98" t="inlineStr">
        <is>
          <t>2021-04</t>
        </is>
      </c>
      <c r="B98" t="inlineStr">
        <is>
          <t>管委會出席費用(預領) 總計$8000元</t>
        </is>
      </c>
      <c r="C98" t="n">
        <v>8000</v>
      </c>
      <c r="D98" t="inlineStr">
        <is>
          <t>內部轉帳</t>
        </is>
      </c>
      <c r="E98" t="inlineStr">
        <is>
          <t>非固定</t>
        </is>
      </c>
    </row>
    <row r="99" ht="16.5" customHeight="1" s="84">
      <c r="A99" t="inlineStr">
        <is>
          <t>2021-04</t>
        </is>
      </c>
      <c r="B99" t="inlineStr">
        <is>
          <t>電梯專用款撥補(110/04) 總計$50000元</t>
        </is>
      </c>
      <c r="C99" t="n">
        <v>50000</v>
      </c>
      <c r="D99" t="inlineStr">
        <is>
          <t>內部轉帳</t>
        </is>
      </c>
      <c r="E99" t="inlineStr">
        <is>
          <t>非固定</t>
        </is>
      </c>
    </row>
    <row r="100" ht="16.5" customHeight="1" s="84">
      <c r="A100" t="inlineStr">
        <is>
          <t>2021-04</t>
        </is>
      </c>
      <c r="B100" t="inlineStr">
        <is>
          <t>德懋物業公司(110/04)管理服務費：社區經理乙員，社區秘書乙員，警衛服務人員兩哨。 總計$359,100元</t>
        </is>
      </c>
      <c r="C100" t="n">
        <v>359100</v>
      </c>
      <c r="D100" t="inlineStr">
        <is>
          <t>其他支出</t>
        </is>
      </c>
      <c r="E100" t="inlineStr">
        <is>
          <t>固定</t>
        </is>
      </c>
    </row>
    <row r="101" ht="16.5" customHeight="1" s="84">
      <c r="A101" t="inlineStr">
        <is>
          <t>2021-04</t>
        </is>
      </c>
      <c r="B101" t="inlineStr">
        <is>
          <t>順達清潔服務費(110/04) 總計$99,000元</t>
        </is>
      </c>
      <c r="C101" t="n">
        <v>99000</v>
      </c>
      <c r="D101" t="inlineStr">
        <is>
          <t>清潔服務費</t>
        </is>
      </c>
      <c r="E101" t="inlineStr">
        <is>
          <t>固定</t>
        </is>
      </c>
    </row>
    <row r="102" ht="16.5" customHeight="1" s="84">
      <c r="A102" t="inlineStr">
        <is>
          <t>2021-04</t>
        </is>
      </c>
      <c r="B102" t="inlineStr">
        <is>
          <t>義明清潔服務費(110/04) 總計$99,000元</t>
        </is>
      </c>
      <c r="C102" t="n">
        <v>99000</v>
      </c>
      <c r="D102" t="inlineStr">
        <is>
          <t>清潔服務費</t>
        </is>
      </c>
      <c r="E102" t="inlineStr">
        <is>
          <t>固定</t>
        </is>
      </c>
    </row>
    <row r="103" ht="16.5" customHeight="1" s="84">
      <c r="A103" t="inlineStr">
        <is>
          <t>2021-04</t>
        </is>
      </c>
      <c r="B103" t="inlineStr">
        <is>
          <t>侑昇-泳池機房保養(110/04) 總計$3,000元</t>
        </is>
      </c>
      <c r="C103" t="n">
        <v>3000</v>
      </c>
      <c r="D103" t="inlineStr">
        <is>
          <t>其他支出</t>
        </is>
      </c>
      <c r="E103" t="inlineStr">
        <is>
          <t>固定</t>
        </is>
      </c>
      <c r="F103" t="inlineStr">
        <is>
          <t>游泳池</t>
        </is>
      </c>
    </row>
    <row r="104" ht="16.5" customHeight="1" s="84">
      <c r="A104" t="inlineStr">
        <is>
          <t>2021-04</t>
        </is>
      </c>
      <c r="B104" t="inlineStr">
        <is>
          <t>崇友電梯(110/04)電梯保養 總計$100,000元</t>
        </is>
      </c>
      <c r="C104" t="n">
        <v>100000</v>
      </c>
      <c r="D104" t="inlineStr">
        <is>
          <t>電梯保養與修繕</t>
        </is>
      </c>
      <c r="E104" t="inlineStr">
        <is>
          <t>固定</t>
        </is>
      </c>
    </row>
    <row r="105" ht="16.5" customHeight="1" s="84">
      <c r="A105" t="inlineStr">
        <is>
          <t>2021-04</t>
        </is>
      </c>
      <c r="B105" t="inlineStr">
        <is>
          <t>AED(110/05)租賃費 總計$1,500元</t>
        </is>
      </c>
      <c r="C105" t="n">
        <v>1500</v>
      </c>
      <c r="D105" t="inlineStr">
        <is>
          <t>機電/消防/弱電/AED</t>
        </is>
      </c>
      <c r="E105" t="inlineStr">
        <is>
          <t>固定</t>
        </is>
      </c>
    </row>
    <row r="106" ht="16.5" customHeight="1" s="84">
      <c r="A106" t="inlineStr">
        <is>
          <t>2021-04</t>
        </is>
      </c>
      <c r="B106" t="inlineStr">
        <is>
          <t>御品寬頻(110/04)網路服務租賃 總計$9,450元</t>
        </is>
      </c>
      <c r="C106" t="n">
        <v>9450</v>
      </c>
      <c r="D106" t="inlineStr">
        <is>
          <t>機電/消防/弱電/AED</t>
        </is>
      </c>
      <c r="E106" t="inlineStr">
        <is>
          <t>固定</t>
        </is>
      </c>
    </row>
    <row r="107" ht="16.5" customHeight="1" s="84">
      <c r="A107" t="inlineStr">
        <is>
          <t>2021-04</t>
        </is>
      </c>
      <c r="B107" t="inlineStr">
        <is>
          <t>新鑫堯110/04 廢棄物清除$25,000元 清潔費$5,000元 總計$30,000元</t>
        </is>
      </c>
      <c r="C107" t="n">
        <v>30000</v>
      </c>
      <c r="D107" t="inlineStr">
        <is>
          <t>垃圾廢棄物/園藝</t>
        </is>
      </c>
      <c r="E107" t="inlineStr">
        <is>
          <t>固定</t>
        </is>
      </c>
    </row>
    <row r="108" ht="16.5" customHeight="1" s="84">
      <c r="A108" t="inlineStr">
        <is>
          <t>2021-04</t>
        </is>
      </c>
      <c r="B108" t="inlineStr">
        <is>
          <t>太古意門禁維護檢點費(110/04) 總計$10,000元</t>
        </is>
      </c>
      <c r="C108" t="n">
        <v>10000</v>
      </c>
      <c r="D108" t="inlineStr">
        <is>
          <t>機電/消防/弱電/AED</t>
        </is>
      </c>
      <c r="E108" t="inlineStr">
        <is>
          <t>固定</t>
        </is>
      </c>
    </row>
    <row r="109" ht="16.5" customHeight="1" s="84">
      <c r="A109" t="inlineStr">
        <is>
          <t>2021-04</t>
        </is>
      </c>
      <c r="B109" t="inlineStr">
        <is>
          <t>鑫禾機電保養費(110/04) 總計$28,000元</t>
        </is>
      </c>
      <c r="C109" t="n">
        <v>28000</v>
      </c>
      <c r="D109" t="inlineStr">
        <is>
          <t>機電/消防/弱電/AED</t>
        </is>
      </c>
      <c r="E109" t="inlineStr">
        <is>
          <t>固定</t>
        </is>
      </c>
    </row>
    <row r="110" ht="16.5" customHeight="1" s="84">
      <c r="A110" t="inlineStr">
        <is>
          <t>2021-04</t>
        </is>
      </c>
      <c r="B110" t="inlineStr">
        <is>
          <t>景輝-園藝定期保養(110/04) 總計$28,000元</t>
        </is>
      </c>
      <c r="C110" t="n">
        <v>28000</v>
      </c>
      <c r="D110" t="inlineStr">
        <is>
          <t>垃圾廢棄物/園藝</t>
        </is>
      </c>
      <c r="E110" t="inlineStr">
        <is>
          <t>固定</t>
        </is>
      </c>
    </row>
    <row r="111" ht="16.5" customHeight="1" s="84">
      <c r="A111" t="inlineStr">
        <is>
          <t>2021-04</t>
        </is>
      </c>
      <c r="B111" t="inlineStr">
        <is>
          <t>景泰順 水質檢測費-大腸桿菌群 總計$1,200元</t>
        </is>
      </c>
      <c r="C111" t="n">
        <v>1200</v>
      </c>
      <c r="D111" t="inlineStr">
        <is>
          <t>其他支出</t>
        </is>
      </c>
      <c r="E111" t="inlineStr">
        <is>
          <t>非固定</t>
        </is>
      </c>
    </row>
    <row r="112" ht="16.5" customHeight="1" s="84">
      <c r="A112" t="inlineStr">
        <is>
          <t>2021-04</t>
        </is>
      </c>
      <c r="B112" t="inlineStr">
        <is>
          <t>鋐隆清潔用品 擦手紙1箱$420元 小捲衛生紙1箱$400元 紅龍珍珠洗手乳2瓶$360元 小捲衛生紙1箱$400元 大白垃圾袋25kg $1150元 總計$2730元</t>
        </is>
      </c>
      <c r="C112" t="n">
        <v>2730</v>
      </c>
      <c r="D112" t="inlineStr">
        <is>
          <t>清潔服務費</t>
        </is>
      </c>
      <c r="E112" t="inlineStr">
        <is>
          <t>非固定</t>
        </is>
      </c>
    </row>
    <row r="113" ht="16.5" customHeight="1" s="84">
      <c r="A113" t="inlineStr">
        <is>
          <t>2021-04</t>
        </is>
      </c>
      <c r="B113" t="inlineStr">
        <is>
          <t>鑫禾機電 1.管路配管1式$800元(S13前花圃) 2.無熔絲電源開關2只$1000*2=$2000元(腳踏車室冷氣迴路) 3.電燈感應器1只$650元(B1-699車位) 4.T5層板燈具1盞$300元(B1-1號機車位) 5.MR16杯燈3組$395*3=1185元(戊棟1樓信箱區，丁棟6樓) 6.5%稅金$247元 總計$5,182元</t>
        </is>
      </c>
      <c r="C113" t="n">
        <v>5182</v>
      </c>
      <c r="D113" t="inlineStr">
        <is>
          <t>機電/消防/弱電/AED</t>
        </is>
      </c>
      <c r="E113" t="inlineStr">
        <is>
          <t>非固定</t>
        </is>
      </c>
    </row>
    <row r="114" ht="16.5" customHeight="1" s="84">
      <c r="A114" t="inlineStr">
        <is>
          <t>2021-04</t>
        </is>
      </c>
      <c r="B114" t="inlineStr">
        <is>
          <t>禾順環保 1.疏通排水總管1式$3000元 2.拆裝馬桶及檢查馬桶底部滲水1個$3000元 3.拆裝馬桶及疏通排糞總管1式$8000元 (疏通長度50米)糞管 總計$14,000元</t>
        </is>
      </c>
      <c r="C114" t="n">
        <v>14000</v>
      </c>
      <c r="D114" t="inlineStr">
        <is>
          <t>其他支出</t>
        </is>
      </c>
      <c r="E114" t="inlineStr">
        <is>
          <t>非固定</t>
        </is>
      </c>
    </row>
    <row r="115" ht="16.5" customHeight="1" s="84">
      <c r="A115" t="inlineStr">
        <is>
          <t>2021-04</t>
        </is>
      </c>
      <c r="B115" t="inlineStr">
        <is>
          <t>育丞石材 石材更換 1.流水景觀瀑布外水池、人行步道石材破損、7-11門市前人行道上地板破裂$15000元 2.丙棟1樓M樓把手受損更換$3000元 鬆動處理 1.人行道花園石材單價$300*40=$12000元 2.1樓公設，小木屋散步區單價$300*8=$2400元 3.內步道景觀池旁單價$300*9=$2700元 4.室內電梯間接地坪單價$300*2=$600元 總計$35,700元</t>
        </is>
      </c>
      <c r="C115" t="n">
        <v>35700</v>
      </c>
      <c r="D115" t="inlineStr">
        <is>
          <t>垃圾廢棄物/園藝</t>
        </is>
      </c>
      <c r="E115" t="inlineStr">
        <is>
          <t>非固定</t>
        </is>
      </c>
      <c r="F115" t="inlineStr">
        <is>
          <t>電梯</t>
        </is>
      </c>
    </row>
    <row r="116" ht="16.5" customHeight="1" s="84">
      <c r="A116" t="inlineStr">
        <is>
          <t>2021-04</t>
        </is>
      </c>
      <c r="B116" t="inlineStr">
        <is>
          <t>社區電話費(5630533)110.03.01~110.03.31</t>
        </is>
      </c>
      <c r="C116" t="n">
        <v>1123</v>
      </c>
      <c r="D116" t="inlineStr">
        <is>
          <t>電話/網路費</t>
        </is>
      </c>
      <c r="E116" t="inlineStr">
        <is>
          <t>非固定</t>
        </is>
      </c>
    </row>
    <row r="117" ht="16.5" customHeight="1" s="84">
      <c r="A117" t="inlineStr">
        <is>
          <t>2021-04</t>
        </is>
      </c>
      <c r="B117" t="inlineStr">
        <is>
          <t>社區網路費(Y123617)110.03.01~110.03.31</t>
        </is>
      </c>
      <c r="C117" t="n">
        <v>2199</v>
      </c>
      <c r="D117" t="inlineStr">
        <is>
          <t>電話/網路費</t>
        </is>
      </c>
      <c r="E117" t="inlineStr">
        <is>
          <t>非固定</t>
        </is>
      </c>
    </row>
    <row r="118" ht="16.5" customHeight="1" s="84">
      <c r="A118" t="inlineStr">
        <is>
          <t>2021-04</t>
        </is>
      </c>
      <c r="B118" t="inlineStr">
        <is>
          <t>社區網路費(Y174790)110.03.01~110.03.31</t>
        </is>
      </c>
      <c r="C118" t="n">
        <v>1899</v>
      </c>
      <c r="D118" t="inlineStr">
        <is>
          <t>電話/網路費</t>
        </is>
      </c>
      <c r="E118" t="inlineStr">
        <is>
          <t>非固定</t>
        </is>
      </c>
    </row>
    <row r="119" ht="16.5" customHeight="1" s="84">
      <c r="A119" t="inlineStr">
        <is>
          <t>2021-04</t>
        </is>
      </c>
      <c r="B119" t="inlineStr">
        <is>
          <t>公共電費(110.02.17至110.03.15)</t>
        </is>
      </c>
      <c r="C119" t="n">
        <v>85178</v>
      </c>
      <c r="D119" t="inlineStr">
        <is>
          <t>公共水電瓦斯</t>
        </is>
      </c>
      <c r="E119" t="inlineStr">
        <is>
          <t>非固定</t>
        </is>
      </c>
    </row>
    <row r="120" ht="16.5" customHeight="1" s="84">
      <c r="A120" t="inlineStr">
        <is>
          <t>2021-04</t>
        </is>
      </c>
      <c r="B120" t="inlineStr">
        <is>
          <t>自來水費(110.01.07至110.03.08)</t>
        </is>
      </c>
      <c r="C120" t="n">
        <v>4513</v>
      </c>
      <c r="D120" t="inlineStr">
        <is>
          <t>公共水電瓦斯</t>
        </is>
      </c>
      <c r="E120" t="inlineStr">
        <is>
          <t>非固定</t>
        </is>
      </c>
    </row>
    <row r="121" ht="16.5" customHeight="1" s="84">
      <c r="A121" t="inlineStr">
        <is>
          <t>2021-05</t>
        </is>
      </c>
      <c r="B121" t="inlineStr">
        <is>
          <t>零用金撥補(110/05) 總計$13,296元</t>
        </is>
      </c>
      <c r="C121" t="n">
        <v>13296</v>
      </c>
      <c r="D121" t="inlineStr">
        <is>
          <t>內部轉帳</t>
        </is>
      </c>
      <c r="E121" t="inlineStr">
        <is>
          <t>非固定</t>
        </is>
      </c>
    </row>
    <row r="122" ht="16.5" customHeight="1" s="84">
      <c r="A122" t="inlineStr">
        <is>
          <t>2021-05</t>
        </is>
      </c>
      <c r="B122" t="inlineStr">
        <is>
          <t>管委會出席費用(預領) 總計$8000元</t>
        </is>
      </c>
      <c r="C122" t="n">
        <v>8000</v>
      </c>
      <c r="D122" t="inlineStr">
        <is>
          <t>內部轉帳</t>
        </is>
      </c>
      <c r="E122" t="inlineStr">
        <is>
          <t>非固定</t>
        </is>
      </c>
    </row>
    <row r="123" ht="16.5" customHeight="1" s="84">
      <c r="A123" t="inlineStr">
        <is>
          <t>2021-05</t>
        </is>
      </c>
      <c r="B123" t="inlineStr">
        <is>
          <t>電梯專用款撥補(110/05) 總計$50000元</t>
        </is>
      </c>
      <c r="C123" t="n">
        <v>50000</v>
      </c>
      <c r="D123" t="inlineStr">
        <is>
          <t>內部轉帳</t>
        </is>
      </c>
      <c r="E123" t="inlineStr">
        <is>
          <t>非固定</t>
        </is>
      </c>
    </row>
    <row r="124" ht="16.5" customHeight="1" s="84">
      <c r="A124" t="inlineStr">
        <is>
          <t>2021-05</t>
        </is>
      </c>
      <c r="B124" t="inlineStr">
        <is>
          <t>德懋物業公司(110/05)管理服務費：社區經理乙員，社區秘書乙員，警衛服務人員兩哨。 總計$359,100元</t>
        </is>
      </c>
      <c r="C124" t="n">
        <v>359100</v>
      </c>
      <c r="D124" t="inlineStr">
        <is>
          <t>其他支出</t>
        </is>
      </c>
      <c r="E124" t="inlineStr">
        <is>
          <t>固定</t>
        </is>
      </c>
    </row>
    <row r="125" ht="16.5" customHeight="1" s="84">
      <c r="A125" t="inlineStr">
        <is>
          <t>2021-05</t>
        </is>
      </c>
      <c r="B125" t="inlineStr">
        <is>
          <t>順達清潔服務費(110/05) 總計$99,000元</t>
        </is>
      </c>
      <c r="C125" t="n">
        <v>99000</v>
      </c>
      <c r="D125" t="inlineStr">
        <is>
          <t>清潔服務費</t>
        </is>
      </c>
      <c r="E125" t="inlineStr">
        <is>
          <t>固定</t>
        </is>
      </c>
    </row>
    <row r="126" ht="16.5" customHeight="1" s="84">
      <c r="A126" t="inlineStr">
        <is>
          <t>2021-05</t>
        </is>
      </c>
      <c r="B126" t="inlineStr">
        <is>
          <t>義明清潔服務費(110/05) 總計$99,000元</t>
        </is>
      </c>
      <c r="C126" t="n">
        <v>99000</v>
      </c>
      <c r="D126" t="inlineStr">
        <is>
          <t>清潔服務費</t>
        </is>
      </c>
      <c r="E126" t="inlineStr">
        <is>
          <t>固定</t>
        </is>
      </c>
    </row>
    <row r="127" ht="16.5" customHeight="1" s="84">
      <c r="A127" t="inlineStr">
        <is>
          <t>2021-05</t>
        </is>
      </c>
      <c r="B127" t="inlineStr">
        <is>
          <t>侑昇-泳池機房保養(110/05) 總計$0元(因排水閥故障，故無法保養)</t>
        </is>
      </c>
      <c r="C127" t="n">
        <v>0</v>
      </c>
      <c r="D127" t="inlineStr">
        <is>
          <t>其他支出</t>
        </is>
      </c>
      <c r="E127" t="inlineStr">
        <is>
          <t>固定</t>
        </is>
      </c>
    </row>
    <row r="128" ht="16.5" customHeight="1" s="84">
      <c r="A128" t="inlineStr">
        <is>
          <t>2021-05</t>
        </is>
      </c>
      <c r="B128" t="inlineStr">
        <is>
          <t>崇友電梯(110/05)電梯保養 總計$100,000元</t>
        </is>
      </c>
      <c r="C128" t="n">
        <v>100000</v>
      </c>
      <c r="D128" t="inlineStr">
        <is>
          <t>電梯保養與修繕</t>
        </is>
      </c>
      <c r="E128" t="inlineStr">
        <is>
          <t>固定</t>
        </is>
      </c>
    </row>
    <row r="129" ht="16.5" customHeight="1" s="84">
      <c r="A129" t="inlineStr">
        <is>
          <t>2021-05</t>
        </is>
      </c>
      <c r="B129" t="inlineStr">
        <is>
          <t>AED(110/06)租賃費 總計$1,500元</t>
        </is>
      </c>
      <c r="C129" t="n">
        <v>1500</v>
      </c>
      <c r="D129" t="inlineStr">
        <is>
          <t>機電/消防/弱電/AED</t>
        </is>
      </c>
      <c r="E129" t="inlineStr">
        <is>
          <t>固定</t>
        </is>
      </c>
    </row>
    <row r="130" ht="16.5" customHeight="1" s="84">
      <c r="A130" t="inlineStr">
        <is>
          <t>2021-05</t>
        </is>
      </c>
      <c r="B130" t="inlineStr">
        <is>
          <t>御品寬頻(110/05)網路服務租賃 總計$9,450元</t>
        </is>
      </c>
      <c r="C130" t="n">
        <v>9450</v>
      </c>
      <c r="D130" t="inlineStr">
        <is>
          <t>機電/消防/弱電/AED</t>
        </is>
      </c>
      <c r="E130" t="inlineStr">
        <is>
          <t>固定</t>
        </is>
      </c>
    </row>
    <row r="131" ht="16.5" customHeight="1" s="84">
      <c r="A131" t="inlineStr">
        <is>
          <t>2021-05</t>
        </is>
      </c>
      <c r="B131" t="inlineStr">
        <is>
          <t>新鑫堯(110/05) 廢棄物清除$25,000元 清潔費$5,000元 總計$30,000元</t>
        </is>
      </c>
      <c r="C131" t="n">
        <v>30000</v>
      </c>
      <c r="D131" t="inlineStr">
        <is>
          <t>垃圾廢棄物/園藝</t>
        </is>
      </c>
      <c r="E131" t="inlineStr">
        <is>
          <t>固定</t>
        </is>
      </c>
    </row>
    <row r="132" ht="16.5" customHeight="1" s="84">
      <c r="A132" t="inlineStr">
        <is>
          <t>2021-05</t>
        </is>
      </c>
      <c r="B132" t="inlineStr">
        <is>
          <t>太古意門禁維護檢點費(110/05) 總計$10,000元</t>
        </is>
      </c>
      <c r="C132" t="n">
        <v>10000</v>
      </c>
      <c r="D132" t="inlineStr">
        <is>
          <t>機電/消防/弱電/AED</t>
        </is>
      </c>
      <c r="E132" t="inlineStr">
        <is>
          <t>固定</t>
        </is>
      </c>
    </row>
    <row r="133" ht="16.5" customHeight="1" s="84">
      <c r="A133" t="inlineStr">
        <is>
          <t>2021-05</t>
        </is>
      </c>
      <c r="B133" t="inlineStr">
        <is>
          <t>鑫禾機電保養費(110/05) 總計$28,000元</t>
        </is>
      </c>
      <c r="C133" t="n">
        <v>28000</v>
      </c>
      <c r="D133" t="inlineStr">
        <is>
          <t>機電/消防/弱電/AED</t>
        </is>
      </c>
      <c r="E133" t="inlineStr">
        <is>
          <t>固定</t>
        </is>
      </c>
    </row>
    <row r="134" ht="16.5" customHeight="1" s="84">
      <c r="A134" t="inlineStr">
        <is>
          <t>2021-05</t>
        </is>
      </c>
      <c r="B134" t="inlineStr">
        <is>
          <t>景輝-園藝定期保養(110/05) 總計$28,000元</t>
        </is>
      </c>
      <c r="C134" t="n">
        <v>28000</v>
      </c>
      <c r="D134" t="inlineStr">
        <is>
          <t>垃圾廢棄物/園藝</t>
        </is>
      </c>
      <c r="E134" t="inlineStr">
        <is>
          <t>固定</t>
        </is>
      </c>
    </row>
    <row r="135" ht="16.5" customHeight="1" s="84">
      <c r="A135" t="inlineStr">
        <is>
          <t>2021-05</t>
        </is>
      </c>
      <c r="B135" t="inlineStr">
        <is>
          <t>鋐隆清潔用品 擦手紙1箱$420元 小捲衛生紙2箱$800元，總計$1220元</t>
        </is>
      </c>
      <c r="C135" t="n">
        <v>1220</v>
      </c>
      <c r="D135" t="inlineStr">
        <is>
          <t>清潔服務費</t>
        </is>
      </c>
      <c r="E135" t="inlineStr">
        <is>
          <t>非固定</t>
        </is>
      </c>
    </row>
    <row r="136" ht="16.5" customHeight="1" s="84">
      <c r="A136" t="inlineStr">
        <is>
          <t>2021-05</t>
        </is>
      </c>
      <c r="B136" t="inlineStr">
        <is>
          <t>鑫禾機電 1.電燈感應器(501)$700*12=$8,400元 2.LED杯燈$350*4=$1,400元 3.LED層板燈$300*13=$3,900元 4.LED-T8.4呎燈管$300元 5.1"進水浮球$1,200元 6.保養缺失修繕$5,000元 7.5%稅金$1,010元，總計$21,210元</t>
        </is>
      </c>
      <c r="C136" t="n">
        <v>21210</v>
      </c>
      <c r="D136" t="inlineStr">
        <is>
          <t>機電/消防/弱電/AED</t>
        </is>
      </c>
      <c r="E136" t="inlineStr">
        <is>
          <t>非固定</t>
        </is>
      </c>
    </row>
    <row r="137" ht="16.5" customHeight="1" s="84">
      <c r="A137" t="inlineStr">
        <is>
          <t>2021-05</t>
        </is>
      </c>
      <c r="B137" t="inlineStr">
        <is>
          <t>崇友電梯110年4月1日完成 戊棟貨梯更換HCD顯示器$3,200元 5%稅金$160元，總計$3,360元</t>
        </is>
      </c>
      <c r="C137" t="n">
        <v>3360</v>
      </c>
      <c r="D137" t="inlineStr">
        <is>
          <t>電梯保養與修繕</t>
        </is>
      </c>
      <c r="E137" t="inlineStr">
        <is>
          <t>非固定</t>
        </is>
      </c>
      <c r="F137" t="inlineStr">
        <is>
          <t>電梯</t>
        </is>
      </c>
    </row>
    <row r="138" ht="16.5" customHeight="1" s="84">
      <c r="A138" t="inlineStr">
        <is>
          <t>2021-05</t>
        </is>
      </c>
      <c r="B138" t="inlineStr">
        <is>
          <t>崇友電梯 乙棟無障礙電梯煞車電磁閥更換 $34,500元 5%稅金$1,725元，總計$36,225元</t>
        </is>
      </c>
      <c r="C138" t="n">
        <v>36225</v>
      </c>
      <c r="D138" t="inlineStr">
        <is>
          <t>電梯保養與修繕</t>
        </is>
      </c>
      <c r="E138" t="inlineStr">
        <is>
          <t>非固定</t>
        </is>
      </c>
      <c r="F138" t="inlineStr">
        <is>
          <t>電梯</t>
        </is>
      </c>
    </row>
    <row r="139" ht="16.5" customHeight="1" s="84">
      <c r="A139" t="inlineStr">
        <is>
          <t>2021-05</t>
        </is>
      </c>
      <c r="B139" t="inlineStr">
        <is>
          <t>崇友電梯 甲棟10樓及M樓HCD顯示器更換$6,400元 5%稅金$320元，總計$6,720元</t>
        </is>
      </c>
      <c r="C139" t="n">
        <v>6720</v>
      </c>
      <c r="D139" t="inlineStr">
        <is>
          <t>電梯保養與修繕</t>
        </is>
      </c>
      <c r="E139" t="inlineStr">
        <is>
          <t>非固定</t>
        </is>
      </c>
      <c r="F139" t="inlineStr">
        <is>
          <t>電梯</t>
        </is>
      </c>
    </row>
    <row r="140" ht="16.5" customHeight="1" s="84">
      <c r="A140" t="inlineStr">
        <is>
          <t>2021-05</t>
        </is>
      </c>
      <c r="B140" t="inlineStr">
        <is>
          <t>喬山健康科技 健身房2台跑步機儀表組故障更換 總計$65,000元</t>
        </is>
      </c>
      <c r="C140" t="n">
        <v>65000</v>
      </c>
      <c r="D140" t="inlineStr">
        <is>
          <t>工程維修/購置</t>
        </is>
      </c>
      <c r="E140" t="inlineStr">
        <is>
          <t>非固定</t>
        </is>
      </c>
    </row>
    <row r="141" ht="16.5" customHeight="1" s="84">
      <c r="A141" t="inlineStr">
        <is>
          <t>2021-05</t>
        </is>
      </c>
      <c r="B141" t="inlineStr">
        <is>
          <t>儐順噴灌系統 變頻器故障維修總計$9,500元</t>
        </is>
      </c>
      <c r="C141" t="n">
        <v>9500</v>
      </c>
      <c r="D141" t="inlineStr">
        <is>
          <t>工程維修/購置</t>
        </is>
      </c>
      <c r="E141" t="inlineStr">
        <is>
          <t>非固定</t>
        </is>
      </c>
    </row>
    <row r="142" ht="16.5" customHeight="1" s="84">
      <c r="A142" t="inlineStr">
        <is>
          <t>2021-05</t>
        </is>
      </c>
      <c r="B142" t="inlineStr">
        <is>
          <t>碩立停車設備 折臂器更換$3,675元 工資$1,575元，總計$5,250元</t>
        </is>
      </c>
      <c r="C142" t="n">
        <v>5250</v>
      </c>
      <c r="D142" t="inlineStr">
        <is>
          <t>其他支出</t>
        </is>
      </c>
      <c r="E142" t="inlineStr">
        <is>
          <t>非固定</t>
        </is>
      </c>
    </row>
    <row r="143" ht="15" customHeight="1" s="84">
      <c r="A143" t="inlineStr">
        <is>
          <t>2021-05</t>
        </is>
      </c>
      <c r="B143" t="inlineStr">
        <is>
          <t>金伯亨 1.中庭梯LED軟燈條$250*16=$4,000元 2.驅動器APV-16-24$600元 3.丙棟M層GL-52066隱藏式感應器$1,500元 線路修改$2,500元，總計$8,600元</t>
        </is>
      </c>
      <c r="C143" t="n">
        <v>8600</v>
      </c>
      <c r="D143" t="inlineStr">
        <is>
          <t>工程維修/購置</t>
        </is>
      </c>
      <c r="E143" t="inlineStr">
        <is>
          <t>非固定</t>
        </is>
      </c>
    </row>
    <row r="144" ht="16.5" customHeight="1" s="84">
      <c r="A144" t="inlineStr">
        <is>
          <t>2021-05</t>
        </is>
      </c>
      <c r="B144" t="inlineStr">
        <is>
          <t>欣川泰地磚隆起修補 甲棟17樓安全門20*20地磚修補$300*15=$4,500元 丙棟3樓安全門20*20地磚修補 $300*10=$3,000元，總計$7,500元</t>
        </is>
      </c>
      <c r="C144" t="n">
        <v>7500</v>
      </c>
      <c r="D144" t="inlineStr">
        <is>
          <t>其他支出</t>
        </is>
      </c>
      <c r="E144" t="inlineStr">
        <is>
          <t>非固定</t>
        </is>
      </c>
    </row>
    <row r="145" ht="16.5" customHeight="1" s="84">
      <c r="A145" t="inlineStr">
        <is>
          <t>2021-05</t>
        </is>
      </c>
      <c r="B145" t="inlineStr">
        <is>
          <t>聯亞建築物公共安全檢查 建築物公共安全檢查申報簽證$35,000元 總計$35,000元</t>
        </is>
      </c>
      <c r="C145" t="n">
        <v>35000</v>
      </c>
      <c r="D145" t="inlineStr">
        <is>
          <t>其他支出</t>
        </is>
      </c>
      <c r="E145" t="inlineStr">
        <is>
          <t>非固定</t>
        </is>
      </c>
    </row>
    <row r="146" ht="16.5" customHeight="1" s="84">
      <c r="A146" t="inlineStr">
        <is>
          <t>2021-05</t>
        </is>
      </c>
      <c r="B146" t="inlineStr">
        <is>
          <t>社區電話費(5630533)110.04.01~110.04.30</t>
        </is>
      </c>
      <c r="C146" t="n">
        <v>760</v>
      </c>
      <c r="D146" t="inlineStr">
        <is>
          <t>電話/網路費</t>
        </is>
      </c>
      <c r="E146" t="inlineStr">
        <is>
          <t>非固定</t>
        </is>
      </c>
    </row>
    <row r="147" ht="16.5" customHeight="1" s="84">
      <c r="A147" t="inlineStr">
        <is>
          <t>2021-05</t>
        </is>
      </c>
      <c r="B147" t="inlineStr">
        <is>
          <t>社區網路費(Y123617)110.04.01~110.04.30</t>
        </is>
      </c>
      <c r="C147" t="n">
        <v>2199</v>
      </c>
      <c r="D147" t="inlineStr">
        <is>
          <t>電話/網路費</t>
        </is>
      </c>
      <c r="E147" t="inlineStr">
        <is>
          <t>非固定</t>
        </is>
      </c>
    </row>
    <row r="148" ht="16.5" customHeight="1" s="84">
      <c r="A148" t="inlineStr">
        <is>
          <t>2021-05</t>
        </is>
      </c>
      <c r="B148" t="inlineStr">
        <is>
          <t>社區網路費(Y174790)110.04.01~110.04.30</t>
        </is>
      </c>
      <c r="C148" t="n">
        <v>1899</v>
      </c>
      <c r="D148" t="inlineStr">
        <is>
          <t>電話/網路費</t>
        </is>
      </c>
      <c r="E148" t="inlineStr">
        <is>
          <t>非固定</t>
        </is>
      </c>
    </row>
    <row r="149" ht="16.5" customHeight="1" s="84">
      <c r="A149" t="inlineStr">
        <is>
          <t>2021-05</t>
        </is>
      </c>
      <c r="B149" t="inlineStr">
        <is>
          <t>公共電費(110.03.17至110.04.14)</t>
        </is>
      </c>
      <c r="C149" t="n">
        <v>84824</v>
      </c>
      <c r="D149" t="inlineStr">
        <is>
          <t>公共水電瓦斯</t>
        </is>
      </c>
      <c r="E149" t="inlineStr">
        <is>
          <t>非固定</t>
        </is>
      </c>
    </row>
    <row r="150" ht="16.5" customHeight="1" s="84">
      <c r="A150" t="inlineStr">
        <is>
          <t>2021-05</t>
        </is>
      </c>
      <c r="B150" t="inlineStr">
        <is>
          <t>自來水費</t>
        </is>
      </c>
      <c r="C150" t="n">
        <v>0</v>
      </c>
      <c r="D150" t="inlineStr">
        <is>
          <t>公共水電瓦斯</t>
        </is>
      </c>
      <c r="E150" t="inlineStr">
        <is>
          <t>非固定</t>
        </is>
      </c>
    </row>
    <row r="151" ht="16.5" customHeight="1" s="84">
      <c r="A151" t="inlineStr">
        <is>
          <t>2021-06</t>
        </is>
      </c>
      <c r="B151" t="inlineStr">
        <is>
          <t>零用金撥補(110/06) 總計$17,466元</t>
        </is>
      </c>
      <c r="C151" t="n">
        <v>17466</v>
      </c>
      <c r="D151" t="inlineStr">
        <is>
          <t>內部轉帳</t>
        </is>
      </c>
      <c r="E151" t="inlineStr">
        <is>
          <t>非固定</t>
        </is>
      </c>
    </row>
    <row r="152" ht="16.5" customHeight="1" s="84">
      <c r="A152" t="inlineStr">
        <is>
          <t>2021-06</t>
        </is>
      </c>
      <c r="B152" t="inlineStr">
        <is>
          <t>管委會出席費用(預領) 總計$8000元</t>
        </is>
      </c>
      <c r="C152" t="n">
        <v>8000</v>
      </c>
      <c r="D152" t="inlineStr">
        <is>
          <t>內部轉帳</t>
        </is>
      </c>
      <c r="E152" t="inlineStr">
        <is>
          <t>非固定</t>
        </is>
      </c>
    </row>
    <row r="153" ht="16.5" customHeight="1" s="84">
      <c r="A153" t="inlineStr">
        <is>
          <t>2021-06</t>
        </is>
      </c>
      <c r="B153" t="inlineStr">
        <is>
          <t>電梯專用款撥補(110/06) 總計$50000元</t>
        </is>
      </c>
      <c r="C153" t="n">
        <v>50000</v>
      </c>
      <c r="D153" t="inlineStr">
        <is>
          <t>內部轉帳</t>
        </is>
      </c>
      <c r="E153" t="inlineStr">
        <is>
          <t>非固定</t>
        </is>
      </c>
    </row>
    <row r="154" ht="16.5" customHeight="1" s="84">
      <c r="A154" t="inlineStr">
        <is>
          <t>2021-06</t>
        </is>
      </c>
      <c r="B154" t="inlineStr">
        <is>
          <t>德懋物業公司(110/06)管理服務費：社區經理乙員，社區秘書乙員，警衛服務人員兩哨。 總計$359,100元</t>
        </is>
      </c>
      <c r="C154" t="n">
        <v>359100</v>
      </c>
      <c r="D154" t="inlineStr">
        <is>
          <t>其他支出</t>
        </is>
      </c>
      <c r="E154" t="inlineStr">
        <is>
          <t>固定</t>
        </is>
      </c>
    </row>
    <row r="155" ht="16.5" customHeight="1" s="84">
      <c r="A155" t="inlineStr">
        <is>
          <t>2021-06</t>
        </is>
      </c>
      <c r="B155" t="inlineStr">
        <is>
          <t>順達清潔服務費(110/06) 總計$99,000元</t>
        </is>
      </c>
      <c r="C155" t="n">
        <v>99000</v>
      </c>
      <c r="D155" t="inlineStr">
        <is>
          <t>清潔服務費</t>
        </is>
      </c>
      <c r="E155" t="inlineStr">
        <is>
          <t>固定</t>
        </is>
      </c>
    </row>
    <row r="156" ht="16.5" customHeight="1" s="84">
      <c r="A156" t="inlineStr">
        <is>
          <t>2021-06</t>
        </is>
      </c>
      <c r="B156" t="inlineStr">
        <is>
          <t>義明清潔服務費(110/06) 總計$99,000元</t>
        </is>
      </c>
      <c r="C156" t="n">
        <v>99000</v>
      </c>
      <c r="D156" t="inlineStr">
        <is>
          <t>清潔服務費</t>
        </is>
      </c>
      <c r="E156" t="inlineStr">
        <is>
          <t>固定</t>
        </is>
      </c>
    </row>
    <row r="157" ht="16.5" customHeight="1" s="84">
      <c r="A157" t="inlineStr">
        <is>
          <t>2021-06</t>
        </is>
      </c>
      <c r="B157" t="inlineStr">
        <is>
          <t>侑昇-泳池機房保養(110/06) 總計$0元(保養合約於110年7月開始)</t>
        </is>
      </c>
      <c r="C157" t="n">
        <v>0</v>
      </c>
      <c r="D157" t="inlineStr">
        <is>
          <t>其他支出</t>
        </is>
      </c>
      <c r="E157" t="inlineStr">
        <is>
          <t>固定</t>
        </is>
      </c>
    </row>
    <row r="158" ht="16.5" customHeight="1" s="84">
      <c r="A158" t="inlineStr">
        <is>
          <t>2021-06</t>
        </is>
      </c>
      <c r="B158" t="inlineStr">
        <is>
          <t>崇友電梯(110/06)電梯保養 總計$100,000元</t>
        </is>
      </c>
      <c r="C158" t="n">
        <v>100000</v>
      </c>
      <c r="D158" t="inlineStr">
        <is>
          <t>電梯保養與修繕</t>
        </is>
      </c>
      <c r="E158" t="inlineStr">
        <is>
          <t>固定</t>
        </is>
      </c>
    </row>
    <row r="159" ht="16.5" customHeight="1" s="84">
      <c r="A159" t="inlineStr">
        <is>
          <t>2021-06</t>
        </is>
      </c>
      <c r="B159" t="inlineStr">
        <is>
          <t>AED(110/07)租賃費 總計$1,500元</t>
        </is>
      </c>
      <c r="C159" t="n">
        <v>1500</v>
      </c>
      <c r="D159" t="inlineStr">
        <is>
          <t>機電/消防/弱電/AED</t>
        </is>
      </c>
      <c r="E159" t="inlineStr">
        <is>
          <t>固定</t>
        </is>
      </c>
    </row>
    <row r="160" ht="16.5" customHeight="1" s="84">
      <c r="A160" t="inlineStr">
        <is>
          <t>2021-06</t>
        </is>
      </c>
      <c r="B160" t="inlineStr">
        <is>
          <t>御品寬頻(110/06)網路服務租賃 總計$9,450元</t>
        </is>
      </c>
      <c r="C160" t="n">
        <v>9450</v>
      </c>
      <c r="D160" t="inlineStr">
        <is>
          <t>機電/消防/弱電/AED</t>
        </is>
      </c>
      <c r="E160" t="inlineStr">
        <is>
          <t>固定</t>
        </is>
      </c>
    </row>
    <row r="161" ht="16.5" customHeight="1" s="84">
      <c r="A161" t="inlineStr">
        <is>
          <t>2021-06</t>
        </is>
      </c>
      <c r="B161" t="inlineStr">
        <is>
          <t>新鑫堯(110/06) 廢棄物清除$25,000元 清潔費$5,000元 5月增桶18桶優惠5桶$600*13=$7800元 $30,000+$7,800=總計$37,800元</t>
        </is>
      </c>
      <c r="C161" t="n">
        <v>37800</v>
      </c>
      <c r="D161" t="inlineStr">
        <is>
          <t>垃圾廢棄物/園藝</t>
        </is>
      </c>
      <c r="E161" t="inlineStr">
        <is>
          <t>固定</t>
        </is>
      </c>
    </row>
    <row r="162" ht="16.5" customHeight="1" s="84">
      <c r="A162" t="inlineStr">
        <is>
          <t>2021-06</t>
        </is>
      </c>
      <c r="B162" t="inlineStr">
        <is>
          <t>太古意門禁維護檢點費(110/06) 總計$10,000元</t>
        </is>
      </c>
      <c r="C162" t="n">
        <v>10000</v>
      </c>
      <c r="D162" t="inlineStr">
        <is>
          <t>機電/消防/弱電/AED</t>
        </is>
      </c>
      <c r="E162" t="inlineStr">
        <is>
          <t>固定</t>
        </is>
      </c>
    </row>
    <row r="163" ht="16.5" customHeight="1" s="84">
      <c r="A163" t="inlineStr">
        <is>
          <t>2021-06</t>
        </is>
      </c>
      <c r="B163" t="inlineStr">
        <is>
          <t>鑫禾機電保養費(110/06) 總計$28,000元</t>
        </is>
      </c>
      <c r="C163" t="n">
        <v>28000</v>
      </c>
      <c r="D163" t="inlineStr">
        <is>
          <t>機電/消防/弱電/AED</t>
        </is>
      </c>
      <c r="E163" t="inlineStr">
        <is>
          <t>固定</t>
        </is>
      </c>
    </row>
    <row r="164" ht="16.5" customHeight="1" s="84">
      <c r="A164" t="inlineStr">
        <is>
          <t>2021-06</t>
        </is>
      </c>
      <c r="B164" t="inlineStr">
        <is>
          <t>景輝-園藝定期保養(110/06) 總計$28,000元</t>
        </is>
      </c>
      <c r="C164" t="n">
        <v>28000</v>
      </c>
      <c r="D164" t="inlineStr">
        <is>
          <t>垃圾廢棄物/園藝</t>
        </is>
      </c>
      <c r="E164" t="inlineStr">
        <is>
          <t>固定</t>
        </is>
      </c>
    </row>
    <row r="165" ht="16.5" customHeight="1" s="84">
      <c r="A165" t="inlineStr">
        <is>
          <t>2021-06</t>
        </is>
      </c>
      <c r="B165" t="inlineStr">
        <is>
          <t>鋐隆清潔用品 酒精$480*6=$2,880元 總計$2,880元</t>
        </is>
      </c>
      <c r="C165" t="n">
        <v>2880</v>
      </c>
      <c r="D165" t="inlineStr">
        <is>
          <t>清潔服務費</t>
        </is>
      </c>
      <c r="E165" t="inlineStr">
        <is>
          <t>非固定</t>
        </is>
      </c>
    </row>
    <row r="166" ht="16.5" customHeight="1" s="84">
      <c r="A166" t="inlineStr">
        <is>
          <t>2021-06</t>
        </is>
      </c>
      <c r="B166" t="inlineStr">
        <is>
          <t>鑫禾機電 1.偵煙感知器$500*2=$1,000元 2.噴灌重新配管$1,000*4=$4,000元 3.揚水盤新增重新偵測水位功能$1,500*5=$7,500元 4.減壓閥更新$4,500元 5.流量計更新$5,500元 總計$22,500元</t>
        </is>
      </c>
      <c r="C166" t="n">
        <v>22500</v>
      </c>
      <c r="D166" t="inlineStr">
        <is>
          <t>機電/消防/弱電/AED</t>
        </is>
      </c>
      <c r="E166" t="inlineStr">
        <is>
          <t>非固定</t>
        </is>
      </c>
    </row>
    <row r="167" ht="16.5" customHeight="1" s="84">
      <c r="A167" t="inlineStr">
        <is>
          <t>2021-06</t>
        </is>
      </c>
      <c r="B167" t="inlineStr">
        <is>
          <t>鑫禾機電 柴油$24.7*350.2L=$8,650元 工資$500元 總計$9,150元</t>
        </is>
      </c>
      <c r="C167" t="n">
        <v>9150</v>
      </c>
      <c r="D167" t="inlineStr">
        <is>
          <t>機電/消防/弱電/AED</t>
        </is>
      </c>
      <c r="E167" t="inlineStr">
        <is>
          <t>非固定</t>
        </is>
      </c>
    </row>
    <row r="168" ht="16.5" customHeight="1" s="84">
      <c r="A168" t="inlineStr">
        <is>
          <t>2021-06</t>
        </is>
      </c>
      <c r="B168" t="inlineStr">
        <is>
          <t>鴻陽運動事業有限公司-氯錠 消毒藥劑:韓製氯錠3英寸90% 50KG/桶 $5,250*6=$31,500元</t>
        </is>
      </c>
      <c r="C168" t="n">
        <v>31500</v>
      </c>
      <c r="D168" t="inlineStr">
        <is>
          <t>工程維修/購置</t>
        </is>
      </c>
      <c r="E168" t="inlineStr">
        <is>
          <t>非固定</t>
        </is>
      </c>
    </row>
    <row r="169" ht="16.5" customHeight="1" s="84">
      <c r="A169" t="inlineStr">
        <is>
          <t>2021-06</t>
        </is>
      </c>
      <c r="B169" t="inlineStr">
        <is>
          <t>禾順 疏通機房排水管$3,000元 拆裝馬桶及疏通排糞總管$4,000元 疏通馬桶$2,000元 總計$9,000元</t>
        </is>
      </c>
      <c r="C169" t="n">
        <v>9000</v>
      </c>
      <c r="D169" t="inlineStr">
        <is>
          <t>其他支出</t>
        </is>
      </c>
      <c r="E169" t="inlineStr">
        <is>
          <t>非固定</t>
        </is>
      </c>
    </row>
    <row r="170" ht="16.5" customHeight="1" s="84">
      <c r="A170" t="inlineStr">
        <is>
          <t>2021-06</t>
        </is>
      </c>
      <c r="B170" t="inlineStr">
        <is>
          <t>景輝園藝 種植栽及鋪鵝卵石工程 總計$79,480元</t>
        </is>
      </c>
      <c r="C170" t="n">
        <v>79480</v>
      </c>
      <c r="D170" t="inlineStr">
        <is>
          <t>垃圾廢棄物/園藝</t>
        </is>
      </c>
      <c r="E170" t="inlineStr">
        <is>
          <t>非固定</t>
        </is>
      </c>
    </row>
    <row r="171" ht="16.5" customHeight="1" s="84">
      <c r="A171" t="inlineStr">
        <is>
          <t>2021-06</t>
        </is>
      </c>
      <c r="B171" t="inlineStr">
        <is>
          <t>一九衛生工程行 清理化糞池20噸$1,500*20=$30,000元 總計$30,000元</t>
        </is>
      </c>
      <c r="C171" t="n">
        <v>30000</v>
      </c>
      <c r="D171" t="inlineStr">
        <is>
          <t>垃圾廢棄物/園藝</t>
        </is>
      </c>
      <c r="E171" t="inlineStr">
        <is>
          <t>非固定</t>
        </is>
      </c>
    </row>
    <row r="172" ht="16.5" customHeight="1" s="84">
      <c r="A172" t="inlineStr">
        <is>
          <t>2021-06</t>
        </is>
      </c>
      <c r="B172" t="inlineStr">
        <is>
          <t>義明清潔110.06.08 大廳天花板蜘蛛網清除總計$10,000元</t>
        </is>
      </c>
      <c r="C172" t="n">
        <v>10000</v>
      </c>
      <c r="D172" t="inlineStr">
        <is>
          <t>清潔服務費</t>
        </is>
      </c>
      <c r="E172" t="inlineStr">
        <is>
          <t>非固定</t>
        </is>
      </c>
    </row>
    <row r="173" ht="16.5" customHeight="1" s="84">
      <c r="A173" t="inlineStr">
        <is>
          <t>2021-06</t>
        </is>
      </c>
      <c r="B173" t="inlineStr">
        <is>
          <t>太古意-增設備 1KVA 飛碟110V高效能UPS$4,500元 (門禁電腦使用) 3KVA 飛碟110V高效能UPS$24,900元 (DVR+卡機車道使用-機櫃內) 5%稅金$1,470元總計$30,870元</t>
        </is>
      </c>
      <c r="C173" t="n">
        <v>30870</v>
      </c>
      <c r="D173" t="inlineStr">
        <is>
          <t>機電/消防/弱電/AED</t>
        </is>
      </c>
      <c r="E173" t="inlineStr">
        <is>
          <t>非固定</t>
        </is>
      </c>
    </row>
    <row r="174" ht="16.5" customHeight="1" s="84">
      <c r="A174" t="inlineStr">
        <is>
          <t>2021-06</t>
        </is>
      </c>
      <c r="B174" t="inlineStr">
        <is>
          <t>太古意-甲棟門禁卡機警急維修更新 TW-586-MS 卡機$5,000元 更換工資$600元，5%稅金$280元 總計$5,880元</t>
        </is>
      </c>
      <c r="C174" t="n">
        <v>5880</v>
      </c>
      <c r="D174" t="inlineStr">
        <is>
          <t>機電/消防/弱電/AED</t>
        </is>
      </c>
      <c r="E174" t="inlineStr">
        <is>
          <t>非固定</t>
        </is>
      </c>
    </row>
    <row r="175" ht="16.5" customHeight="1" s="84">
      <c r="A175" t="inlineStr">
        <is>
          <t>2021-06</t>
        </is>
      </c>
      <c r="B175" t="inlineStr">
        <is>
          <t>崇友電梯設備維修(5/28戊棟無障礙電梯) 變頻器$86,000元 PG端子卡$5,500元 變頻器信號線$4,000元 經議價總計$95,500元(含稅)</t>
        </is>
      </c>
      <c r="C175" t="n">
        <v>95500</v>
      </c>
      <c r="D175" t="inlineStr">
        <is>
          <t>電梯保養與修繕</t>
        </is>
      </c>
      <c r="E175" t="inlineStr">
        <is>
          <t>非固定</t>
        </is>
      </c>
      <c r="F175" t="inlineStr">
        <is>
          <t>電梯</t>
        </is>
      </c>
    </row>
    <row r="176" ht="16.5" customHeight="1" s="84">
      <c r="A176" t="inlineStr">
        <is>
          <t>2021-06</t>
        </is>
      </c>
      <c r="B176" t="inlineStr">
        <is>
          <t>E2疏通管路工程 總計$18,000元</t>
        </is>
      </c>
      <c r="C176" t="n">
        <v>18000</v>
      </c>
      <c r="D176" t="inlineStr">
        <is>
          <t>工程維修/購置</t>
        </is>
      </c>
      <c r="E176" t="inlineStr">
        <is>
          <t>非固定</t>
        </is>
      </c>
    </row>
    <row r="177" ht="16.5" customHeight="1" s="84">
      <c r="A177" t="inlineStr">
        <is>
          <t>2021-06</t>
        </is>
      </c>
      <c r="B177" t="inlineStr">
        <is>
          <t>社區電話費(5630533)110.05.01~110.05.31</t>
        </is>
      </c>
      <c r="C177" t="n">
        <v>1177</v>
      </c>
      <c r="D177" t="inlineStr">
        <is>
          <t>電話/網路費</t>
        </is>
      </c>
      <c r="E177" t="inlineStr">
        <is>
          <t>非固定</t>
        </is>
      </c>
    </row>
    <row r="178" ht="16.5" customHeight="1" s="84">
      <c r="A178" t="inlineStr">
        <is>
          <t>2021-06</t>
        </is>
      </c>
      <c r="B178" t="inlineStr">
        <is>
          <t>社區網路費(Y123617)110.05.01~110.05.31</t>
        </is>
      </c>
      <c r="C178" t="n">
        <v>2199</v>
      </c>
      <c r="D178" t="inlineStr">
        <is>
          <t>電話/網路費</t>
        </is>
      </c>
      <c r="E178" t="inlineStr">
        <is>
          <t>非固定</t>
        </is>
      </c>
    </row>
    <row r="179" ht="16.5" customHeight="1" s="84">
      <c r="A179" t="inlineStr">
        <is>
          <t>2021-06</t>
        </is>
      </c>
      <c r="B179" t="inlineStr">
        <is>
          <t>社區網路費(Y174790)110.05.01~110.05.31</t>
        </is>
      </c>
      <c r="C179" t="n">
        <v>1899</v>
      </c>
      <c r="D179" t="inlineStr">
        <is>
          <t>電話/網路費</t>
        </is>
      </c>
      <c r="E179" t="inlineStr">
        <is>
          <t>非固定</t>
        </is>
      </c>
    </row>
    <row r="180" ht="16.5" customHeight="1" s="84">
      <c r="A180" t="inlineStr">
        <is>
          <t>2021-06</t>
        </is>
      </c>
      <c r="B180" t="inlineStr">
        <is>
          <t>公共電費(110.04.16至110.05.15)</t>
        </is>
      </c>
      <c r="C180" t="n">
        <v>88643</v>
      </c>
      <c r="D180" t="inlineStr">
        <is>
          <t>公共水電瓦斯</t>
        </is>
      </c>
      <c r="E180" t="inlineStr">
        <is>
          <t>非固定</t>
        </is>
      </c>
    </row>
    <row r="181" ht="16.5" customHeight="1" s="84">
      <c r="A181" t="inlineStr">
        <is>
          <t>2021-06</t>
        </is>
      </c>
      <c r="B181" t="inlineStr">
        <is>
          <t>自來水費110.03.09~110.05.07</t>
        </is>
      </c>
      <c r="C181" t="n">
        <v>3881</v>
      </c>
      <c r="D181" t="inlineStr">
        <is>
          <t>公共水電瓦斯</t>
        </is>
      </c>
      <c r="E181" t="inlineStr">
        <is>
          <t>非固定</t>
        </is>
      </c>
    </row>
    <row r="182" ht="16.5" customHeight="1" s="84">
      <c r="A182" t="inlineStr">
        <is>
          <t>2021-07</t>
        </is>
      </c>
      <c r="B182" t="inlineStr">
        <is>
          <t>零用金撥補(110/07) 總計$8,615元</t>
        </is>
      </c>
      <c r="C182" t="n">
        <v>8615</v>
      </c>
      <c r="D182" t="inlineStr">
        <is>
          <t>內部轉帳</t>
        </is>
      </c>
      <c r="E182" t="inlineStr">
        <is>
          <t>非固定</t>
        </is>
      </c>
    </row>
    <row r="183" ht="16.5" customHeight="1" s="84">
      <c r="A183" t="inlineStr">
        <is>
          <t>2021-07</t>
        </is>
      </c>
      <c r="B183" t="inlineStr">
        <is>
          <t>管委會出席費用(預領) 總計$8000元</t>
        </is>
      </c>
      <c r="C183" t="n">
        <v>8000</v>
      </c>
      <c r="D183" t="inlineStr">
        <is>
          <t>內部轉帳</t>
        </is>
      </c>
      <c r="E183" t="inlineStr">
        <is>
          <t>非固定</t>
        </is>
      </c>
    </row>
    <row r="184" ht="16.5" customHeight="1" s="84">
      <c r="A184" t="inlineStr">
        <is>
          <t>2021-07</t>
        </is>
      </c>
      <c r="B184" t="inlineStr">
        <is>
          <t>電梯專用款撥補(110/07) 總計$50000元</t>
        </is>
      </c>
      <c r="C184" t="n">
        <v>50000</v>
      </c>
      <c r="D184" t="inlineStr">
        <is>
          <t>內部轉帳</t>
        </is>
      </c>
      <c r="E184" t="inlineStr">
        <is>
          <t>非固定</t>
        </is>
      </c>
    </row>
    <row r="185" ht="16.5" customHeight="1" s="84">
      <c r="A185" t="inlineStr">
        <is>
          <t>2021-07</t>
        </is>
      </c>
      <c r="B185" t="inlineStr">
        <is>
          <t>德懋物業公司(110/07)管理服務費：社區經理乙員，社區秘書乙員，警衛服務人員兩哨。 總計$359,100元</t>
        </is>
      </c>
      <c r="C185" t="n">
        <v>359100</v>
      </c>
      <c r="D185" t="inlineStr">
        <is>
          <t>其他支出</t>
        </is>
      </c>
      <c r="E185" t="inlineStr">
        <is>
          <t>固定</t>
        </is>
      </c>
    </row>
    <row r="186" ht="16.5" customHeight="1" s="84">
      <c r="A186" t="inlineStr">
        <is>
          <t>2021-07</t>
        </is>
      </c>
      <c r="B186" t="inlineStr">
        <is>
          <t>順達清潔服務費(110/07) 總計$99,000元</t>
        </is>
      </c>
      <c r="C186" t="n">
        <v>99000</v>
      </c>
      <c r="D186" t="inlineStr">
        <is>
          <t>清潔服務費</t>
        </is>
      </c>
      <c r="E186" t="inlineStr">
        <is>
          <t>固定</t>
        </is>
      </c>
    </row>
    <row r="187" ht="16.5" customHeight="1" s="84">
      <c r="A187" t="inlineStr">
        <is>
          <t>2021-07</t>
        </is>
      </c>
      <c r="B187" t="inlineStr">
        <is>
          <t>義明清潔服務費(110/07) 總計$99,000元</t>
        </is>
      </c>
      <c r="C187" t="n">
        <v>99000</v>
      </c>
      <c r="D187" t="inlineStr">
        <is>
          <t>清潔服務費</t>
        </is>
      </c>
      <c r="E187" t="inlineStr">
        <is>
          <t>固定</t>
        </is>
      </c>
    </row>
    <row r="188" ht="16.5" customHeight="1" s="84">
      <c r="A188" t="inlineStr">
        <is>
          <t>2021-07</t>
        </is>
      </c>
      <c r="B188" t="inlineStr">
        <is>
          <t>侑昇-泳池機房保養(110/07) 總計$3,500元(保養合約於110年7月開始，保養金額$3,500/月)</t>
        </is>
      </c>
      <c r="C188" t="n">
        <v>3500</v>
      </c>
      <c r="D188" t="inlineStr">
        <is>
          <t>其他支出</t>
        </is>
      </c>
      <c r="E188" t="inlineStr">
        <is>
          <t>固定</t>
        </is>
      </c>
      <c r="F188" t="inlineStr">
        <is>
          <t>游泳池</t>
        </is>
      </c>
    </row>
    <row r="189" ht="16.5" customHeight="1" s="84">
      <c r="A189" t="inlineStr">
        <is>
          <t>2021-07</t>
        </is>
      </c>
      <c r="B189" t="inlineStr">
        <is>
          <t>崇友電梯(110/07)電梯保養 總計$100,000元</t>
        </is>
      </c>
      <c r="C189" t="n">
        <v>100000</v>
      </c>
      <c r="D189" t="inlineStr">
        <is>
          <t>電梯保養與修繕</t>
        </is>
      </c>
      <c r="E189" t="inlineStr">
        <is>
          <t>固定</t>
        </is>
      </c>
    </row>
    <row r="190" ht="16.5" customHeight="1" s="84">
      <c r="A190" t="inlineStr">
        <is>
          <t>2021-07</t>
        </is>
      </c>
      <c r="B190" t="inlineStr">
        <is>
          <t>AED(110/08)租賃費 總計$1,500元</t>
        </is>
      </c>
      <c r="C190" t="n">
        <v>1500</v>
      </c>
      <c r="D190" t="inlineStr">
        <is>
          <t>機電/消防/弱電/AED</t>
        </is>
      </c>
      <c r="E190" t="inlineStr">
        <is>
          <t>固定</t>
        </is>
      </c>
    </row>
    <row r="191" ht="16.5" customHeight="1" s="84">
      <c r="A191" t="inlineStr">
        <is>
          <t>2021-07</t>
        </is>
      </c>
      <c r="B191" t="inlineStr">
        <is>
          <t>御品寬頻(110/07)網路服務租賃 總計$9,450元</t>
        </is>
      </c>
      <c r="C191" t="n">
        <v>9450</v>
      </c>
      <c r="D191" t="inlineStr">
        <is>
          <t>機電/消防/弱電/AED</t>
        </is>
      </c>
      <c r="E191" t="inlineStr">
        <is>
          <t>固定</t>
        </is>
      </c>
    </row>
    <row r="192" ht="16.5" customHeight="1" s="84">
      <c r="A192" t="inlineStr">
        <is>
          <t>2021-07</t>
        </is>
      </c>
      <c r="B192" t="inlineStr">
        <is>
          <t>新鑫堯(110/07) 廢棄物清除$25,000元 清潔費$5,000元 總計$30000元</t>
        </is>
      </c>
      <c r="C192" t="n">
        <v>30000</v>
      </c>
      <c r="D192" t="inlineStr">
        <is>
          <t>垃圾廢棄物/園藝</t>
        </is>
      </c>
      <c r="E192" t="inlineStr">
        <is>
          <t>固定</t>
        </is>
      </c>
    </row>
    <row r="193" ht="16.5" customHeight="1" s="84">
      <c r="A193" t="inlineStr">
        <is>
          <t>2021-07</t>
        </is>
      </c>
      <c r="B193" t="inlineStr">
        <is>
          <t>太古意門禁維護檢點費(110/07) 總計$10,000元</t>
        </is>
      </c>
      <c r="C193" t="n">
        <v>10000</v>
      </c>
      <c r="D193" t="inlineStr">
        <is>
          <t>機電/消防/弱電/AED</t>
        </is>
      </c>
      <c r="E193" t="inlineStr">
        <is>
          <t>固定</t>
        </is>
      </c>
    </row>
    <row r="194" ht="16.5" customHeight="1" s="84">
      <c r="A194" t="inlineStr">
        <is>
          <t>2021-07</t>
        </is>
      </c>
      <c r="B194" t="inlineStr">
        <is>
          <t>鑫禾機電保養費(110/07) 總計$28,000元</t>
        </is>
      </c>
      <c r="C194" t="n">
        <v>28000</v>
      </c>
      <c r="D194" t="inlineStr">
        <is>
          <t>機電/消防/弱電/AED</t>
        </is>
      </c>
      <c r="E194" t="inlineStr">
        <is>
          <t>固定</t>
        </is>
      </c>
    </row>
    <row r="195" ht="16.5" customHeight="1" s="84">
      <c r="A195" t="inlineStr">
        <is>
          <t>2021-07</t>
        </is>
      </c>
      <c r="B195" t="inlineStr">
        <is>
          <t>景輝-園藝定期保養(110/07) 總計$28,000元</t>
        </is>
      </c>
      <c r="C195" t="n">
        <v>28000</v>
      </c>
      <c r="D195" t="inlineStr">
        <is>
          <t>垃圾廢棄物/園藝</t>
        </is>
      </c>
      <c r="E195" t="inlineStr">
        <is>
          <t>固定</t>
        </is>
      </c>
    </row>
    <row r="196" ht="16.5" customHeight="1" s="84">
      <c r="A196" t="inlineStr">
        <is>
          <t>2021-07</t>
        </is>
      </c>
      <c r="B196" t="inlineStr">
        <is>
          <t>鋐隆清潔用品 抽取式衛生紙$950元 紅龍珍珠洗手乳$180*4=$720元 小捲衛生紙$400*2=$800元 小垃圾袋$950元 擦手紙$420元 大垃圾袋$46*25=$1,150元 總計$4,990元</t>
        </is>
      </c>
      <c r="C196" t="n">
        <v>4990</v>
      </c>
      <c r="D196" t="inlineStr">
        <is>
          <t>清潔服務費</t>
        </is>
      </c>
      <c r="E196" t="inlineStr">
        <is>
          <t>非固定</t>
        </is>
      </c>
    </row>
    <row r="197" ht="16.5" customHeight="1" s="84">
      <c r="A197" t="inlineStr">
        <is>
          <t>2021-07</t>
        </is>
      </c>
      <c r="B197" t="inlineStr">
        <is>
          <t>鑫禾機電 1.LED杯燈$350*6=$2,100元 2.噴灌頭$500元 3.泳池設備修繕$36,050元 4.採水機組底閥更換$25,000元 5.B1丁棟外新增照明工程$4,750元 6.排風扇更新$2,500元 總計$70,900元</t>
        </is>
      </c>
      <c r="C197" t="n">
        <v>70900</v>
      </c>
      <c r="D197" t="inlineStr">
        <is>
          <t>機電/消防/弱電/AED</t>
        </is>
      </c>
      <c r="E197" t="inlineStr">
        <is>
          <t>非固定</t>
        </is>
      </c>
      <c r="F197" t="inlineStr">
        <is>
          <t>游泳池</t>
        </is>
      </c>
    </row>
    <row r="198" ht="16.5" customHeight="1" s="84">
      <c r="A198" t="inlineStr">
        <is>
          <t>2021-07</t>
        </is>
      </c>
      <c r="B198" t="inlineStr">
        <is>
          <t>崇友電梯設備維修 甲棟貨梯更換光電式著床開關(九大) 總計$15,750元</t>
        </is>
      </c>
      <c r="C198" t="n">
        <v>15750</v>
      </c>
      <c r="D198" t="inlineStr">
        <is>
          <t>電梯保養與修繕</t>
        </is>
      </c>
      <c r="E198" t="inlineStr">
        <is>
          <t>非固定</t>
        </is>
      </c>
      <c r="F198" t="inlineStr">
        <is>
          <t>電梯</t>
        </is>
      </c>
    </row>
    <row r="199" ht="16.5" customHeight="1" s="84">
      <c r="A199" t="inlineStr">
        <is>
          <t>2021-07</t>
        </is>
      </c>
      <c r="B199" t="inlineStr">
        <is>
          <t>蔡甫欣律師事務所 法律顧問費用(110.7.20~111.7.19) 總計$25,000元</t>
        </is>
      </c>
      <c r="C199" t="n">
        <v>25000</v>
      </c>
      <c r="D199" t="inlineStr">
        <is>
          <t>行政/會議/律師</t>
        </is>
      </c>
      <c r="E199" t="inlineStr">
        <is>
          <t>非固定</t>
        </is>
      </c>
    </row>
    <row r="200" ht="16.5" customHeight="1" s="84">
      <c r="A200" t="inlineStr">
        <is>
          <t>2021-07</t>
        </is>
      </c>
      <c r="B200" t="inlineStr">
        <is>
          <t>經理筆電 15吋輕薄筆電-星空銀$28,500元 (筆電網購，主委先代墊，請現金款還主委) 由第六屆管委會LINE上決議辦理事項</t>
        </is>
      </c>
      <c r="C200" t="n">
        <v>28500</v>
      </c>
      <c r="D200" t="inlineStr">
        <is>
          <t>其他支出</t>
        </is>
      </c>
      <c r="E200" t="inlineStr">
        <is>
          <t>非固定</t>
        </is>
      </c>
    </row>
    <row r="201" ht="16.5" customHeight="1" s="84">
      <c r="A201" t="inlineStr">
        <is>
          <t>2021-07</t>
        </is>
      </c>
      <c r="B201" t="inlineStr">
        <is>
          <t>富邦產險 商業火災險(110.06.29~111.06.29) 總計$8,000元 (取現金至便利商店繳費) 由第六屆110.06.16管委會會議決議事項辦理</t>
        </is>
      </c>
      <c r="C201" t="n">
        <v>8000</v>
      </c>
      <c r="D201" t="inlineStr">
        <is>
          <t>其他支出</t>
        </is>
      </c>
      <c r="E201" t="inlineStr">
        <is>
          <t>非固定</t>
        </is>
      </c>
    </row>
    <row r="202" ht="15" customHeight="1" s="84">
      <c r="A202" t="inlineStr">
        <is>
          <t>2021-07</t>
        </is>
      </c>
      <c r="B202" t="inlineStr">
        <is>
          <t>富邦產險 公共意外險(110.06.29~111.06.29) 總計$7,235元 (取現金至便利商店繳費) 由第六屆110.06.16管委會會議決議事項辦理</t>
        </is>
      </c>
      <c r="C202" t="n">
        <v>7235</v>
      </c>
      <c r="D202" t="inlineStr">
        <is>
          <t>其他支出</t>
        </is>
      </c>
      <c r="E202" t="inlineStr">
        <is>
          <t>非固定</t>
        </is>
      </c>
    </row>
    <row r="203" ht="16.5" customHeight="1" s="84">
      <c r="A203" t="inlineStr">
        <is>
          <t>2021-07</t>
        </is>
      </c>
      <c r="B203" t="inlineStr">
        <is>
          <t>新鑫堯6月增桶 6月增桶$600*28.5=17,100元， 廠商優惠折$8,600元 計$17,100-8,600=8,500元 總計$8,500元</t>
        </is>
      </c>
      <c r="C203" t="n">
        <v>8500</v>
      </c>
      <c r="D203" t="inlineStr">
        <is>
          <t>垃圾廢棄物/園藝</t>
        </is>
      </c>
      <c r="E203" t="inlineStr">
        <is>
          <t>非固定</t>
        </is>
      </c>
    </row>
    <row r="204" ht="16.5" customHeight="1" s="84">
      <c r="A204" t="inlineStr">
        <is>
          <t>2021-07</t>
        </is>
      </c>
      <c r="B204" t="inlineStr">
        <is>
          <t>太古意監視器工程款 監視器新增及舊鏡頭升級工程 總金額$756,683元 第一期$227,005元(110.07支付) 第二期$454,010元 第三期尾款$75,668元</t>
        </is>
      </c>
      <c r="C204" t="n">
        <v>227005</v>
      </c>
      <c r="D204" t="inlineStr">
        <is>
          <t>機電/消防/弱電/AED</t>
        </is>
      </c>
      <c r="E204" t="inlineStr">
        <is>
          <t>非固定</t>
        </is>
      </c>
    </row>
    <row r="205" ht="16.5" customHeight="1" s="84">
      <c r="A205" t="inlineStr">
        <is>
          <t>2021-07</t>
        </is>
      </c>
      <c r="B205" t="inlineStr">
        <is>
          <t>社區電話費(5630533)110.06.01~110.06.30</t>
        </is>
      </c>
      <c r="C205" t="n">
        <v>799</v>
      </c>
      <c r="D205" t="inlineStr">
        <is>
          <t>電話/網路費</t>
        </is>
      </c>
      <c r="E205" t="inlineStr">
        <is>
          <t>非固定</t>
        </is>
      </c>
    </row>
    <row r="206" ht="16.5" customHeight="1" s="84">
      <c r="A206" t="inlineStr">
        <is>
          <t>2021-07</t>
        </is>
      </c>
      <c r="B206" t="inlineStr">
        <is>
          <t>社區網路費(Y123617)110.06.01~110.06.30</t>
        </is>
      </c>
      <c r="C206" t="n">
        <v>2199</v>
      </c>
      <c r="D206" t="inlineStr">
        <is>
          <t>電話/網路費</t>
        </is>
      </c>
      <c r="E206" t="inlineStr">
        <is>
          <t>非固定</t>
        </is>
      </c>
    </row>
    <row r="207" ht="16.5" customHeight="1" s="84">
      <c r="A207" t="inlineStr">
        <is>
          <t>2021-07</t>
        </is>
      </c>
      <c r="B207" t="inlineStr">
        <is>
          <t>社區網路費(Y174790)110.06.01~110.06.30</t>
        </is>
      </c>
      <c r="C207" t="n">
        <v>1899</v>
      </c>
      <c r="D207" t="inlineStr">
        <is>
          <t>電話/網路費</t>
        </is>
      </c>
      <c r="E207" t="inlineStr">
        <is>
          <t>非固定</t>
        </is>
      </c>
    </row>
    <row r="208" ht="16.5" customHeight="1" s="84">
      <c r="A208" t="inlineStr">
        <is>
          <t>2021-07</t>
        </is>
      </c>
      <c r="B208" t="inlineStr">
        <is>
          <t>公共電費(110.05.17至110.06.15)</t>
        </is>
      </c>
      <c r="C208" t="n">
        <v>89266</v>
      </c>
      <c r="D208" t="inlineStr">
        <is>
          <t>公共水電瓦斯</t>
        </is>
      </c>
      <c r="E208" t="inlineStr">
        <is>
          <t>非固定</t>
        </is>
      </c>
    </row>
    <row r="209" ht="16.5" customHeight="1" s="84">
      <c r="A209" t="inlineStr">
        <is>
          <t>2021-07</t>
        </is>
      </c>
      <c r="B209" t="inlineStr">
        <is>
          <t>自來水費</t>
        </is>
      </c>
      <c r="C209" t="n">
        <v>0</v>
      </c>
      <c r="D209" t="inlineStr">
        <is>
          <t>公共水電瓦斯</t>
        </is>
      </c>
      <c r="E209" t="inlineStr">
        <is>
          <t>非固定</t>
        </is>
      </c>
    </row>
    <row r="210" ht="16.5" customHeight="1" s="84">
      <c r="A210" t="inlineStr">
        <is>
          <t>2021-08</t>
        </is>
      </c>
      <c r="B210" t="inlineStr">
        <is>
          <t>零用金撥補(110/08) 總計$5,596元</t>
        </is>
      </c>
      <c r="C210" t="n">
        <v>5596</v>
      </c>
      <c r="D210" t="inlineStr">
        <is>
          <t>內部轉帳</t>
        </is>
      </c>
      <c r="E210" t="inlineStr">
        <is>
          <t>非固定</t>
        </is>
      </c>
    </row>
    <row r="211" ht="16.5" customHeight="1" s="84">
      <c r="A211" t="inlineStr">
        <is>
          <t>2021-08</t>
        </is>
      </c>
      <c r="B211" t="inlineStr">
        <is>
          <t>管委會出席費用(預領) 總計$8000元</t>
        </is>
      </c>
      <c r="C211" t="n">
        <v>8000</v>
      </c>
      <c r="D211" t="inlineStr">
        <is>
          <t>內部轉帳</t>
        </is>
      </c>
      <c r="E211" t="inlineStr">
        <is>
          <t>非固定</t>
        </is>
      </c>
    </row>
    <row r="212" ht="16.5" customHeight="1" s="84">
      <c r="A212" t="inlineStr">
        <is>
          <t>2021-08</t>
        </is>
      </c>
      <c r="B212" t="inlineStr">
        <is>
          <t>電梯專用款撥補(110/08) 總計$50000元</t>
        </is>
      </c>
      <c r="C212" t="n">
        <v>50000</v>
      </c>
      <c r="D212" t="inlineStr">
        <is>
          <t>內部轉帳</t>
        </is>
      </c>
      <c r="E212" t="inlineStr">
        <is>
          <t>非固定</t>
        </is>
      </c>
    </row>
    <row r="213" ht="16.5" customHeight="1" s="84">
      <c r="A213" t="inlineStr">
        <is>
          <t>2021-08</t>
        </is>
      </c>
      <c r="B213" t="inlineStr">
        <is>
          <t>德懋物業公司(110/08)管理服務費：社區經理乙員，社區秘書乙員，警衛服務人員兩哨。 總計$359,100元</t>
        </is>
      </c>
      <c r="C213" t="n">
        <v>359100</v>
      </c>
      <c r="D213" t="inlineStr">
        <is>
          <t>其他支出</t>
        </is>
      </c>
      <c r="E213" t="inlineStr">
        <is>
          <t>固定</t>
        </is>
      </c>
    </row>
    <row r="214" ht="16.5" customHeight="1" s="84">
      <c r="A214" t="inlineStr">
        <is>
          <t>2021-08</t>
        </is>
      </c>
      <c r="B214" t="inlineStr">
        <is>
          <t>順達清潔服務費(110/08) 總計$99,000元</t>
        </is>
      </c>
      <c r="C214" t="n">
        <v>99000</v>
      </c>
      <c r="D214" t="inlineStr">
        <is>
          <t>清潔服務費</t>
        </is>
      </c>
      <c r="E214" t="inlineStr">
        <is>
          <t>固定</t>
        </is>
      </c>
    </row>
    <row r="215" ht="16.5" customHeight="1" s="84">
      <c r="A215" t="inlineStr">
        <is>
          <t>2021-08</t>
        </is>
      </c>
      <c r="B215" t="inlineStr">
        <is>
          <t>義明清潔服務費(110/08) 總計$99,000元</t>
        </is>
      </c>
      <c r="C215" t="n">
        <v>99000</v>
      </c>
      <c r="D215" t="inlineStr">
        <is>
          <t>清潔服務費</t>
        </is>
      </c>
      <c r="E215" t="inlineStr">
        <is>
          <t>固定</t>
        </is>
      </c>
    </row>
    <row r="216" ht="16.5" customHeight="1" s="84">
      <c r="A216" t="inlineStr">
        <is>
          <t>2021-08</t>
        </is>
      </c>
      <c r="B216" t="inlineStr">
        <is>
          <t>侑昇-泳池機房保養(110/08) 總計$3,500元(保養合約於110年7月開始，保養金額$3,500/月)</t>
        </is>
      </c>
      <c r="C216" t="n">
        <v>3500</v>
      </c>
      <c r="D216" t="inlineStr">
        <is>
          <t>其他支出</t>
        </is>
      </c>
      <c r="E216" t="inlineStr">
        <is>
          <t>固定</t>
        </is>
      </c>
      <c r="F216" t="inlineStr">
        <is>
          <t>游泳池</t>
        </is>
      </c>
    </row>
    <row r="217" ht="16.5" customHeight="1" s="84">
      <c r="A217" t="inlineStr">
        <is>
          <t>2021-08</t>
        </is>
      </c>
      <c r="B217" t="inlineStr">
        <is>
          <t>崇友電梯(110/08)電梯保養 總計$100,000元</t>
        </is>
      </c>
      <c r="C217" t="n">
        <v>100000</v>
      </c>
      <c r="D217" t="inlineStr">
        <is>
          <t>電梯保養與修繕</t>
        </is>
      </c>
      <c r="E217" t="inlineStr">
        <is>
          <t>固定</t>
        </is>
      </c>
    </row>
    <row r="218" ht="16.5" customHeight="1" s="84">
      <c r="A218" t="inlineStr">
        <is>
          <t>2021-08</t>
        </is>
      </c>
      <c r="B218" t="inlineStr">
        <is>
          <t>AED(110/09)租賃費 總計$1,500元</t>
        </is>
      </c>
      <c r="C218" t="n">
        <v>1500</v>
      </c>
      <c r="D218" t="inlineStr">
        <is>
          <t>機電/消防/弱電/AED</t>
        </is>
      </c>
      <c r="E218" t="inlineStr">
        <is>
          <t>固定</t>
        </is>
      </c>
    </row>
    <row r="219" ht="16.5" customHeight="1" s="84">
      <c r="A219" t="inlineStr">
        <is>
          <t>2021-08</t>
        </is>
      </c>
      <c r="B219" t="inlineStr">
        <is>
          <t>御品寬頻(110/08)網路服務租賃 總計$9,450元</t>
        </is>
      </c>
      <c r="C219" t="n">
        <v>9450</v>
      </c>
      <c r="D219" t="inlineStr">
        <is>
          <t>機電/消防/弱電/AED</t>
        </is>
      </c>
      <c r="E219" t="inlineStr">
        <is>
          <t>固定</t>
        </is>
      </c>
    </row>
    <row r="220" ht="16.5" customHeight="1" s="84">
      <c r="A220" t="inlineStr">
        <is>
          <t>2021-08</t>
        </is>
      </c>
      <c r="B220" t="inlineStr">
        <is>
          <t>新鑫堯(110/08) 廢棄物清除$25,000元 清潔費$5,000元 總計$30000元</t>
        </is>
      </c>
      <c r="C220" t="n">
        <v>30000</v>
      </c>
      <c r="D220" t="inlineStr">
        <is>
          <t>垃圾廢棄物/園藝</t>
        </is>
      </c>
      <c r="E220" t="inlineStr">
        <is>
          <t>固定</t>
        </is>
      </c>
    </row>
    <row r="221" ht="16.5" customHeight="1" s="84">
      <c r="A221" t="inlineStr">
        <is>
          <t>2021-08</t>
        </is>
      </c>
      <c r="B221" t="inlineStr">
        <is>
          <t>太古意門禁維護檢點費(110/08) 總計$10,000元</t>
        </is>
      </c>
      <c r="C221" t="n">
        <v>10000</v>
      </c>
      <c r="D221" t="inlineStr">
        <is>
          <t>機電/消防/弱電/AED</t>
        </is>
      </c>
      <c r="E221" t="inlineStr">
        <is>
          <t>固定</t>
        </is>
      </c>
    </row>
    <row r="222" ht="16.5" customHeight="1" s="84">
      <c r="A222" t="inlineStr">
        <is>
          <t>2021-08</t>
        </is>
      </c>
      <c r="B222" t="inlineStr">
        <is>
          <t>鑫禾機電保養費(110/08) 總計$28,000元</t>
        </is>
      </c>
      <c r="C222" t="n">
        <v>28000</v>
      </c>
      <c r="D222" t="inlineStr">
        <is>
          <t>機電/消防/弱電/AED</t>
        </is>
      </c>
      <c r="E222" t="inlineStr">
        <is>
          <t>固定</t>
        </is>
      </c>
    </row>
    <row r="223" ht="16.5" customHeight="1" s="84">
      <c r="A223" t="inlineStr">
        <is>
          <t>2021-08</t>
        </is>
      </c>
      <c r="B223" t="inlineStr">
        <is>
          <t>景輝-園藝定期保養(110/08) 總計$28,000元</t>
        </is>
      </c>
      <c r="C223" t="n">
        <v>28000</v>
      </c>
      <c r="D223" t="inlineStr">
        <is>
          <t>垃圾廢棄物/園藝</t>
        </is>
      </c>
      <c r="E223" t="inlineStr">
        <is>
          <t>固定</t>
        </is>
      </c>
    </row>
    <row r="224" ht="16.5" customHeight="1" s="84">
      <c r="A224" t="inlineStr">
        <is>
          <t>2021-08</t>
        </is>
      </c>
      <c r="B224" t="inlineStr">
        <is>
          <t>鋐隆清潔用品 紅龍珍珠洗手乳$180*2=$360元 小捲衛生紙$400*1=$400元 小垃圾袋$950元 擦手紙$420元 大垃圾袋$46*25=$1,150元 總計$3,280元</t>
        </is>
      </c>
      <c r="C224" t="n">
        <v>3280</v>
      </c>
      <c r="D224" t="inlineStr">
        <is>
          <t>清潔服務費</t>
        </is>
      </c>
      <c r="E224" t="inlineStr">
        <is>
          <t>非固定</t>
        </is>
      </c>
    </row>
    <row r="225" ht="16.5" customHeight="1" s="84">
      <c r="A225" t="inlineStr">
        <is>
          <t>2021-08</t>
        </is>
      </c>
      <c r="B225" t="inlineStr">
        <is>
          <t>鑫禾機電 1.電燈感應器(501)$700*3=$2,100元 2.LED-MR16$350*8=$2,800元 總計$4,900元</t>
        </is>
      </c>
      <c r="C225" t="n">
        <v>4900</v>
      </c>
      <c r="D225" t="inlineStr">
        <is>
          <t>機電/消防/弱電/AED</t>
        </is>
      </c>
      <c r="E225" t="inlineStr">
        <is>
          <t>非固定</t>
        </is>
      </c>
    </row>
    <row r="226" ht="16.5" customHeight="1" s="84">
      <c r="A226" t="inlineStr">
        <is>
          <t>2021-08</t>
        </is>
      </c>
      <c r="B226" t="inlineStr">
        <is>
          <t>崇友電梯設備維修 戊棟貨梯更換橫流扇風機 總計$4,620元</t>
        </is>
      </c>
      <c r="C226" t="n">
        <v>4620</v>
      </c>
      <c r="D226" t="inlineStr">
        <is>
          <t>電梯保養與修繕</t>
        </is>
      </c>
      <c r="E226" t="inlineStr">
        <is>
          <t>非固定</t>
        </is>
      </c>
      <c r="F226" t="inlineStr">
        <is>
          <t>電梯</t>
        </is>
      </c>
    </row>
    <row r="227" ht="16.5" customHeight="1" s="84">
      <c r="A227" t="inlineStr">
        <is>
          <t>2021-08</t>
        </is>
      </c>
      <c r="B227" t="inlineStr">
        <is>
          <t>新鑫堯7月增桶 7月增桶$600*13=7,800元， 總計$7,800元</t>
        </is>
      </c>
      <c r="C227" t="n">
        <v>7800</v>
      </c>
      <c r="D227" t="inlineStr">
        <is>
          <t>垃圾廢棄物/園藝</t>
        </is>
      </c>
      <c r="E227" t="inlineStr">
        <is>
          <t>非固定</t>
        </is>
      </c>
    </row>
    <row r="228" ht="16.5" customHeight="1" s="84">
      <c r="A228" t="inlineStr">
        <is>
          <t>2021-08</t>
        </is>
      </c>
      <c r="B228" t="inlineStr">
        <is>
          <t>太古意 ETAG貼紙$80*50=$4,000元 5%稅金$200元 總計$4,200元 (此款項$4,000元會列入暫放款，如同零用金及AED押金)</t>
        </is>
      </c>
      <c r="C228" t="n">
        <v>4200</v>
      </c>
      <c r="D228" t="inlineStr">
        <is>
          <t>機電/消防/弱電/AED</t>
        </is>
      </c>
      <c r="E228" t="inlineStr">
        <is>
          <t>非固定</t>
        </is>
      </c>
    </row>
    <row r="229" ht="16.5" customHeight="1" s="84">
      <c r="A229" t="inlineStr">
        <is>
          <t>2021-08</t>
        </is>
      </c>
      <c r="B229" t="inlineStr">
        <is>
          <t>育丞石材 鬆動處理 1.外中庭水池立板$300*8=$2,400元 2.景觀步道園區$300*2=$600元 3.M層健身房外面石材$300*3=$900元 4.丁棟1樓電梯牆美容修補(斷裂補平研磨) $4,000元 總計$7,900元</t>
        </is>
      </c>
      <c r="C229" t="n">
        <v>7900</v>
      </c>
      <c r="D229" t="inlineStr">
        <is>
          <t>垃圾廢棄物/園藝</t>
        </is>
      </c>
      <c r="E229" t="inlineStr">
        <is>
          <t>非固定</t>
        </is>
      </c>
      <c r="F229" t="inlineStr">
        <is>
          <t>電梯</t>
        </is>
      </c>
    </row>
    <row r="230" ht="15" customHeight="1" s="84">
      <c r="A230" t="inlineStr">
        <is>
          <t>2021-08</t>
        </is>
      </c>
      <c r="B230" t="inlineStr">
        <is>
          <t>佳和企業有限公司 回收室大門修繕 總計$6,300元</t>
        </is>
      </c>
      <c r="C230" t="n">
        <v>6300</v>
      </c>
      <c r="D230" t="inlineStr">
        <is>
          <t>其他支出</t>
        </is>
      </c>
      <c r="E230" t="inlineStr">
        <is>
          <t>非固定</t>
        </is>
      </c>
    </row>
    <row r="231" ht="16.5" customHeight="1" s="84">
      <c r="A231" t="inlineStr">
        <is>
          <t>2021-08</t>
        </is>
      </c>
      <c r="B231" t="inlineStr">
        <is>
          <t>振洪工程(木工) 1.KTV室門鎖、甲棟頂樓消防栓箱木門、丁棟梯廳N11門前處安全門裝潢木料才脫落$4,500元 由第六屆管委會110.08.11會議上決議辦理事項</t>
        </is>
      </c>
      <c r="C231" t="n">
        <v>4500</v>
      </c>
      <c r="D231" t="inlineStr">
        <is>
          <t>機電/消防/弱電/AED</t>
        </is>
      </c>
      <c r="E231" t="inlineStr">
        <is>
          <t>非固定</t>
        </is>
      </c>
    </row>
    <row r="232" ht="16.5" customHeight="1" s="84">
      <c r="A232" t="inlineStr">
        <is>
          <t>2021-08</t>
        </is>
      </c>
      <c r="B232" t="inlineStr">
        <is>
          <t>雋維國際貿易 B1女廁馬桶蓋更換$2,000元</t>
        </is>
      </c>
      <c r="C232" t="n">
        <v>2000</v>
      </c>
      <c r="D232" t="inlineStr">
        <is>
          <t>其他支出</t>
        </is>
      </c>
      <c r="E232" t="inlineStr">
        <is>
          <t>非固定</t>
        </is>
      </c>
    </row>
    <row r="233" ht="16.5" customHeight="1" s="84">
      <c r="A233" t="inlineStr">
        <is>
          <t>2021-08</t>
        </is>
      </c>
      <c r="B233" t="inlineStr">
        <is>
          <t>社區電話費(5630533)110.06.01~110.06.30</t>
        </is>
      </c>
      <c r="C233" t="n">
        <v>1032</v>
      </c>
      <c r="D233" t="inlineStr">
        <is>
          <t>電話/網路費</t>
        </is>
      </c>
      <c r="E233" t="inlineStr">
        <is>
          <t>非固定</t>
        </is>
      </c>
    </row>
    <row r="234" ht="16.5" customHeight="1" s="84">
      <c r="A234" t="inlineStr">
        <is>
          <t>2021-08</t>
        </is>
      </c>
      <c r="B234" t="inlineStr">
        <is>
          <t>社區網路費(Y123617)110.06.01~110.06.30</t>
        </is>
      </c>
      <c r="C234" t="n">
        <v>2199</v>
      </c>
      <c r="D234" t="inlineStr">
        <is>
          <t>電話/網路費</t>
        </is>
      </c>
      <c r="E234" t="inlineStr">
        <is>
          <t>非固定</t>
        </is>
      </c>
    </row>
    <row r="235" ht="16.5" customHeight="1" s="84">
      <c r="A235" t="inlineStr">
        <is>
          <t>2021-08</t>
        </is>
      </c>
      <c r="B235" t="inlineStr">
        <is>
          <t>社區網路費(Y174790)110.06.01~110.06.30</t>
        </is>
      </c>
      <c r="C235" t="n">
        <v>1899</v>
      </c>
      <c r="D235" t="inlineStr">
        <is>
          <t>電話/網路費</t>
        </is>
      </c>
      <c r="E235" t="inlineStr">
        <is>
          <t>非固定</t>
        </is>
      </c>
    </row>
    <row r="236" ht="16.5" customHeight="1" s="84">
      <c r="A236" t="inlineStr">
        <is>
          <t>2021-08</t>
        </is>
      </c>
      <c r="B236" t="inlineStr">
        <is>
          <t>公共電費(110.05.17至110.06.15)</t>
        </is>
      </c>
      <c r="C236" t="n">
        <v>88231</v>
      </c>
      <c r="D236" t="inlineStr">
        <is>
          <t>公共水電瓦斯</t>
        </is>
      </c>
      <c r="E236" t="inlineStr">
        <is>
          <t>非固定</t>
        </is>
      </c>
    </row>
    <row r="237" ht="16.5" customHeight="1" s="84">
      <c r="A237" t="inlineStr">
        <is>
          <t>2021-08</t>
        </is>
      </c>
      <c r="B237" t="inlineStr">
        <is>
          <t>自來水費</t>
        </is>
      </c>
      <c r="C237" t="n">
        <v>15190</v>
      </c>
      <c r="D237" t="inlineStr">
        <is>
          <t>公共水電瓦斯</t>
        </is>
      </c>
      <c r="E237" t="inlineStr">
        <is>
          <t>非固定</t>
        </is>
      </c>
    </row>
    <row r="238" ht="16.5" customHeight="1" s="84">
      <c r="A238" t="inlineStr">
        <is>
          <t>2021-09</t>
        </is>
      </c>
      <c r="B238" t="inlineStr">
        <is>
          <t>零用金撥補(110/09) 總計$5,877元</t>
        </is>
      </c>
      <c r="C238" t="n">
        <v>5877</v>
      </c>
      <c r="D238" t="inlineStr">
        <is>
          <t>內部轉帳</t>
        </is>
      </c>
      <c r="E238" t="inlineStr">
        <is>
          <t>非固定</t>
        </is>
      </c>
    </row>
    <row r="239" ht="16.5" customHeight="1" s="84">
      <c r="A239" t="inlineStr">
        <is>
          <t>2021-09</t>
        </is>
      </c>
      <c r="B239" t="inlineStr">
        <is>
          <t>管委會出席費用(預領) 總計$8000元</t>
        </is>
      </c>
      <c r="C239" t="n">
        <v>8000</v>
      </c>
      <c r="D239" t="inlineStr">
        <is>
          <t>內部轉帳</t>
        </is>
      </c>
      <c r="E239" t="inlineStr">
        <is>
          <t>非固定</t>
        </is>
      </c>
    </row>
    <row r="240" ht="16.5" customHeight="1" s="84">
      <c r="A240" t="inlineStr">
        <is>
          <t>2021-09</t>
        </is>
      </c>
      <c r="B240" t="inlineStr">
        <is>
          <t>電梯專用款撥補(110/09) 總計$50,000元</t>
        </is>
      </c>
      <c r="C240" t="n">
        <v>50000</v>
      </c>
      <c r="D240" t="inlineStr">
        <is>
          <t>內部轉帳</t>
        </is>
      </c>
      <c r="E240" t="inlineStr">
        <is>
          <t>非固定</t>
        </is>
      </c>
    </row>
    <row r="241" ht="16.5" customHeight="1" s="84">
      <c r="A241" t="inlineStr">
        <is>
          <t>2021-09</t>
        </is>
      </c>
      <c r="B241" t="inlineStr">
        <is>
          <t>德懋物業公司(110/09)管理服務費：社區經理乙員，社區秘書乙員，警衛服務人員兩哨。 總計$359,100元</t>
        </is>
      </c>
      <c r="C241" t="n">
        <v>359100</v>
      </c>
      <c r="D241" t="inlineStr">
        <is>
          <t>其他支出</t>
        </is>
      </c>
      <c r="E241" t="inlineStr">
        <is>
          <t>固定</t>
        </is>
      </c>
    </row>
    <row r="242" ht="16.5" customHeight="1" s="84">
      <c r="A242" t="inlineStr">
        <is>
          <t>2021-09</t>
        </is>
      </c>
      <c r="B242" t="inlineStr">
        <is>
          <t>順達清潔服務費(110/09) 總計$99,000元</t>
        </is>
      </c>
      <c r="C242" t="n">
        <v>99000</v>
      </c>
      <c r="D242" t="inlineStr">
        <is>
          <t>清潔服務費</t>
        </is>
      </c>
      <c r="E242" t="inlineStr">
        <is>
          <t>固定</t>
        </is>
      </c>
    </row>
    <row r="243" ht="16.5" customHeight="1" s="84">
      <c r="A243" t="inlineStr">
        <is>
          <t>2021-09</t>
        </is>
      </c>
      <c r="B243" t="inlineStr">
        <is>
          <t>義明清潔服務費(110/09) 總計$99,000元</t>
        </is>
      </c>
      <c r="C243" t="n">
        <v>99000</v>
      </c>
      <c r="D243" t="inlineStr">
        <is>
          <t>清潔服務費</t>
        </is>
      </c>
      <c r="E243" t="inlineStr">
        <is>
          <t>固定</t>
        </is>
      </c>
    </row>
    <row r="244" ht="16.5" customHeight="1" s="84">
      <c r="A244" t="inlineStr">
        <is>
          <t>2021-09</t>
        </is>
      </c>
      <c r="B244" t="inlineStr">
        <is>
          <t>侑昇-泳池機房保養(110/09) 總計$3,500元</t>
        </is>
      </c>
      <c r="C244" t="n">
        <v>3500</v>
      </c>
      <c r="D244" t="inlineStr">
        <is>
          <t>其他支出</t>
        </is>
      </c>
      <c r="E244" t="inlineStr">
        <is>
          <t>固定</t>
        </is>
      </c>
      <c r="F244" t="inlineStr">
        <is>
          <t>游泳池</t>
        </is>
      </c>
    </row>
    <row r="245" ht="16.5" customHeight="1" s="84">
      <c r="A245" t="inlineStr">
        <is>
          <t>2021-09</t>
        </is>
      </c>
      <c r="B245" t="inlineStr">
        <is>
          <t>崇友電梯(110/09)電梯保養 總計$100,000元</t>
        </is>
      </c>
      <c r="C245" t="n">
        <v>100000</v>
      </c>
      <c r="D245" t="inlineStr">
        <is>
          <t>電梯保養與修繕</t>
        </is>
      </c>
      <c r="E245" t="inlineStr">
        <is>
          <t>固定</t>
        </is>
      </c>
    </row>
    <row r="246" ht="16.5" customHeight="1" s="84">
      <c r="A246" t="inlineStr">
        <is>
          <t>2021-09</t>
        </is>
      </c>
      <c r="B246" t="inlineStr">
        <is>
          <t>AED(110/10)租賃費 總計$1,500元</t>
        </is>
      </c>
      <c r="C246" t="n">
        <v>1500</v>
      </c>
      <c r="D246" t="inlineStr">
        <is>
          <t>機電/消防/弱電/AED</t>
        </is>
      </c>
      <c r="E246" t="inlineStr">
        <is>
          <t>固定</t>
        </is>
      </c>
    </row>
    <row r="247" ht="16.5" customHeight="1" s="84">
      <c r="A247" t="inlineStr">
        <is>
          <t>2021-09</t>
        </is>
      </c>
      <c r="B247" t="inlineStr">
        <is>
          <t>御品寬頻(110/09)網路服務租賃 總計$9,450元</t>
        </is>
      </c>
      <c r="C247" t="n">
        <v>9450</v>
      </c>
      <c r="D247" t="inlineStr">
        <is>
          <t>機電/消防/弱電/AED</t>
        </is>
      </c>
      <c r="E247" t="inlineStr">
        <is>
          <t>固定</t>
        </is>
      </c>
    </row>
    <row r="248" ht="16.5" customHeight="1" s="84">
      <c r="A248" t="inlineStr">
        <is>
          <t>2021-09</t>
        </is>
      </c>
      <c r="B248" t="inlineStr">
        <is>
          <t>新鑫堯(110/09) 廢棄物清除$25,000元 清潔費$5,000元 總計$30,000元</t>
        </is>
      </c>
      <c r="C248" t="n">
        <v>30000</v>
      </c>
      <c r="D248" t="inlineStr">
        <is>
          <t>垃圾廢棄物/園藝</t>
        </is>
      </c>
      <c r="E248" t="inlineStr">
        <is>
          <t>固定</t>
        </is>
      </c>
    </row>
    <row r="249" ht="16.5" customHeight="1" s="84">
      <c r="A249" t="inlineStr">
        <is>
          <t>2021-09</t>
        </is>
      </c>
      <c r="B249" t="inlineStr">
        <is>
          <t>太古意門禁維護檢點費(110/09) 總計$10,000元</t>
        </is>
      </c>
      <c r="C249" t="n">
        <v>10000</v>
      </c>
      <c r="D249" t="inlineStr">
        <is>
          <t>機電/消防/弱電/AED</t>
        </is>
      </c>
      <c r="E249" t="inlineStr">
        <is>
          <t>固定</t>
        </is>
      </c>
    </row>
    <row r="250" ht="16.5" customHeight="1" s="84">
      <c r="A250" t="inlineStr">
        <is>
          <t>2021-09</t>
        </is>
      </c>
      <c r="B250" t="inlineStr">
        <is>
          <t>鑫禾機電保養費(110/09) 總計$28,000元</t>
        </is>
      </c>
      <c r="C250" t="n">
        <v>28000</v>
      </c>
      <c r="D250" t="inlineStr">
        <is>
          <t>機電/消防/弱電/AED</t>
        </is>
      </c>
      <c r="E250" t="inlineStr">
        <is>
          <t>固定</t>
        </is>
      </c>
    </row>
    <row r="251" ht="16.5" customHeight="1" s="84">
      <c r="A251" t="inlineStr">
        <is>
          <t>2021-09</t>
        </is>
      </c>
      <c r="B251" t="inlineStr">
        <is>
          <t>景輝-園藝定期保養(110/09) 總計$28,000元</t>
        </is>
      </c>
      <c r="C251" t="n">
        <v>28000</v>
      </c>
      <c r="D251" t="inlineStr">
        <is>
          <t>垃圾廢棄物/園藝</t>
        </is>
      </c>
      <c r="E251" t="inlineStr">
        <is>
          <t>固定</t>
        </is>
      </c>
    </row>
    <row r="252" ht="16.5" customHeight="1" s="84">
      <c r="A252" t="inlineStr">
        <is>
          <t>2021-09</t>
        </is>
      </c>
      <c r="B252" t="inlineStr">
        <is>
          <t>鋐隆清潔用品 小捲衛生紙$400元 抽取式衛生紙$950元 擦手紙$450*2=$900元 大垃圾袋$46*25=$1,150元 5%稅金$170元 總計$3,570元</t>
        </is>
      </c>
      <c r="C252" t="n">
        <v>3570</v>
      </c>
      <c r="D252" t="inlineStr">
        <is>
          <t>清潔服務費</t>
        </is>
      </c>
      <c r="E252" t="inlineStr">
        <is>
          <t>非固定</t>
        </is>
      </c>
    </row>
    <row r="253" ht="16.5" customHeight="1" s="84">
      <c r="A253" t="inlineStr">
        <is>
          <t>2021-09</t>
        </is>
      </c>
      <c r="B253" t="inlineStr">
        <is>
          <t>鑫禾機電 1.自然排煙窗推桿機板$3,600元 2.變壓器$2,000元 3.LED杯燈$350*8=$2,800元 4.電磁開關$1,800*2=$3,600元 5.LED-T5層板燈$300*3=$900元 6.LED球泡燈1箱100顆$10,000元 7.電燈感應器$700*3=$2,100元 8.水龍頭更新$800元 9.淨水器設備新增電源工程$11,000元 10.機房清理$12,000元 總計$48,800元</t>
        </is>
      </c>
      <c r="C253" t="n">
        <v>48800</v>
      </c>
      <c r="D253" t="inlineStr">
        <is>
          <t>機電/消防/弱電/AED</t>
        </is>
      </c>
      <c r="E253" t="inlineStr">
        <is>
          <t>非固定</t>
        </is>
      </c>
    </row>
    <row r="254" ht="16.5" customHeight="1" s="84">
      <c r="A254" t="inlineStr">
        <is>
          <t>2021-09</t>
        </is>
      </c>
      <c r="B254" t="inlineStr">
        <is>
          <t>新鑫堯8月增桶 8月增桶$600*11.4=6,840元， 總計$6,840元</t>
        </is>
      </c>
      <c r="C254" t="n">
        <v>6840</v>
      </c>
      <c r="D254" t="inlineStr">
        <is>
          <t>垃圾廢棄物/園藝</t>
        </is>
      </c>
      <c r="E254" t="inlineStr">
        <is>
          <t>非固定</t>
        </is>
      </c>
    </row>
    <row r="255" ht="16.5" customHeight="1" s="84">
      <c r="A255" t="inlineStr">
        <is>
          <t>2021-09</t>
        </is>
      </c>
      <c r="B255" t="inlineStr">
        <is>
          <t>喆美-電梯鏡更換工程 電梯鏡更換更換工程一式 5灰鏡(光邊4路、ㄇ角)，廢玻璃處理費、拆裝工資總計$5,800元</t>
        </is>
      </c>
      <c r="C255" t="n">
        <v>5800</v>
      </c>
      <c r="D255" t="inlineStr">
        <is>
          <t>電梯保養與修繕</t>
        </is>
      </c>
      <c r="E255" t="inlineStr">
        <is>
          <t>非固定</t>
        </is>
      </c>
      <c r="F255" t="inlineStr">
        <is>
          <t>電梯</t>
        </is>
      </c>
    </row>
    <row r="256" ht="15" customHeight="1" s="84">
      <c r="A256" t="inlineStr">
        <is>
          <t>2021-09</t>
        </is>
      </c>
      <c r="B256" t="inlineStr">
        <is>
          <t>拓霖-淨水器工程 德國BWT INFINITY全自動反洗過濾系統2"$145,000*3=$435,000元 德國BWT INFINITY全自動反洗過濾系統1.5"$125,000*2=$250,000元 總計$685,000元</t>
        </is>
      </c>
      <c r="C256" t="n">
        <v>685000</v>
      </c>
      <c r="D256" t="inlineStr">
        <is>
          <t>工程維修/購置</t>
        </is>
      </c>
      <c r="E256" t="inlineStr">
        <is>
          <t>非固定</t>
        </is>
      </c>
    </row>
    <row r="257" ht="16.5" customHeight="1" s="84">
      <c r="A257" t="inlineStr">
        <is>
          <t>2021-09</t>
        </is>
      </c>
      <c r="B257" t="inlineStr">
        <is>
          <t>震華 人行道警告貼紙$1,998元 總計$1,998元</t>
        </is>
      </c>
      <c r="C257" t="n">
        <v>1998</v>
      </c>
      <c r="D257" t="inlineStr">
        <is>
          <t>其他支出</t>
        </is>
      </c>
      <c r="E257" t="inlineStr">
        <is>
          <t>非固定</t>
        </is>
      </c>
    </row>
    <row r="258" ht="16.5" customHeight="1" s="84">
      <c r="A258" t="inlineStr">
        <is>
          <t>2021-09</t>
        </is>
      </c>
      <c r="B258" t="inlineStr">
        <is>
          <t>自動噴灑酒精器 KINYO自動感應式酒精噴霧機$490*2=$980元 DH-AS01酒精噴霧機$549*8=$4,392元折價$400元 計$3,992元 總計$4,972元</t>
        </is>
      </c>
      <c r="C258" t="n">
        <v>4972</v>
      </c>
      <c r="D258" t="inlineStr">
        <is>
          <t>其他支出</t>
        </is>
      </c>
      <c r="E258" t="inlineStr">
        <is>
          <t>非固定</t>
        </is>
      </c>
    </row>
    <row r="259" ht="16.5" customHeight="1" s="84">
      <c r="A259" t="inlineStr">
        <is>
          <t>2021-09</t>
        </is>
      </c>
      <c r="B259" t="inlineStr">
        <is>
          <t>社區電話費(5630533)110.08.01~110.08.31</t>
        </is>
      </c>
      <c r="C259" t="n">
        <v>1216</v>
      </c>
      <c r="D259" t="inlineStr">
        <is>
          <t>電話/網路費</t>
        </is>
      </c>
      <c r="E259" t="inlineStr">
        <is>
          <t>非固定</t>
        </is>
      </c>
    </row>
    <row r="260" ht="16.5" customHeight="1" s="84">
      <c r="A260" t="inlineStr">
        <is>
          <t>2021-09</t>
        </is>
      </c>
      <c r="B260" t="inlineStr">
        <is>
          <t>社區網路費(Y123617)110.08.01~110.08.31</t>
        </is>
      </c>
      <c r="C260" t="n">
        <v>2199</v>
      </c>
      <c r="D260" t="inlineStr">
        <is>
          <t>電話/網路費</t>
        </is>
      </c>
      <c r="E260" t="inlineStr">
        <is>
          <t>非固定</t>
        </is>
      </c>
    </row>
    <row r="261" ht="16.5" customHeight="1" s="84">
      <c r="A261" t="inlineStr">
        <is>
          <t>2021-09</t>
        </is>
      </c>
      <c r="B261" t="inlineStr">
        <is>
          <t>社區網路費(Y174790)110.08.01~110.08.31</t>
        </is>
      </c>
      <c r="C261" t="n">
        <v>1899</v>
      </c>
      <c r="D261" t="inlineStr">
        <is>
          <t>電話/網路費</t>
        </is>
      </c>
      <c r="E261" t="inlineStr">
        <is>
          <t>非固定</t>
        </is>
      </c>
    </row>
    <row r="262" ht="16.5" customHeight="1" s="84">
      <c r="A262" t="inlineStr">
        <is>
          <t>2021-09</t>
        </is>
      </c>
      <c r="B262" t="inlineStr">
        <is>
          <t>公共電費(110.07.13至110.08.10)</t>
        </is>
      </c>
      <c r="C262" t="n">
        <v>80066</v>
      </c>
      <c r="D262" t="inlineStr">
        <is>
          <t>公共水電瓦斯</t>
        </is>
      </c>
      <c r="E262" t="inlineStr">
        <is>
          <t>非固定</t>
        </is>
      </c>
    </row>
    <row r="263" ht="16.5" customHeight="1" s="84">
      <c r="A263" t="inlineStr">
        <is>
          <t>2021-09</t>
        </is>
      </c>
      <c r="B263" t="inlineStr">
        <is>
          <t>自來水費</t>
        </is>
      </c>
      <c r="C263" t="n">
        <v>0</v>
      </c>
      <c r="D263" t="inlineStr">
        <is>
          <t>公共水電瓦斯</t>
        </is>
      </c>
      <c r="E263" t="inlineStr">
        <is>
          <t>非固定</t>
        </is>
      </c>
    </row>
    <row r="264" ht="16.5" customHeight="1" s="84">
      <c r="A264" t="inlineStr">
        <is>
          <t>2021-10</t>
        </is>
      </c>
      <c r="B264" t="inlineStr">
        <is>
          <t>零用金撥補(110/10) 總計$5,708元</t>
        </is>
      </c>
      <c r="C264" t="n">
        <v>5708</v>
      </c>
      <c r="D264" t="inlineStr">
        <is>
          <t>內部轉帳</t>
        </is>
      </c>
      <c r="E264" t="inlineStr">
        <is>
          <t>非固定</t>
        </is>
      </c>
    </row>
    <row r="265" ht="16.5" customHeight="1" s="84">
      <c r="A265" t="inlineStr">
        <is>
          <t>2021-10</t>
        </is>
      </c>
      <c r="B265" t="inlineStr">
        <is>
          <t>管委會出席費用(預領) 總計$8000元</t>
        </is>
      </c>
      <c r="C265" t="n">
        <v>8000</v>
      </c>
      <c r="D265" t="inlineStr">
        <is>
          <t>內部轉帳</t>
        </is>
      </c>
      <c r="E265" t="inlineStr">
        <is>
          <t>非固定</t>
        </is>
      </c>
    </row>
    <row r="266" ht="16.5" customHeight="1" s="84">
      <c r="A266" t="inlineStr">
        <is>
          <t>2021-10</t>
        </is>
      </c>
      <c r="B266" t="inlineStr">
        <is>
          <t>電梯專用款撥補(110/10) 總計$50,000元</t>
        </is>
      </c>
      <c r="C266" t="n">
        <v>50000</v>
      </c>
      <c r="D266" t="inlineStr">
        <is>
          <t>內部轉帳</t>
        </is>
      </c>
      <c r="E266" t="inlineStr">
        <is>
          <t>非固定</t>
        </is>
      </c>
    </row>
    <row r="267" ht="16.5" customHeight="1" s="84">
      <c r="A267" t="inlineStr">
        <is>
          <t>2021-10</t>
        </is>
      </c>
      <c r="B267" t="inlineStr">
        <is>
          <t>德懋物業公司(110/10)管理服務費：社區經理乙員，社區秘書乙員，警衛服務人員兩哨。 總計$359,100元</t>
        </is>
      </c>
      <c r="C267" t="n">
        <v>359100</v>
      </c>
      <c r="D267" t="inlineStr">
        <is>
          <t>其他支出</t>
        </is>
      </c>
      <c r="E267" t="inlineStr">
        <is>
          <t>固定</t>
        </is>
      </c>
    </row>
    <row r="268" ht="16.5" customHeight="1" s="84">
      <c r="A268" t="inlineStr">
        <is>
          <t>2021-10</t>
        </is>
      </c>
      <c r="B268" t="inlineStr">
        <is>
          <t>順達清潔服務費(110/10) 總計$99,000元</t>
        </is>
      </c>
      <c r="C268" t="n">
        <v>99000</v>
      </c>
      <c r="D268" t="inlineStr">
        <is>
          <t>清潔服務費</t>
        </is>
      </c>
      <c r="E268" t="inlineStr">
        <is>
          <t>固定</t>
        </is>
      </c>
    </row>
    <row r="269" ht="16.5" customHeight="1" s="84">
      <c r="A269" t="inlineStr">
        <is>
          <t>2021-10</t>
        </is>
      </c>
      <c r="B269" t="inlineStr">
        <is>
          <t>義明清潔服務費(110/10) 總計$99,000元</t>
        </is>
      </c>
      <c r="C269" t="n">
        <v>99000</v>
      </c>
      <c r="D269" t="inlineStr">
        <is>
          <t>清潔服務費</t>
        </is>
      </c>
      <c r="E269" t="inlineStr">
        <is>
          <t>固定</t>
        </is>
      </c>
    </row>
    <row r="270" ht="16.5" customHeight="1" s="84">
      <c r="A270" t="inlineStr">
        <is>
          <t>2021-10</t>
        </is>
      </c>
      <c r="B270" t="inlineStr">
        <is>
          <t>侑昇-泳池機房保養(110/10) 總計$3,500元</t>
        </is>
      </c>
      <c r="C270" t="n">
        <v>3500</v>
      </c>
      <c r="D270" t="inlineStr">
        <is>
          <t>其他支出</t>
        </is>
      </c>
      <c r="E270" t="inlineStr">
        <is>
          <t>固定</t>
        </is>
      </c>
      <c r="F270" t="inlineStr">
        <is>
          <t>游泳池</t>
        </is>
      </c>
    </row>
    <row r="271" ht="16.5" customHeight="1" s="84">
      <c r="A271" t="inlineStr">
        <is>
          <t>2021-10</t>
        </is>
      </c>
      <c r="B271" t="inlineStr">
        <is>
          <t>崇友電梯(110/10)電梯保養 總計$100,000元</t>
        </is>
      </c>
      <c r="C271" t="n">
        <v>100000</v>
      </c>
      <c r="D271" t="inlineStr">
        <is>
          <t>電梯保養與修繕</t>
        </is>
      </c>
      <c r="E271" t="inlineStr">
        <is>
          <t>固定</t>
        </is>
      </c>
    </row>
    <row r="272" ht="16.5" customHeight="1" s="84">
      <c r="A272" t="inlineStr">
        <is>
          <t>2021-10</t>
        </is>
      </c>
      <c r="B272" t="inlineStr">
        <is>
          <t>AED(110/11)租賃費 總計$1,500元</t>
        </is>
      </c>
      <c r="C272" t="n">
        <v>1500</v>
      </c>
      <c r="D272" t="inlineStr">
        <is>
          <t>機電/消防/弱電/AED</t>
        </is>
      </c>
      <c r="E272" t="inlineStr">
        <is>
          <t>固定</t>
        </is>
      </c>
    </row>
    <row r="273" ht="16.5" customHeight="1" s="84">
      <c r="A273" t="inlineStr">
        <is>
          <t>2021-10</t>
        </is>
      </c>
      <c r="B273" t="inlineStr">
        <is>
          <t>御品寬頻(110/10)網路服務租賃 總計$9,450元</t>
        </is>
      </c>
      <c r="C273" t="n">
        <v>9450</v>
      </c>
      <c r="D273" t="inlineStr">
        <is>
          <t>機電/消防/弱電/AED</t>
        </is>
      </c>
      <c r="E273" t="inlineStr">
        <is>
          <t>固定</t>
        </is>
      </c>
    </row>
    <row r="274" ht="16.5" customHeight="1" s="84">
      <c r="A274" t="inlineStr">
        <is>
          <t>2021-10</t>
        </is>
      </c>
      <c r="B274" t="inlineStr">
        <is>
          <t>新鑫堯(110/10) 廢棄物清除$25,000元 清潔費$5,000元 總計$30,000元</t>
        </is>
      </c>
      <c r="C274" t="n">
        <v>30000</v>
      </c>
      <c r="D274" t="inlineStr">
        <is>
          <t>垃圾廢棄物/園藝</t>
        </is>
      </c>
      <c r="E274" t="inlineStr">
        <is>
          <t>固定</t>
        </is>
      </c>
    </row>
    <row r="275" ht="16.5" customHeight="1" s="84">
      <c r="A275" t="inlineStr">
        <is>
          <t>2021-10</t>
        </is>
      </c>
      <c r="B275" t="inlineStr">
        <is>
          <t>太古意門禁維護檢點費(110/10) 總計$10,000元</t>
        </is>
      </c>
      <c r="C275" t="n">
        <v>10000</v>
      </c>
      <c r="D275" t="inlineStr">
        <is>
          <t>機電/消防/弱電/AED</t>
        </is>
      </c>
      <c r="E275" t="inlineStr">
        <is>
          <t>固定</t>
        </is>
      </c>
    </row>
    <row r="276" ht="16.5" customHeight="1" s="84">
      <c r="A276" t="inlineStr">
        <is>
          <t>2021-10</t>
        </is>
      </c>
      <c r="B276" t="inlineStr">
        <is>
          <t>鑫禾機電保養費(110/10) 總計$28,000元</t>
        </is>
      </c>
      <c r="C276" t="n">
        <v>28000</v>
      </c>
      <c r="D276" t="inlineStr">
        <is>
          <t>機電/消防/弱電/AED</t>
        </is>
      </c>
      <c r="E276" t="inlineStr">
        <is>
          <t>固定</t>
        </is>
      </c>
    </row>
    <row r="277" ht="16.5" customHeight="1" s="84">
      <c r="A277" t="inlineStr">
        <is>
          <t>2021-10</t>
        </is>
      </c>
      <c r="B277" t="inlineStr">
        <is>
          <t>景輝-園藝定期保養(110/10) 總計$28,000元</t>
        </is>
      </c>
      <c r="C277" t="n">
        <v>28000</v>
      </c>
      <c r="D277" t="inlineStr">
        <is>
          <t>垃圾廢棄物/園藝</t>
        </is>
      </c>
      <c r="E277" t="inlineStr">
        <is>
          <t>固定</t>
        </is>
      </c>
    </row>
    <row r="278" ht="16.5" customHeight="1" s="84">
      <c r="A278" t="inlineStr">
        <is>
          <t>2021-10</t>
        </is>
      </c>
      <c r="B278" t="inlineStr">
        <is>
          <t>鋐隆清潔用品 地墊-乙式 (3M條紋吸水灰210*105)$3,500元 地墊-乙式 (3M條紋吸水灰160*90)$2,000*2=$4,000元 單包抽取式擦水紙架$250*3=$750元(廠商優惠一個便宜100元) 5%稅金$413元 總計$8,663元 由第六屆9月管委會會議決議事項辦理</t>
        </is>
      </c>
      <c r="C278" t="n">
        <v>8663</v>
      </c>
      <c r="D278" t="inlineStr">
        <is>
          <t>清潔服務費</t>
        </is>
      </c>
      <c r="E278" t="inlineStr">
        <is>
          <t>非固定</t>
        </is>
      </c>
    </row>
    <row r="279" ht="16.5" customHeight="1" s="84">
      <c r="A279" t="inlineStr">
        <is>
          <t>2021-10</t>
        </is>
      </c>
      <c r="B279" t="inlineStr">
        <is>
          <t>鑫禾機電 1.清潔口修繕(機車B1-407)$800元 2.電燈感應器$750*3=$2,250元 3.LED杯燈$350*6=$2,100元 4.甲棟12樓辦隔間牆壁開孔$2,000元 5.T8懸吊式單管燈具(LED)$950元 6.景觀池水底燈$3,500*3=$10,500元 7.瓦斯中繼器$2,500元 8.消防限期改善-拉線工程$12,000元 總計$33,100元</t>
        </is>
      </c>
      <c r="C279" t="n">
        <v>33100</v>
      </c>
      <c r="D279" t="inlineStr">
        <is>
          <t>機電/消防/弱電/AED</t>
        </is>
      </c>
      <c r="E279" t="inlineStr">
        <is>
          <t>非固定</t>
        </is>
      </c>
    </row>
    <row r="280" ht="16.5" customHeight="1" s="84">
      <c r="A280" t="inlineStr">
        <is>
          <t>2021-10</t>
        </is>
      </c>
      <c r="B280" t="inlineStr">
        <is>
          <t>鑫禾機電-110年度消防申報 消防檢修申報$45,714元 5%稅金$2,286元 總計$48,000元</t>
        </is>
      </c>
      <c r="C280" t="n">
        <v>48000</v>
      </c>
      <c r="D280" t="inlineStr">
        <is>
          <t>機電/消防/弱電/AED</t>
        </is>
      </c>
      <c r="E280" t="inlineStr">
        <is>
          <t>非固定</t>
        </is>
      </c>
    </row>
    <row r="281" ht="16.5" customHeight="1" s="84">
      <c r="A281" t="inlineStr">
        <is>
          <t>2021-10</t>
        </is>
      </c>
      <c r="B281" t="inlineStr">
        <is>
          <t>ETAG住戶第一次免費領取費用回補 $80*11=$880元</t>
        </is>
      </c>
      <c r="C281" t="n">
        <v>880</v>
      </c>
      <c r="D281" t="inlineStr">
        <is>
          <t>內部轉帳</t>
        </is>
      </c>
      <c r="E281" t="inlineStr">
        <is>
          <t>非固定</t>
        </is>
      </c>
    </row>
    <row r="282" ht="16.5" customHeight="1" s="84">
      <c r="A282" t="inlineStr">
        <is>
          <t>2021-10</t>
        </is>
      </c>
      <c r="B282" t="inlineStr">
        <is>
          <t>鴻陽運動事業有限公司-氯錠 消毒藥劑:韓製氯錠3英寸90% 50KG/桶 $5,250*6=$31,500元</t>
        </is>
      </c>
      <c r="C282" t="n">
        <v>31500</v>
      </c>
      <c r="D282" t="inlineStr">
        <is>
          <t>工程維修/購置</t>
        </is>
      </c>
      <c r="E282" t="inlineStr">
        <is>
          <t>非固定</t>
        </is>
      </c>
    </row>
    <row r="283" ht="15" customHeight="1" s="84">
      <c r="A283" t="inlineStr">
        <is>
          <t>2021-10</t>
        </is>
      </c>
      <c r="B283" t="inlineStr">
        <is>
          <t>大廳 黑色三層架$3,340*2=$6,680元 貨到付款手續費$30元 總計$6,710元</t>
        </is>
      </c>
      <c r="C283" t="n">
        <v>6710</v>
      </c>
      <c r="D283" t="inlineStr">
        <is>
          <t>其他支出</t>
        </is>
      </c>
      <c r="E283" t="inlineStr">
        <is>
          <t>非固定</t>
        </is>
      </c>
    </row>
    <row r="284" ht="15" customHeight="1" s="84">
      <c r="A284" t="inlineStr">
        <is>
          <t>2021-10</t>
        </is>
      </c>
      <c r="B284" t="inlineStr">
        <is>
          <t>鑫聲-冰箱冷凝機清洗 110.10.07查看冰箱狀況車馬費$500元 110.10.12清洗冰箱冷凝器$1,500元 總計$2,000元</t>
        </is>
      </c>
      <c r="C284" t="n">
        <v>2000</v>
      </c>
      <c r="D284" t="inlineStr">
        <is>
          <t>其他支出</t>
        </is>
      </c>
      <c r="E284" t="inlineStr">
        <is>
          <t>非固定</t>
        </is>
      </c>
    </row>
    <row r="285" ht="16.5" customHeight="1" s="84">
      <c r="A285" t="inlineStr">
        <is>
          <t>2021-10</t>
        </is>
      </c>
      <c r="B285" t="inlineStr">
        <is>
          <t>太古意維修款 鏡頭線路更換(入口處) 室外專用訊號線$4,500元 五金另料、壓條、防水集線盒$2,300元 安裝拉線施工工資$6,000元 5%稅金$640元 總計$13,440元</t>
        </is>
      </c>
      <c r="C285" t="n">
        <v>13440</v>
      </c>
      <c r="D285" t="inlineStr">
        <is>
          <t>機電/消防/弱電/AED</t>
        </is>
      </c>
      <c r="E285" t="inlineStr">
        <is>
          <t>非固定</t>
        </is>
      </c>
    </row>
    <row r="286" ht="16.5" customHeight="1" s="84">
      <c r="A286" t="inlineStr">
        <is>
          <t>2021-10</t>
        </is>
      </c>
      <c r="B286" t="inlineStr">
        <is>
          <t>久大 92型經濟版(全冷藏)$33,000元 總計$33,000元</t>
        </is>
      </c>
      <c r="C286" t="n">
        <v>33000</v>
      </c>
      <c r="D286" t="inlineStr">
        <is>
          <t>其他支出</t>
        </is>
      </c>
      <c r="E286" t="inlineStr">
        <is>
          <t>非固定</t>
        </is>
      </c>
    </row>
    <row r="287" ht="16.5" customHeight="1" s="84">
      <c r="A287" t="inlineStr">
        <is>
          <t>2021-10</t>
        </is>
      </c>
      <c r="B287" t="inlineStr">
        <is>
          <t>社區電話費(5630533)</t>
        </is>
      </c>
      <c r="C287" t="n">
        <v>1063</v>
      </c>
      <c r="D287" t="inlineStr">
        <is>
          <t>電話/網路費</t>
        </is>
      </c>
      <c r="E287" t="inlineStr">
        <is>
          <t>非固定</t>
        </is>
      </c>
    </row>
    <row r="288" ht="16.5" customHeight="1" s="84">
      <c r="A288" t="inlineStr">
        <is>
          <t>2021-10</t>
        </is>
      </c>
      <c r="B288" t="inlineStr">
        <is>
          <t>社區網路費(Y123617)</t>
        </is>
      </c>
      <c r="C288" t="n">
        <v>2199</v>
      </c>
      <c r="D288" t="inlineStr">
        <is>
          <t>電話/網路費</t>
        </is>
      </c>
      <c r="E288" t="inlineStr">
        <is>
          <t>非固定</t>
        </is>
      </c>
    </row>
    <row r="289" ht="16.5" customHeight="1" s="84">
      <c r="A289" t="inlineStr">
        <is>
          <t>2021-10</t>
        </is>
      </c>
      <c r="B289" t="inlineStr">
        <is>
          <t>社區網路費(Y174790)</t>
        </is>
      </c>
      <c r="C289" t="n">
        <v>1899</v>
      </c>
      <c r="D289" t="inlineStr">
        <is>
          <t>電話/網路費</t>
        </is>
      </c>
      <c r="E289" t="inlineStr">
        <is>
          <t>非固定</t>
        </is>
      </c>
    </row>
    <row r="290" ht="16.5" customHeight="1" s="84">
      <c r="A290" t="inlineStr">
        <is>
          <t>2021-10</t>
        </is>
      </c>
      <c r="B290" t="inlineStr">
        <is>
          <t>公共電費</t>
        </is>
      </c>
      <c r="C290" t="n">
        <v>95341</v>
      </c>
      <c r="D290" t="inlineStr">
        <is>
          <t>公共水電瓦斯</t>
        </is>
      </c>
      <c r="E290" t="inlineStr">
        <is>
          <t>非固定</t>
        </is>
      </c>
    </row>
    <row r="291" ht="16.5" customHeight="1" s="84">
      <c r="A291" t="inlineStr">
        <is>
          <t>2021-10</t>
        </is>
      </c>
      <c r="B291" t="inlineStr">
        <is>
          <t>自來水費</t>
        </is>
      </c>
      <c r="C291" t="n">
        <v>10130</v>
      </c>
      <c r="D291" t="inlineStr">
        <is>
          <t>公共水電瓦斯</t>
        </is>
      </c>
      <c r="E291" t="inlineStr">
        <is>
          <t>非固定</t>
        </is>
      </c>
    </row>
    <row r="292" ht="16.5" customHeight="1" s="84">
      <c r="A292" t="inlineStr">
        <is>
          <t>2021-11</t>
        </is>
      </c>
      <c r="B292" t="inlineStr">
        <is>
          <t>零用金撥補(110/11) 總計$5,293元</t>
        </is>
      </c>
      <c r="C292" t="n">
        <v>5293</v>
      </c>
      <c r="D292" t="inlineStr">
        <is>
          <t>內部轉帳</t>
        </is>
      </c>
      <c r="E292" t="inlineStr">
        <is>
          <t>非固定</t>
        </is>
      </c>
    </row>
    <row r="293" ht="16.5" customHeight="1" s="84">
      <c r="A293" t="inlineStr">
        <is>
          <t>2021-11</t>
        </is>
      </c>
      <c r="B293" t="inlineStr">
        <is>
          <t>管委會出席費用(預領) 總計$8000元</t>
        </is>
      </c>
      <c r="C293" t="n">
        <v>8000</v>
      </c>
      <c r="D293" t="inlineStr">
        <is>
          <t>內部轉帳</t>
        </is>
      </c>
      <c r="E293" t="inlineStr">
        <is>
          <t>非固定</t>
        </is>
      </c>
    </row>
    <row r="294" ht="16.5" customHeight="1" s="84">
      <c r="A294" t="inlineStr">
        <is>
          <t>2021-11</t>
        </is>
      </c>
      <c r="B294" t="inlineStr">
        <is>
          <t>電梯專用款撥補(110/11) 總計$50000元</t>
        </is>
      </c>
      <c r="C294" t="n">
        <v>50000</v>
      </c>
      <c r="D294" t="inlineStr">
        <is>
          <t>內部轉帳</t>
        </is>
      </c>
      <c r="E294" t="inlineStr">
        <is>
          <t>非固定</t>
        </is>
      </c>
    </row>
    <row r="295" ht="16.5" customHeight="1" s="84">
      <c r="A295" t="inlineStr">
        <is>
          <t>2021-11</t>
        </is>
      </c>
      <c r="B295" t="inlineStr">
        <is>
          <t>德懋物業公司(110/11)管理服務費：社區經理乙員，社區秘書乙員，警衛服務人員兩哨。(合約於110年11月開始，服務費調漲$375,900/月) 總計$375,900元</t>
        </is>
      </c>
      <c r="C295" t="n">
        <v>375900</v>
      </c>
      <c r="D295" t="inlineStr">
        <is>
          <t>其他支出</t>
        </is>
      </c>
      <c r="E295" t="inlineStr">
        <is>
          <t>固定</t>
        </is>
      </c>
    </row>
    <row r="296" ht="16.5" customHeight="1" s="84">
      <c r="A296" t="inlineStr">
        <is>
          <t>2021-11</t>
        </is>
      </c>
      <c r="B296" t="inlineStr">
        <is>
          <t>順達清潔服務費(110/11) 總計$99,000元</t>
        </is>
      </c>
      <c r="C296" t="n">
        <v>99000</v>
      </c>
      <c r="D296" t="inlineStr">
        <is>
          <t>清潔服務費</t>
        </is>
      </c>
      <c r="E296" t="inlineStr">
        <is>
          <t>固定</t>
        </is>
      </c>
    </row>
    <row r="297" ht="16.5" customHeight="1" s="84">
      <c r="A297" t="inlineStr">
        <is>
          <t>2021-11</t>
        </is>
      </c>
      <c r="B297" t="inlineStr">
        <is>
          <t>義明清潔服務費(110/11) 總計$99,000元</t>
        </is>
      </c>
      <c r="C297" t="n">
        <v>99000</v>
      </c>
      <c r="D297" t="inlineStr">
        <is>
          <t>清潔服務費</t>
        </is>
      </c>
      <c r="E297" t="inlineStr">
        <is>
          <t>固定</t>
        </is>
      </c>
    </row>
    <row r="298" ht="16.5" customHeight="1" s="84">
      <c r="A298" t="inlineStr">
        <is>
          <t>2021-11</t>
        </is>
      </c>
      <c r="B298" t="inlineStr">
        <is>
          <t>侑昇-泳池機房保養(110/11) 總計$3,500元</t>
        </is>
      </c>
      <c r="C298" t="n">
        <v>3500</v>
      </c>
      <c r="D298" t="inlineStr">
        <is>
          <t>其他支出</t>
        </is>
      </c>
      <c r="E298" t="inlineStr">
        <is>
          <t>固定</t>
        </is>
      </c>
      <c r="F298" t="inlineStr">
        <is>
          <t>游泳池</t>
        </is>
      </c>
    </row>
    <row r="299" ht="16.5" customHeight="1" s="84">
      <c r="A299" t="inlineStr">
        <is>
          <t>2021-11</t>
        </is>
      </c>
      <c r="B299" t="inlineStr">
        <is>
          <t>崇友電梯(110/11)電梯保養 總計$100,000元</t>
        </is>
      </c>
      <c r="C299" t="n">
        <v>100000</v>
      </c>
      <c r="D299" t="inlineStr">
        <is>
          <t>電梯保養與修繕</t>
        </is>
      </c>
      <c r="E299" t="inlineStr">
        <is>
          <t>固定</t>
        </is>
      </c>
    </row>
    <row r="300" ht="16.5" customHeight="1" s="84">
      <c r="A300" t="inlineStr">
        <is>
          <t>2021-11</t>
        </is>
      </c>
      <c r="B300" t="inlineStr">
        <is>
          <t>AED(110/12)租賃費 總計$1,500元</t>
        </is>
      </c>
      <c r="C300" t="n">
        <v>1500</v>
      </c>
      <c r="D300" t="inlineStr">
        <is>
          <t>機電/消防/弱電/AED</t>
        </is>
      </c>
      <c r="E300" t="inlineStr">
        <is>
          <t>固定</t>
        </is>
      </c>
    </row>
    <row r="301" ht="16.5" customHeight="1" s="84">
      <c r="A301" t="inlineStr">
        <is>
          <t>2021-11</t>
        </is>
      </c>
      <c r="B301" t="inlineStr">
        <is>
          <t>御品寬頻(110/11)網路服務租賃 總計$9,450元</t>
        </is>
      </c>
      <c r="C301" t="n">
        <v>9450</v>
      </c>
      <c r="D301" t="inlineStr">
        <is>
          <t>機電/消防/弱電/AED</t>
        </is>
      </c>
      <c r="E301" t="inlineStr">
        <is>
          <t>固定</t>
        </is>
      </c>
    </row>
    <row r="302" ht="16.5" customHeight="1" s="84">
      <c r="A302" t="inlineStr">
        <is>
          <t>2021-11</t>
        </is>
      </c>
      <c r="B302" t="inlineStr">
        <is>
          <t>新鑫堯(110/11) 廢棄物清除$25,000元 清潔費$5,000元 總計$30,000元</t>
        </is>
      </c>
      <c r="C302" t="n">
        <v>30000</v>
      </c>
      <c r="D302" t="inlineStr">
        <is>
          <t>垃圾廢棄物/園藝</t>
        </is>
      </c>
      <c r="E302" t="inlineStr">
        <is>
          <t>固定</t>
        </is>
      </c>
    </row>
    <row r="303" ht="16.5" customHeight="1" s="84">
      <c r="A303" t="inlineStr">
        <is>
          <t>2021-11</t>
        </is>
      </c>
      <c r="B303" t="inlineStr">
        <is>
          <t>太古意門禁維護檢點費(110/11) 總計$10,000元</t>
        </is>
      </c>
      <c r="C303" t="n">
        <v>10000</v>
      </c>
      <c r="D303" t="inlineStr">
        <is>
          <t>機電/消防/弱電/AED</t>
        </is>
      </c>
      <c r="E303" t="inlineStr">
        <is>
          <t>固定</t>
        </is>
      </c>
    </row>
    <row r="304" ht="16.5" customHeight="1" s="84">
      <c r="A304" t="inlineStr">
        <is>
          <t>2021-11</t>
        </is>
      </c>
      <c r="B304" t="inlineStr">
        <is>
          <t>鑫禾機電保養費(110/11) 總計$28,000元</t>
        </is>
      </c>
      <c r="C304" t="n">
        <v>28000</v>
      </c>
      <c r="D304" t="inlineStr">
        <is>
          <t>機電/消防/弱電/AED</t>
        </is>
      </c>
      <c r="E304" t="inlineStr">
        <is>
          <t>固定</t>
        </is>
      </c>
    </row>
    <row r="305" ht="16.5" customHeight="1" s="84">
      <c r="A305" t="inlineStr">
        <is>
          <t>2021-11</t>
        </is>
      </c>
      <c r="B305" t="inlineStr">
        <is>
          <t>景輝-園藝定期保養(110/11) 總計$28,000元</t>
        </is>
      </c>
      <c r="C305" t="n">
        <v>28000</v>
      </c>
      <c r="D305" t="inlineStr">
        <is>
          <t>垃圾廢棄物/園藝</t>
        </is>
      </c>
      <c r="E305" t="inlineStr">
        <is>
          <t>固定</t>
        </is>
      </c>
    </row>
    <row r="306" ht="16.5" customHeight="1" s="84">
      <c r="A306" t="inlineStr">
        <is>
          <t>2021-11</t>
        </is>
      </c>
      <c r="B306" t="inlineStr">
        <is>
          <t>鋐隆清潔用品 11/3小捲衛生紙$400*2=$800元 大垃圾袋$46*25=$1,150元 5%稅金%98元 計$2,048元 11/11抽取式衛生紙$600元 5%稅金$30元 計$630元 總計$2,678元</t>
        </is>
      </c>
      <c r="C306" t="n">
        <v>2678</v>
      </c>
      <c r="D306" t="inlineStr">
        <is>
          <t>清潔服務費</t>
        </is>
      </c>
      <c r="E306" t="inlineStr">
        <is>
          <t>非固定</t>
        </is>
      </c>
    </row>
    <row r="307" ht="16.5" customHeight="1" s="84">
      <c r="A307" t="inlineStr">
        <is>
          <t>2021-11</t>
        </is>
      </c>
      <c r="B307" t="inlineStr">
        <is>
          <t>鑫禾機電 1.隱藏式感應器$950*3=$2,850元 2.電燈感應器(501)$750*3=$2,250元 3.LED球泡燈$110*9=$990元 4.LED杯燈$350*3=$1,050元 5.鼓風機風管脫落配管$4,600元 6.放流逆止閥故障更換$10,200元 7.T8懸吊式單管燈具(LED)$950元 8.汙水人孔工程$30,600元 9.庭園矮燈$1,500元 10.水龍頭更新$600元 11.地底燈$2,000*2=$4,000元 總計$59,590元</t>
        </is>
      </c>
      <c r="C307" t="n">
        <v>59590</v>
      </c>
      <c r="D307" t="inlineStr">
        <is>
          <t>機電/消防/弱電/AED</t>
        </is>
      </c>
      <c r="E307" t="inlineStr">
        <is>
          <t>非固定</t>
        </is>
      </c>
    </row>
    <row r="308" ht="16.5" customHeight="1" s="84">
      <c r="A308" t="inlineStr">
        <is>
          <t>2021-11</t>
        </is>
      </c>
      <c r="B308" t="inlineStr">
        <is>
          <t>崇友電梯設備維修 甲棟無障礙電梯(#1)更換HCD顯示器 總計$3,200元</t>
        </is>
      </c>
      <c r="C308" t="n">
        <v>3200</v>
      </c>
      <c r="D308" t="inlineStr">
        <is>
          <t>電梯保養與修繕</t>
        </is>
      </c>
      <c r="E308" t="inlineStr">
        <is>
          <t>非固定</t>
        </is>
      </c>
      <c r="F308" t="inlineStr">
        <is>
          <t>電梯</t>
        </is>
      </c>
    </row>
    <row r="309" ht="16.5" customHeight="1" s="84">
      <c r="A309" t="inlineStr">
        <is>
          <t>2021-11</t>
        </is>
      </c>
      <c r="B309" t="inlineStr">
        <is>
          <t>崇友電梯載重測試安檢費 電梯載重測試安檢費 CT-011531-002安檢費$1,200*5=$6,000元 載重測試費$1,428.6*5=$7,143元 5%稅金$657元 總計$13,800元</t>
        </is>
      </c>
      <c r="C309" t="n">
        <v>13800</v>
      </c>
      <c r="D309" t="inlineStr">
        <is>
          <t>電梯保養與修繕</t>
        </is>
      </c>
      <c r="E309" t="inlineStr">
        <is>
          <t>非固定</t>
        </is>
      </c>
      <c r="F309" t="inlineStr">
        <is>
          <t>電梯</t>
        </is>
      </c>
    </row>
    <row r="310" ht="16.5" customHeight="1" s="84">
      <c r="A310" t="inlineStr">
        <is>
          <t>2021-11</t>
        </is>
      </c>
      <c r="B310" t="inlineStr">
        <is>
          <t>ETAG住戶第一次免費領取費用回補 $80*2=$160元</t>
        </is>
      </c>
      <c r="C310" t="n">
        <v>160</v>
      </c>
      <c r="D310" t="inlineStr">
        <is>
          <t>內部轉帳</t>
        </is>
      </c>
      <c r="E310" t="inlineStr">
        <is>
          <t>非固定</t>
        </is>
      </c>
    </row>
    <row r="311" ht="16.5" customHeight="1" s="84">
      <c r="A311" t="inlineStr">
        <is>
          <t>2021-11</t>
        </is>
      </c>
      <c r="B311" t="inlineStr">
        <is>
          <t>太古意 1.(戊棟)TW-512外接讀頭$4,000元，拆裝技術設定工資$1,000元，5%稅金$250元，計$5,250元 2.(甲棟)TW-EC516M樓層控制主機板$14,000元，TW-EC516S樓層控制點位板$9,500元，安裝更換工資$2,500元，5%稅金$1,300元，計$27,300元 總計$32,550元</t>
        </is>
      </c>
      <c r="C311" t="n">
        <v>32550</v>
      </c>
      <c r="D311" t="inlineStr">
        <is>
          <t>機電/消防/弱電/AED</t>
        </is>
      </c>
      <c r="E311" t="inlineStr">
        <is>
          <t>非固定</t>
        </is>
      </c>
    </row>
    <row r="312" ht="16.5" customHeight="1" s="84">
      <c r="A312" t="inlineStr">
        <is>
          <t>2021-11</t>
        </is>
      </c>
      <c r="B312" t="inlineStr">
        <is>
          <t>太古意監視器工程款 監視器新增及舊鏡頭升級工程 總金額$756,683元 第一期$227,005元(110.07支付) 第二期$454,010元(110.11支付) 第三期尾款$75,668元</t>
        </is>
      </c>
      <c r="C312" t="n">
        <v>454010</v>
      </c>
      <c r="D312" t="inlineStr">
        <is>
          <t>機電/消防/弱電/AED</t>
        </is>
      </c>
      <c r="E312" t="inlineStr">
        <is>
          <t>非固定</t>
        </is>
      </c>
    </row>
    <row r="313" ht="16.5" customHeight="1" s="84">
      <c r="A313" t="inlineStr">
        <is>
          <t>2021-11</t>
        </is>
      </c>
      <c r="B313" t="inlineStr">
        <is>
          <t>雋維國際貿易 110.11.19 B1女廁馬桶蓋更換$2,000元</t>
        </is>
      </c>
      <c r="C313" t="n">
        <v>2000</v>
      </c>
      <c r="D313" t="inlineStr">
        <is>
          <t>其他支出</t>
        </is>
      </c>
      <c r="E313" t="inlineStr">
        <is>
          <t>非固定</t>
        </is>
      </c>
    </row>
    <row r="314" ht="15" customHeight="1" s="84">
      <c r="A314" t="inlineStr">
        <is>
          <t>2021-11</t>
        </is>
      </c>
      <c r="B314" t="inlineStr">
        <is>
          <t>H4汽車維修款 總計$4,934元</t>
        </is>
      </c>
      <c r="C314" t="n">
        <v>4934</v>
      </c>
      <c r="D314" t="inlineStr">
        <is>
          <t>工程維修/購置</t>
        </is>
      </c>
      <c r="E314" t="inlineStr">
        <is>
          <t>非固定</t>
        </is>
      </c>
    </row>
    <row r="315" ht="16.5" customHeight="1" s="84">
      <c r="A315" t="inlineStr">
        <is>
          <t>2021-11</t>
        </is>
      </c>
      <c r="B315" t="inlineStr">
        <is>
          <t>禾順 高壓水刀清洗汙廢水管共34支$68,000元 總計$68,000元</t>
        </is>
      </c>
      <c r="C315" t="n">
        <v>68000</v>
      </c>
      <c r="D315" t="inlineStr">
        <is>
          <t>其他支出</t>
        </is>
      </c>
      <c r="E315" t="inlineStr">
        <is>
          <t>非固定</t>
        </is>
      </c>
    </row>
    <row r="316" ht="16.5" customHeight="1" s="84">
      <c r="A316" t="inlineStr">
        <is>
          <t>2021-11</t>
        </is>
      </c>
      <c r="B316" t="inlineStr">
        <is>
          <t>一九衛生工程行 清理化糞池$1,500*14.52噸=$21,780元 總計$21,780元</t>
        </is>
      </c>
      <c r="C316" t="n">
        <v>21780</v>
      </c>
      <c r="D316" t="inlineStr">
        <is>
          <t>垃圾廢棄物/園藝</t>
        </is>
      </c>
      <c r="E316" t="inlineStr">
        <is>
          <t>非固定</t>
        </is>
      </c>
    </row>
    <row r="317" ht="16.5" customHeight="1" s="84">
      <c r="A317" t="inlineStr">
        <is>
          <t>2021-11</t>
        </is>
      </c>
      <c r="B317" t="inlineStr">
        <is>
          <t>社區電話費(5630533)</t>
        </is>
      </c>
      <c r="C317" t="n">
        <v>1128</v>
      </c>
      <c r="D317" t="inlineStr">
        <is>
          <t>電話/網路費</t>
        </is>
      </c>
      <c r="E317" t="inlineStr">
        <is>
          <t>非固定</t>
        </is>
      </c>
    </row>
    <row r="318" ht="16.5" customHeight="1" s="84">
      <c r="A318" t="inlineStr">
        <is>
          <t>2021-11</t>
        </is>
      </c>
      <c r="B318" t="inlineStr">
        <is>
          <t>社區網路費(Y123617)</t>
        </is>
      </c>
      <c r="C318" t="n">
        <v>2199</v>
      </c>
      <c r="D318" t="inlineStr">
        <is>
          <t>電話/網路費</t>
        </is>
      </c>
      <c r="E318" t="inlineStr">
        <is>
          <t>非固定</t>
        </is>
      </c>
    </row>
    <row r="319" ht="16.5" customHeight="1" s="84">
      <c r="A319" t="inlineStr">
        <is>
          <t>2021-11</t>
        </is>
      </c>
      <c r="B319" t="inlineStr">
        <is>
          <t>社區網路費(Y174790)</t>
        </is>
      </c>
      <c r="C319" t="n">
        <v>1899</v>
      </c>
      <c r="D319" t="inlineStr">
        <is>
          <t>電話/網路費</t>
        </is>
      </c>
      <c r="E319" t="inlineStr">
        <is>
          <t>非固定</t>
        </is>
      </c>
    </row>
    <row r="320" ht="16.5" customHeight="1" s="84">
      <c r="A320" t="inlineStr">
        <is>
          <t>2021-11</t>
        </is>
      </c>
      <c r="B320" t="inlineStr">
        <is>
          <t>公共電費(110.09.10~110.12.05)</t>
        </is>
      </c>
      <c r="C320" t="n">
        <v>104138</v>
      </c>
      <c r="D320" t="inlineStr">
        <is>
          <t>公共水電瓦斯</t>
        </is>
      </c>
      <c r="E320" t="inlineStr">
        <is>
          <t>非固定</t>
        </is>
      </c>
    </row>
    <row r="321" ht="16.5" customHeight="1" s="84">
      <c r="A321" t="inlineStr">
        <is>
          <t>2021-11</t>
        </is>
      </c>
      <c r="B321" t="inlineStr">
        <is>
          <t>自來水費</t>
        </is>
      </c>
      <c r="C321" t="n">
        <v>0</v>
      </c>
      <c r="D321" t="inlineStr">
        <is>
          <t>公共水電瓦斯</t>
        </is>
      </c>
      <c r="E321" t="inlineStr">
        <is>
          <t>非固定</t>
        </is>
      </c>
    </row>
    <row r="322" ht="16.5" customHeight="1" s="84">
      <c r="A322" t="inlineStr">
        <is>
          <t>2021-12</t>
        </is>
      </c>
      <c r="B322" t="inlineStr">
        <is>
          <t>零用金撥補(110/12) 總計$7,616元</t>
        </is>
      </c>
      <c r="C322" t="n">
        <v>7616</v>
      </c>
      <c r="D322" t="inlineStr">
        <is>
          <t>內部轉帳</t>
        </is>
      </c>
      <c r="E322" t="inlineStr">
        <is>
          <t>非固定</t>
        </is>
      </c>
    </row>
    <row r="323" ht="16.5" customHeight="1" s="84">
      <c r="A323" t="inlineStr">
        <is>
          <t>2021-12</t>
        </is>
      </c>
      <c r="B323" t="inlineStr">
        <is>
          <t>管委會出席費用(預領) 總計$8000元</t>
        </is>
      </c>
      <c r="C323" t="n">
        <v>8000</v>
      </c>
      <c r="D323" t="inlineStr">
        <is>
          <t>內部轉帳</t>
        </is>
      </c>
      <c r="E323" t="inlineStr">
        <is>
          <t>非固定</t>
        </is>
      </c>
    </row>
    <row r="324" ht="16.5" customHeight="1" s="84">
      <c r="A324" t="inlineStr">
        <is>
          <t>2021-12</t>
        </is>
      </c>
      <c r="B324" t="inlineStr">
        <is>
          <t>電梯專用款撥補(110/12) 總計$50,000元</t>
        </is>
      </c>
      <c r="C324" t="n">
        <v>50000</v>
      </c>
      <c r="D324" t="inlineStr">
        <is>
          <t>內部轉帳</t>
        </is>
      </c>
      <c r="E324" t="inlineStr">
        <is>
          <t>非固定</t>
        </is>
      </c>
    </row>
    <row r="325" ht="16.5" customHeight="1" s="84">
      <c r="A325" t="inlineStr">
        <is>
          <t>2021-12</t>
        </is>
      </c>
      <c r="B325" t="inlineStr">
        <is>
          <t>德懋物業公司(110/12)管理服務費：社區經理乙員，社區秘書乙員，警衛服務人員兩哨。總計$375,900元</t>
        </is>
      </c>
      <c r="C325" t="n">
        <v>375900</v>
      </c>
      <c r="D325" t="inlineStr">
        <is>
          <t>其他支出</t>
        </is>
      </c>
      <c r="E325" t="inlineStr">
        <is>
          <t>固定</t>
        </is>
      </c>
    </row>
    <row r="326" ht="16.5" customHeight="1" s="84">
      <c r="A326" t="inlineStr">
        <is>
          <t>2021-12</t>
        </is>
      </c>
      <c r="B326" t="inlineStr">
        <is>
          <t>順達清潔服務費(110/12) 總計$100,500元 110年12月起新合約調漲為100,500元</t>
        </is>
      </c>
      <c r="C326" t="n">
        <v>100500</v>
      </c>
      <c r="D326" t="inlineStr">
        <is>
          <t>清潔服務費</t>
        </is>
      </c>
      <c r="E326" t="inlineStr">
        <is>
          <t>固定</t>
        </is>
      </c>
    </row>
    <row r="327" ht="16.5" customHeight="1" s="84">
      <c r="A327" t="inlineStr">
        <is>
          <t>2021-12</t>
        </is>
      </c>
      <c r="B327" t="inlineStr">
        <is>
          <t>義明清潔服務費(110/12) 總計$100,500元 110年12月起新合約調漲為100,500元</t>
        </is>
      </c>
      <c r="C327" t="n">
        <v>100500</v>
      </c>
      <c r="D327" t="inlineStr">
        <is>
          <t>清潔服務費</t>
        </is>
      </c>
      <c r="E327" t="inlineStr">
        <is>
          <t>固定</t>
        </is>
      </c>
    </row>
    <row r="328" ht="16.5" customHeight="1" s="84">
      <c r="A328" t="inlineStr">
        <is>
          <t>2021-12</t>
        </is>
      </c>
      <c r="B328" t="inlineStr">
        <is>
          <t>侑昇-泳池機房保養(110/12) 總計$3,500元</t>
        </is>
      </c>
      <c r="C328" t="n">
        <v>3500</v>
      </c>
      <c r="D328" t="inlineStr">
        <is>
          <t>其他支出</t>
        </is>
      </c>
      <c r="E328" t="inlineStr">
        <is>
          <t>固定</t>
        </is>
      </c>
      <c r="F328" t="inlineStr">
        <is>
          <t>游泳池</t>
        </is>
      </c>
    </row>
    <row r="329" ht="16.5" customHeight="1" s="84">
      <c r="A329" t="inlineStr">
        <is>
          <t>2021-12</t>
        </is>
      </c>
      <c r="B329" t="inlineStr">
        <is>
          <t>崇友電梯(110/12)電梯保養 總計$100,000元</t>
        </is>
      </c>
      <c r="C329" t="n">
        <v>100000</v>
      </c>
      <c r="D329" t="inlineStr">
        <is>
          <t>電梯保養與修繕</t>
        </is>
      </c>
      <c r="E329" t="inlineStr">
        <is>
          <t>固定</t>
        </is>
      </c>
    </row>
    <row r="330" ht="16.5" customHeight="1" s="84">
      <c r="A330" t="inlineStr">
        <is>
          <t>2021-12</t>
        </is>
      </c>
      <c r="B330" t="inlineStr">
        <is>
          <t>AED(111/01)租賃費 總計$1,500元</t>
        </is>
      </c>
      <c r="C330" t="n">
        <v>1500</v>
      </c>
      <c r="D330" t="inlineStr">
        <is>
          <t>機電/消防/弱電/AED</t>
        </is>
      </c>
      <c r="E330" t="inlineStr">
        <is>
          <t>固定</t>
        </is>
      </c>
    </row>
    <row r="331" ht="16.5" customHeight="1" s="84">
      <c r="A331" t="inlineStr">
        <is>
          <t>2021-12</t>
        </is>
      </c>
      <c r="B331" t="inlineStr">
        <is>
          <t>御品寬頻(110/12)網路服務租賃 總計$9,450元</t>
        </is>
      </c>
      <c r="C331" t="n">
        <v>9450</v>
      </c>
      <c r="D331" t="inlineStr">
        <is>
          <t>機電/消防/弱電/AED</t>
        </is>
      </c>
      <c r="E331" t="inlineStr">
        <is>
          <t>固定</t>
        </is>
      </c>
    </row>
    <row r="332" ht="16.5" customHeight="1" s="84">
      <c r="A332" t="inlineStr">
        <is>
          <t>2021-12</t>
        </is>
      </c>
      <c r="B332" t="inlineStr">
        <is>
          <t>新鑫堯(110/12) 廢棄物清除$25,000元 清潔費$5,000元 總計$30,000元</t>
        </is>
      </c>
      <c r="C332" t="n">
        <v>30000</v>
      </c>
      <c r="D332" t="inlineStr">
        <is>
          <t>垃圾廢棄物/園藝</t>
        </is>
      </c>
      <c r="E332" t="inlineStr">
        <is>
          <t>固定</t>
        </is>
      </c>
    </row>
    <row r="333" ht="16.5" customHeight="1" s="84">
      <c r="A333" t="inlineStr">
        <is>
          <t>2021-12</t>
        </is>
      </c>
      <c r="B333" t="inlineStr">
        <is>
          <t>太古意門禁維護檢點費(110/12) 總計$10,000元</t>
        </is>
      </c>
      <c r="C333" t="n">
        <v>10000</v>
      </c>
      <c r="D333" t="inlineStr">
        <is>
          <t>機電/消防/弱電/AED</t>
        </is>
      </c>
      <c r="E333" t="inlineStr">
        <is>
          <t>固定</t>
        </is>
      </c>
    </row>
    <row r="334" ht="16.5" customHeight="1" s="84">
      <c r="A334" t="inlineStr">
        <is>
          <t>2021-12</t>
        </is>
      </c>
      <c r="B334" t="inlineStr">
        <is>
          <t>鑫禾機電保養費(110/12) 總計$28,000元</t>
        </is>
      </c>
      <c r="C334" t="n">
        <v>28000</v>
      </c>
      <c r="D334" t="inlineStr">
        <is>
          <t>機電/消防/弱電/AED</t>
        </is>
      </c>
      <c r="E334" t="inlineStr">
        <is>
          <t>固定</t>
        </is>
      </c>
    </row>
    <row r="335" ht="16.5" customHeight="1" s="84">
      <c r="A335" t="inlineStr">
        <is>
          <t>2021-12</t>
        </is>
      </c>
      <c r="B335" t="inlineStr">
        <is>
          <t>景輝-園藝定期保養(110/12) 總計$28,000元</t>
        </is>
      </c>
      <c r="C335" t="n">
        <v>28000</v>
      </c>
      <c r="D335" t="inlineStr">
        <is>
          <t>垃圾廢棄物/園藝</t>
        </is>
      </c>
      <c r="E335" t="inlineStr">
        <is>
          <t>固定</t>
        </is>
      </c>
    </row>
    <row r="336" ht="16.5" customHeight="1" s="84">
      <c r="A336" t="inlineStr">
        <is>
          <t>2021-12</t>
        </is>
      </c>
      <c r="B336" t="inlineStr">
        <is>
          <t>鋐隆清潔用品 11/29 大垃圾袋$46*25=$1,150元 5%稅金$58元 計$1,208元</t>
        </is>
      </c>
      <c r="C336" t="n">
        <v>1208</v>
      </c>
      <c r="D336" t="inlineStr">
        <is>
          <t>清潔服務費</t>
        </is>
      </c>
      <c r="E336" t="inlineStr">
        <is>
          <t>非固定</t>
        </is>
      </c>
    </row>
    <row r="337" ht="16.5" customHeight="1" s="84">
      <c r="A337" t="inlineStr">
        <is>
          <t>2021-12</t>
        </is>
      </c>
      <c r="B337" t="inlineStr">
        <is>
          <t>鑫禾機電 1.汙水馬達(放流B機)$32,000元 2.進水浮球(戊棟下水池)$3,000元 3.LED杯燈$350*7=$2,450元 4.補水電磁閥(泳池)$2,650元 5.T8懸吊式單管燈具(LED)$950元 總計$41,050元</t>
        </is>
      </c>
      <c r="C337" t="n">
        <v>41050</v>
      </c>
      <c r="D337" t="inlineStr">
        <is>
          <t>機電/消防/弱電/AED</t>
        </is>
      </c>
      <c r="E337" t="inlineStr">
        <is>
          <t>非固定</t>
        </is>
      </c>
      <c r="F337" t="inlineStr">
        <is>
          <t>游泳池</t>
        </is>
      </c>
    </row>
    <row r="338" ht="16.5" customHeight="1" s="84">
      <c r="A338" t="inlineStr">
        <is>
          <t>2021-12</t>
        </is>
      </c>
      <c r="B338" t="inlineStr">
        <is>
          <t>崇友電梯設備維修 乙棟無障礙電梯(#3)更換HCD顯示器 5%稅金$160元 總計$3,360元</t>
        </is>
      </c>
      <c r="C338" t="n">
        <v>3360</v>
      </c>
      <c r="D338" t="inlineStr">
        <is>
          <t>電梯保養與修繕</t>
        </is>
      </c>
      <c r="E338" t="inlineStr">
        <is>
          <t>非固定</t>
        </is>
      </c>
      <c r="F338" t="inlineStr">
        <is>
          <t>電梯</t>
        </is>
      </c>
    </row>
    <row r="339" ht="15" customHeight="1" s="84">
      <c r="A339" t="inlineStr">
        <is>
          <t>2021-12</t>
        </is>
      </c>
      <c r="B339" t="inlineStr">
        <is>
          <t>崇友電梯設備維修 甲棟無障礙電梯(#1) 1.HCD顯示器$3,200*4=$12,800元 2.繼電器$1,500*2=$3,000元 3.橫流扇風機$2,200*2=$4,400元 5%稅金$1,010元 總計$21,210元,經議價$20,200元</t>
        </is>
      </c>
      <c r="C339" t="n">
        <v>20200</v>
      </c>
      <c r="D339" t="inlineStr">
        <is>
          <t>電梯保養與修繕</t>
        </is>
      </c>
      <c r="E339" t="inlineStr">
        <is>
          <t>非固定</t>
        </is>
      </c>
      <c r="F339" t="inlineStr">
        <is>
          <t>電梯</t>
        </is>
      </c>
    </row>
    <row r="340" ht="15" customHeight="1" s="84">
      <c r="A340" t="inlineStr">
        <is>
          <t>2021-12</t>
        </is>
      </c>
      <c r="B340" t="inlineStr">
        <is>
          <t>ETAG住戶第一次免費領取費用回補 $80元</t>
        </is>
      </c>
      <c r="C340" t="n">
        <v>80</v>
      </c>
      <c r="D340" t="inlineStr">
        <is>
          <t>內部轉帳</t>
        </is>
      </c>
      <c r="E340" t="inlineStr">
        <is>
          <t>非固定</t>
        </is>
      </c>
    </row>
    <row r="341" ht="16.5" customHeight="1" s="84">
      <c r="A341" t="inlineStr">
        <is>
          <t>2021-12</t>
        </is>
      </c>
      <c r="B341" t="inlineStr">
        <is>
          <t>太古意監視器工程款 監視器新增及舊鏡頭升級工程 總金額$756,683元 第一期$227,005元(110.07支付) 第二期$454,010元(110.11支付) 第三期尾款$75,668元(110.12.支付)</t>
        </is>
      </c>
      <c r="C341" t="n">
        <v>75668</v>
      </c>
      <c r="D341" t="inlineStr">
        <is>
          <t>機電/消防/弱電/AED</t>
        </is>
      </c>
      <c r="E341" t="inlineStr">
        <is>
          <t>非固定</t>
        </is>
      </c>
    </row>
    <row r="342" ht="16.5" customHeight="1" s="84">
      <c r="A342" t="inlineStr">
        <is>
          <t>2021-12</t>
        </is>
      </c>
      <c r="B342" t="inlineStr">
        <is>
          <t>佳和企業 110.11.06 1.M層格柵開維修孔$8,500*3=$25,500元 計$25,500元 2.回收室金屬大門維修 導軌板$2,000元，修改工資$6,000元 門底導軌$2,300元 計$10,300元 總計$35,800元</t>
        </is>
      </c>
      <c r="C342" t="n">
        <v>35800</v>
      </c>
      <c r="D342" t="inlineStr">
        <is>
          <t>工程維修/購置</t>
        </is>
      </c>
      <c r="E342" t="inlineStr">
        <is>
          <t>非固定</t>
        </is>
      </c>
    </row>
    <row r="343" ht="16.5" customHeight="1" s="84">
      <c r="A343" t="inlineStr">
        <is>
          <t>2021-12</t>
        </is>
      </c>
      <c r="B343" t="inlineStr">
        <is>
          <t>社區電話費(5630533)</t>
        </is>
      </c>
      <c r="C343" t="n">
        <v>772</v>
      </c>
      <c r="D343" t="inlineStr">
        <is>
          <t>電話/網路費</t>
        </is>
      </c>
      <c r="E343" t="inlineStr">
        <is>
          <t>非固定</t>
        </is>
      </c>
    </row>
    <row r="344" ht="16.5" customHeight="1" s="84">
      <c r="A344" t="inlineStr">
        <is>
          <t>2021-12</t>
        </is>
      </c>
      <c r="B344" t="inlineStr">
        <is>
          <t>社區網路費(Y123617)</t>
        </is>
      </c>
      <c r="C344" t="n">
        <v>2199</v>
      </c>
      <c r="D344" t="inlineStr">
        <is>
          <t>電話/網路費</t>
        </is>
      </c>
      <c r="E344" t="inlineStr">
        <is>
          <t>非固定</t>
        </is>
      </c>
    </row>
    <row r="345" ht="16.5" customHeight="1" s="84">
      <c r="A345" t="inlineStr">
        <is>
          <t>2021-12</t>
        </is>
      </c>
      <c r="B345" t="inlineStr">
        <is>
          <t>社區網路費(Y174790)</t>
        </is>
      </c>
      <c r="C345" t="n">
        <v>1899</v>
      </c>
      <c r="D345" t="inlineStr">
        <is>
          <t>電話/網路費</t>
        </is>
      </c>
      <c r="E345" t="inlineStr">
        <is>
          <t>非固定</t>
        </is>
      </c>
    </row>
    <row r="346" ht="16.5" customHeight="1" s="84">
      <c r="A346" t="inlineStr">
        <is>
          <t>2021-12</t>
        </is>
      </c>
      <c r="B346" t="inlineStr">
        <is>
          <t>公共電費</t>
        </is>
      </c>
      <c r="C346" t="n">
        <v>71935</v>
      </c>
      <c r="D346" t="inlineStr">
        <is>
          <t>公共水電瓦斯</t>
        </is>
      </c>
      <c r="E346" t="inlineStr">
        <is>
          <t>非固定</t>
        </is>
      </c>
    </row>
    <row r="347" ht="16.5" customHeight="1" s="84">
      <c r="A347" t="inlineStr">
        <is>
          <t>2021-12</t>
        </is>
      </c>
      <c r="B347" t="inlineStr">
        <is>
          <t>自來水費</t>
        </is>
      </c>
      <c r="C347" t="n">
        <v>7259</v>
      </c>
      <c r="D347" t="inlineStr">
        <is>
          <t>公共水電瓦斯</t>
        </is>
      </c>
      <c r="E347" t="inlineStr">
        <is>
          <t>非固定</t>
        </is>
      </c>
    </row>
    <row r="348" ht="16.5" customHeight="1" s="84">
      <c r="A348" t="inlineStr">
        <is>
          <t>2022-01</t>
        </is>
      </c>
      <c r="B348" t="inlineStr">
        <is>
          <t>零用金撥補(111/01) 總計$5,276元</t>
        </is>
      </c>
      <c r="C348" t="n">
        <v>5276</v>
      </c>
      <c r="D348" t="inlineStr">
        <is>
          <t>內部轉帳</t>
        </is>
      </c>
      <c r="E348" t="inlineStr">
        <is>
          <t>非固定</t>
        </is>
      </c>
    </row>
    <row r="349" ht="16.5" customHeight="1" s="84">
      <c r="A349" t="inlineStr">
        <is>
          <t>2022-01</t>
        </is>
      </c>
      <c r="B349" t="inlineStr">
        <is>
          <t>管委會出席費用(預領) 總計$8000元</t>
        </is>
      </c>
      <c r="C349" t="n">
        <v>8000</v>
      </c>
      <c r="D349" t="inlineStr">
        <is>
          <t>內部轉帳</t>
        </is>
      </c>
      <c r="E349" t="inlineStr">
        <is>
          <t>非固定</t>
        </is>
      </c>
    </row>
    <row r="350" ht="16.5" customHeight="1" s="84">
      <c r="A350" t="inlineStr">
        <is>
          <t>2022-01</t>
        </is>
      </c>
      <c r="B350" t="inlineStr">
        <is>
          <t>電梯專用款撥補(111/01) 總計$50,000元</t>
        </is>
      </c>
      <c r="C350" t="n">
        <v>50000</v>
      </c>
      <c r="D350" t="inlineStr">
        <is>
          <t>內部轉帳</t>
        </is>
      </c>
      <c r="E350" t="inlineStr">
        <is>
          <t>非固定</t>
        </is>
      </c>
    </row>
    <row r="351" ht="16.5" customHeight="1" s="84">
      <c r="A351" t="inlineStr">
        <is>
          <t>2022-01</t>
        </is>
      </c>
      <c r="B351" t="inlineStr">
        <is>
          <t>德懋物業公司(111/01)管理服務費：社區經理乙員，社區秘書乙員，警衛服務人員兩哨。總計$375,900元</t>
        </is>
      </c>
      <c r="C351" t="n">
        <v>375900</v>
      </c>
      <c r="D351" t="inlineStr">
        <is>
          <t>其他支出</t>
        </is>
      </c>
      <c r="E351" t="inlineStr">
        <is>
          <t>固定</t>
        </is>
      </c>
    </row>
    <row r="352" ht="16.5" customHeight="1" s="84">
      <c r="A352" t="inlineStr">
        <is>
          <t>2022-01</t>
        </is>
      </c>
      <c r="B352" t="inlineStr">
        <is>
          <t>順達清潔服務費(111/01) 總計$100,500元 110年12月起新合約調漲為100,500元</t>
        </is>
      </c>
      <c r="C352" t="n">
        <v>100500</v>
      </c>
      <c r="D352" t="inlineStr">
        <is>
          <t>清潔服務費</t>
        </is>
      </c>
      <c r="E352" t="inlineStr">
        <is>
          <t>固定</t>
        </is>
      </c>
    </row>
    <row r="353" ht="16.5" customHeight="1" s="84">
      <c r="A353" t="inlineStr">
        <is>
          <t>2022-01</t>
        </is>
      </c>
      <c r="B353" t="inlineStr">
        <is>
          <t>義明清潔服務費(111/01) 總計$100,500元 110年12月起新合約調漲為100,500元</t>
        </is>
      </c>
      <c r="C353" t="n">
        <v>100500</v>
      </c>
      <c r="D353" t="inlineStr">
        <is>
          <t>清潔服務費</t>
        </is>
      </c>
      <c r="E353" t="inlineStr">
        <is>
          <t>固定</t>
        </is>
      </c>
    </row>
    <row r="354" ht="16.5" customHeight="1" s="84">
      <c r="A354" t="inlineStr">
        <is>
          <t>2022-01</t>
        </is>
      </c>
      <c r="B354" t="inlineStr">
        <is>
          <t>侑昇-泳池機房保養(111/01) 總計$3,500元</t>
        </is>
      </c>
      <c r="C354" t="n">
        <v>3500</v>
      </c>
      <c r="D354" t="inlineStr">
        <is>
          <t>其他支出</t>
        </is>
      </c>
      <c r="E354" t="inlineStr">
        <is>
          <t>固定</t>
        </is>
      </c>
      <c r="F354" t="inlineStr">
        <is>
          <t>游泳池</t>
        </is>
      </c>
    </row>
    <row r="355" ht="16.5" customHeight="1" s="84">
      <c r="A355" t="inlineStr">
        <is>
          <t>2022-01</t>
        </is>
      </c>
      <c r="B355" t="inlineStr">
        <is>
          <t>崇友電梯(111/01)電梯保養 總計$100,000元</t>
        </is>
      </c>
      <c r="C355" t="n">
        <v>100000</v>
      </c>
      <c r="D355" t="inlineStr">
        <is>
          <t>電梯保養與修繕</t>
        </is>
      </c>
      <c r="E355" t="inlineStr">
        <is>
          <t>固定</t>
        </is>
      </c>
    </row>
    <row r="356" ht="16.5" customHeight="1" s="84">
      <c r="A356" t="inlineStr">
        <is>
          <t>2022-01</t>
        </is>
      </c>
      <c r="B356" t="inlineStr">
        <is>
          <t>AED(111/02)租賃費 總計$1,500元</t>
        </is>
      </c>
      <c r="C356" t="n">
        <v>1500</v>
      </c>
      <c r="D356" t="inlineStr">
        <is>
          <t>機電/消防/弱電/AED</t>
        </is>
      </c>
      <c r="E356" t="inlineStr">
        <is>
          <t>固定</t>
        </is>
      </c>
    </row>
    <row r="357" ht="16.5" customHeight="1" s="84">
      <c r="A357" t="inlineStr">
        <is>
          <t>2022-01</t>
        </is>
      </c>
      <c r="B357" t="inlineStr">
        <is>
          <t>御品寬頻(111/01)網路服務租賃 總計$9,450元</t>
        </is>
      </c>
      <c r="C357" t="n">
        <v>9450</v>
      </c>
      <c r="D357" t="inlineStr">
        <is>
          <t>機電/消防/弱電/AED</t>
        </is>
      </c>
      <c r="E357" t="inlineStr">
        <is>
          <t>固定</t>
        </is>
      </c>
    </row>
    <row r="358" ht="16.5" customHeight="1" s="84">
      <c r="A358" t="inlineStr">
        <is>
          <t>2022-01</t>
        </is>
      </c>
      <c r="B358" t="inlineStr">
        <is>
          <t>新鑫堯(111/01) 廢棄物清除$25,000元 清潔費$5,000元 總計$30,000元</t>
        </is>
      </c>
      <c r="C358" t="n">
        <v>30000</v>
      </c>
      <c r="D358" t="inlineStr">
        <is>
          <t>垃圾廢棄物/園藝</t>
        </is>
      </c>
      <c r="E358" t="inlineStr">
        <is>
          <t>固定</t>
        </is>
      </c>
    </row>
    <row r="359" ht="16.5" customHeight="1" s="84">
      <c r="A359" t="inlineStr">
        <is>
          <t>2022-01</t>
        </is>
      </c>
      <c r="B359" t="inlineStr">
        <is>
          <t>太古意門禁維護檢點費(111/01) 總計$10,000元</t>
        </is>
      </c>
      <c r="C359" t="n">
        <v>10000</v>
      </c>
      <c r="D359" t="inlineStr">
        <is>
          <t>機電/消防/弱電/AED</t>
        </is>
      </c>
      <c r="E359" t="inlineStr">
        <is>
          <t>固定</t>
        </is>
      </c>
    </row>
    <row r="360" ht="16.5" customHeight="1" s="84">
      <c r="A360" t="inlineStr">
        <is>
          <t>2022-01</t>
        </is>
      </c>
      <c r="B360" t="inlineStr">
        <is>
          <t>鑫禾機電保養費(111/01) 總計$28,000元</t>
        </is>
      </c>
      <c r="C360" t="n">
        <v>28000</v>
      </c>
      <c r="D360" t="inlineStr">
        <is>
          <t>機電/消防/弱電/AED</t>
        </is>
      </c>
      <c r="E360" t="inlineStr">
        <is>
          <t>固定</t>
        </is>
      </c>
    </row>
    <row r="361" ht="16.5" customHeight="1" s="84">
      <c r="A361" t="inlineStr">
        <is>
          <t>2022-01</t>
        </is>
      </c>
      <c r="B361" t="inlineStr">
        <is>
          <t>景輝-園藝定期保養(111/01) 總計$28,000元</t>
        </is>
      </c>
      <c r="C361" t="n">
        <v>28000</v>
      </c>
      <c r="D361" t="inlineStr">
        <is>
          <t>垃圾廢棄物/園藝</t>
        </is>
      </c>
      <c r="E361" t="inlineStr">
        <is>
          <t>固定</t>
        </is>
      </c>
    </row>
    <row r="362" ht="16.5" customHeight="1" s="84">
      <c r="A362" t="inlineStr">
        <is>
          <t>2022-01</t>
        </is>
      </c>
      <c r="B362" t="inlineStr">
        <is>
          <t>鋐隆清潔用品 12/23 1.紅龍洗手乳$180*4=$720元 2.百柔小捲衛生紙$400*2=$800元 3.芳柔擦手紙$450元 4.5%稅金$99元 計$2,069元</t>
        </is>
      </c>
      <c r="C362" t="n">
        <v>2069</v>
      </c>
      <c r="D362" t="inlineStr">
        <is>
          <t>清潔服務費</t>
        </is>
      </c>
      <c r="E362" t="inlineStr">
        <is>
          <t>非固定</t>
        </is>
      </c>
    </row>
    <row r="363" ht="16.5" customHeight="1" s="84">
      <c r="A363" t="inlineStr">
        <is>
          <t>2022-01</t>
        </is>
      </c>
      <c r="B363" t="inlineStr">
        <is>
          <t>鑫禾機電 1.偵煙感知器$500元 2.電燈感應器$750*3=2,250元 3.LED-T5燈管$300*2=$600元 4.LED杯燈$350*4=$1,400元 5.LED球泡燈$110*37=$4,070元 6.開孔處施作管道間檢修門$6,500元 7.車道壁燈維修$650*26=16,900元 8.排水軟管更換(媽媽教室)$500元 9.水底燈$3,500*5=$17,500元 總計$50,220元</t>
        </is>
      </c>
      <c r="C363" t="n">
        <v>50220</v>
      </c>
      <c r="D363" t="inlineStr">
        <is>
          <t>機電/消防/弱電/AED</t>
        </is>
      </c>
      <c r="E363" t="inlineStr">
        <is>
          <t>非固定</t>
        </is>
      </c>
    </row>
    <row r="364" ht="16.5" customHeight="1" s="84">
      <c r="A364" t="inlineStr">
        <is>
          <t>2022-01</t>
        </is>
      </c>
      <c r="B364" t="inlineStr">
        <is>
          <t>鑫禾機電-消防改善(緊急照明燈類) 1.緊急照明燈(壁掛)$450*317=$142,650元 2.緊急照明燈(崁頂)$450*32=14,400元 總計$157,050元</t>
        </is>
      </c>
      <c r="C364" t="n">
        <v>157050</v>
      </c>
      <c r="D364" t="inlineStr">
        <is>
          <t>機電/消防/弱電/AED</t>
        </is>
      </c>
      <c r="E364" t="inlineStr">
        <is>
          <t>非固定</t>
        </is>
      </c>
    </row>
    <row r="365" ht="16.5" customHeight="1" s="84">
      <c r="A365" t="inlineStr">
        <is>
          <t>2022-01</t>
        </is>
      </c>
      <c r="B365" t="inlineStr">
        <is>
          <t>新鑫堯12月增桶 12月增桶$600*1=$600元 總計$600元</t>
        </is>
      </c>
      <c r="C365" t="n">
        <v>600</v>
      </c>
      <c r="D365" t="inlineStr">
        <is>
          <t>垃圾廢棄物/園藝</t>
        </is>
      </c>
      <c r="E365" t="inlineStr">
        <is>
          <t>非固定</t>
        </is>
      </c>
    </row>
    <row r="366" ht="16.5" customHeight="1" s="84">
      <c r="A366" t="inlineStr">
        <is>
          <t>2022-01</t>
        </is>
      </c>
      <c r="B366" t="inlineStr">
        <is>
          <t>ETAG住戶第一次免費領取費用回補 $80元(R22)</t>
        </is>
      </c>
      <c r="C366" t="n">
        <v>80</v>
      </c>
      <c r="D366" t="inlineStr">
        <is>
          <t>內部轉帳</t>
        </is>
      </c>
      <c r="E366" t="inlineStr">
        <is>
          <t>非固定</t>
        </is>
      </c>
    </row>
    <row r="367" ht="15" customHeight="1" s="84">
      <c r="A367" t="inlineStr">
        <is>
          <t>2022-01</t>
        </is>
      </c>
      <c r="B367" t="inlineStr">
        <is>
          <t>禾順 疏通排水管$2,000*4=$8,000元 總計$8,000元</t>
        </is>
      </c>
      <c r="C367" t="n">
        <v>8000</v>
      </c>
      <c r="D367" t="inlineStr">
        <is>
          <t>其他支出</t>
        </is>
      </c>
      <c r="E367" t="inlineStr">
        <is>
          <t>非固定</t>
        </is>
      </c>
    </row>
    <row r="368" ht="15" customHeight="1" s="84">
      <c r="A368" t="inlineStr">
        <is>
          <t>2022-01</t>
        </is>
      </c>
      <c r="B368" t="inlineStr">
        <is>
          <t>儐順噴灌 1.7.5HP變頻控制器，故障維修內部數位輸出接點燒毀更新$8,500元 2.拆除與換裝工資$5,000元 3.測試及運轉$1,500元 總計$15,000元</t>
        </is>
      </c>
      <c r="C368" t="n">
        <v>15000</v>
      </c>
      <c r="D368" t="inlineStr">
        <is>
          <t>工程維修/購置</t>
        </is>
      </c>
      <c r="E368" t="inlineStr">
        <is>
          <t>非固定</t>
        </is>
      </c>
    </row>
    <row r="369" ht="16.5" customHeight="1" s="84">
      <c r="A369" t="inlineStr">
        <is>
          <t>2022-01</t>
        </is>
      </c>
      <c r="B369" t="inlineStr">
        <is>
          <t>廣中工程 1.甲棟CD戶汙排水管$3,850*4=$15,400元 2.乙棟EF戶汙排水管$3,850*3=$11,550元 3.乙棟GH戶汙排水管$3,850*4=$15,400元 4.丙棟IJ戶汙排水管$3,850*4=$15,400元 5.丙棟KL戶汙排水管$3,850*4=$15,400元 6.衛生安全管理費$13,860元 總計$87,010元</t>
        </is>
      </c>
      <c r="C369" t="n">
        <v>87010</v>
      </c>
      <c r="D369" t="inlineStr">
        <is>
          <t>工程維修/購置</t>
        </is>
      </c>
      <c r="E369" t="inlineStr">
        <is>
          <t>非固定</t>
        </is>
      </c>
    </row>
    <row r="370" ht="16.5" customHeight="1" s="84">
      <c r="A370" t="inlineStr">
        <is>
          <t>2022-01</t>
        </is>
      </c>
      <c r="B370" t="inlineStr">
        <is>
          <t>服務人員春節獎金 1.社區經理$6,600元 2.社區秘書$3,600元 3.日夜保全每班2員，每員$500元(除夕-初三)共計8班，計$8,000元 4.清潔人員$600*6位共$3,600元 5.初四新鑫堯環保加收人員紅包$200*4位共$800元 總計$22,600元</t>
        </is>
      </c>
      <c r="C370" t="n">
        <v>22600</v>
      </c>
      <c r="D370" t="inlineStr">
        <is>
          <t>垃圾廢棄物/園藝</t>
        </is>
      </c>
      <c r="E370" t="inlineStr">
        <is>
          <t>非固定</t>
        </is>
      </c>
    </row>
    <row r="371" ht="16.5" customHeight="1" s="84">
      <c r="A371" t="inlineStr">
        <is>
          <t>2022-01</t>
        </is>
      </c>
      <c r="B371" t="inlineStr">
        <is>
          <t>社區電話費(5630533)</t>
        </is>
      </c>
      <c r="C371" t="n">
        <v>939</v>
      </c>
      <c r="D371" t="inlineStr">
        <is>
          <t>電話/網路費</t>
        </is>
      </c>
      <c r="E371" t="inlineStr">
        <is>
          <t>非固定</t>
        </is>
      </c>
    </row>
    <row r="372" ht="16.5" customHeight="1" s="84">
      <c r="A372" t="inlineStr">
        <is>
          <t>2022-01</t>
        </is>
      </c>
      <c r="B372" t="inlineStr">
        <is>
          <t>社區網路費(Y123617)</t>
        </is>
      </c>
      <c r="C372" t="n">
        <v>2199</v>
      </c>
      <c r="D372" t="inlineStr">
        <is>
          <t>電話/網路費</t>
        </is>
      </c>
      <c r="E372" t="inlineStr">
        <is>
          <t>非固定</t>
        </is>
      </c>
    </row>
    <row r="373" ht="16.5" customHeight="1" s="84">
      <c r="A373" t="inlineStr">
        <is>
          <t>2022-01</t>
        </is>
      </c>
      <c r="B373" t="inlineStr">
        <is>
          <t>社區網路費(Y174790)</t>
        </is>
      </c>
      <c r="C373" t="n">
        <v>1899</v>
      </c>
      <c r="D373" t="inlineStr">
        <is>
          <t>電話/網路費</t>
        </is>
      </c>
      <c r="E373" t="inlineStr">
        <is>
          <t>非固定</t>
        </is>
      </c>
    </row>
    <row r="374" ht="16.5" customHeight="1" s="84">
      <c r="A374" t="inlineStr">
        <is>
          <t>2022-01</t>
        </is>
      </c>
      <c r="B374" t="inlineStr">
        <is>
          <t>公共電費</t>
        </is>
      </c>
      <c r="C374" t="n">
        <v>82554</v>
      </c>
      <c r="D374" t="inlineStr">
        <is>
          <t>公共水電瓦斯</t>
        </is>
      </c>
      <c r="E374" t="inlineStr">
        <is>
          <t>非固定</t>
        </is>
      </c>
    </row>
    <row r="375" ht="16.5" customHeight="1" s="84">
      <c r="A375" t="inlineStr">
        <is>
          <t>2022-01</t>
        </is>
      </c>
      <c r="B375" t="inlineStr">
        <is>
          <t>自來水費</t>
        </is>
      </c>
      <c r="C375" t="n">
        <v>0</v>
      </c>
      <c r="D375" t="inlineStr">
        <is>
          <t>公共水電瓦斯</t>
        </is>
      </c>
      <c r="E375" t="inlineStr">
        <is>
          <t>非固定</t>
        </is>
      </c>
    </row>
    <row r="376" ht="16.5" customHeight="1" s="84">
      <c r="A376" t="inlineStr">
        <is>
          <t>2022-02</t>
        </is>
      </c>
      <c r="B376" t="inlineStr">
        <is>
          <t>零用金撥補(111/02) 總計$15,634元</t>
        </is>
      </c>
      <c r="C376" t="n">
        <v>15634</v>
      </c>
      <c r="D376" t="inlineStr">
        <is>
          <t>內部轉帳</t>
        </is>
      </c>
      <c r="E376" t="inlineStr">
        <is>
          <t>非固定</t>
        </is>
      </c>
    </row>
    <row r="377" ht="16.5" customHeight="1" s="84">
      <c r="A377" t="inlineStr">
        <is>
          <t>2022-02</t>
        </is>
      </c>
      <c r="B377" t="inlineStr">
        <is>
          <t>管委會出席費用(預領) 總計$8000元</t>
        </is>
      </c>
      <c r="C377" t="n">
        <v>8000</v>
      </c>
      <c r="D377" t="inlineStr">
        <is>
          <t>內部轉帳</t>
        </is>
      </c>
      <c r="E377" t="inlineStr">
        <is>
          <t>非固定</t>
        </is>
      </c>
    </row>
    <row r="378" ht="16.5" customHeight="1" s="84">
      <c r="A378" t="inlineStr">
        <is>
          <t>2022-02</t>
        </is>
      </c>
      <c r="B378" t="inlineStr">
        <is>
          <t>電梯專用款撥補(111/02) 總計$50,000元</t>
        </is>
      </c>
      <c r="C378" t="n">
        <v>50000</v>
      </c>
      <c r="D378" t="inlineStr">
        <is>
          <t>內部轉帳</t>
        </is>
      </c>
      <c r="E378" t="inlineStr">
        <is>
          <t>非固定</t>
        </is>
      </c>
    </row>
    <row r="379" ht="16.5" customHeight="1" s="84">
      <c r="A379" t="inlineStr">
        <is>
          <t>2022-02</t>
        </is>
      </c>
      <c r="B379" t="inlineStr">
        <is>
          <t>德懋物業公司(111/02)管理服務費：社區經理乙員，社區秘書乙員，警衛服務人員兩哨。總計$375,900元</t>
        </is>
      </c>
      <c r="C379" t="n">
        <v>375900</v>
      </c>
      <c r="D379" t="inlineStr">
        <is>
          <t>其他支出</t>
        </is>
      </c>
      <c r="E379" t="inlineStr">
        <is>
          <t>固定</t>
        </is>
      </c>
    </row>
    <row r="380" ht="16.5" customHeight="1" s="84">
      <c r="A380" t="inlineStr">
        <is>
          <t>2022-02</t>
        </is>
      </c>
      <c r="B380" t="inlineStr">
        <is>
          <t>順達清潔服務費(111/02) 總計$100,500元</t>
        </is>
      </c>
      <c r="C380" t="n">
        <v>100500</v>
      </c>
      <c r="D380" t="inlineStr">
        <is>
          <t>清潔服務費</t>
        </is>
      </c>
      <c r="E380" t="inlineStr">
        <is>
          <t>固定</t>
        </is>
      </c>
    </row>
    <row r="381" ht="16.5" customHeight="1" s="84">
      <c r="A381" t="inlineStr">
        <is>
          <t>2022-02</t>
        </is>
      </c>
      <c r="B381" t="inlineStr">
        <is>
          <t>義明清潔服務費(111/02) 總計$100,500元</t>
        </is>
      </c>
      <c r="C381" t="n">
        <v>100500</v>
      </c>
      <c r="D381" t="inlineStr">
        <is>
          <t>清潔服務費</t>
        </is>
      </c>
      <c r="E381" t="inlineStr">
        <is>
          <t>固定</t>
        </is>
      </c>
    </row>
    <row r="382" ht="16.5" customHeight="1" s="84">
      <c r="A382" t="inlineStr">
        <is>
          <t>2022-02</t>
        </is>
      </c>
      <c r="B382" t="inlineStr">
        <is>
          <t>侑昇-泳池機房保養(111/02) 總計$3,500元</t>
        </is>
      </c>
      <c r="C382" t="n">
        <v>3500</v>
      </c>
      <c r="D382" t="inlineStr">
        <is>
          <t>其他支出</t>
        </is>
      </c>
      <c r="E382" t="inlineStr">
        <is>
          <t>固定</t>
        </is>
      </c>
      <c r="F382" t="inlineStr">
        <is>
          <t>游泳池</t>
        </is>
      </c>
    </row>
    <row r="383" ht="16.5" customHeight="1" s="84">
      <c r="A383" t="inlineStr">
        <is>
          <t>2022-02</t>
        </is>
      </c>
      <c r="B383" t="inlineStr">
        <is>
          <t>崇友電梯(111/02)電梯保養 總計$100,000元</t>
        </is>
      </c>
      <c r="C383" t="n">
        <v>100000</v>
      </c>
      <c r="D383" t="inlineStr">
        <is>
          <t>電梯保養與修繕</t>
        </is>
      </c>
      <c r="E383" t="inlineStr">
        <is>
          <t>固定</t>
        </is>
      </c>
    </row>
    <row r="384" ht="16.5" customHeight="1" s="84">
      <c r="A384" t="inlineStr">
        <is>
          <t>2022-02</t>
        </is>
      </c>
      <c r="B384" t="inlineStr">
        <is>
          <t>AED(111/03)租賃費 總計$1,500元</t>
        </is>
      </c>
      <c r="C384" t="n">
        <v>1500</v>
      </c>
      <c r="D384" t="inlineStr">
        <is>
          <t>機電/消防/弱電/AED</t>
        </is>
      </c>
      <c r="E384" t="inlineStr">
        <is>
          <t>固定</t>
        </is>
      </c>
    </row>
    <row r="385" ht="16.5" customHeight="1" s="84">
      <c r="A385" t="inlineStr">
        <is>
          <t>2022-02</t>
        </is>
      </c>
      <c r="B385" t="inlineStr">
        <is>
          <t>御品寬頻(111/02)網路服務租賃 總計$9,450元</t>
        </is>
      </c>
      <c r="C385" t="n">
        <v>9450</v>
      </c>
      <c r="D385" t="inlineStr">
        <is>
          <t>機電/消防/弱電/AED</t>
        </is>
      </c>
      <c r="E385" t="inlineStr">
        <is>
          <t>固定</t>
        </is>
      </c>
    </row>
    <row r="386" ht="16.5" customHeight="1" s="84">
      <c r="A386" t="inlineStr">
        <is>
          <t>2022-02</t>
        </is>
      </c>
      <c r="B386" t="inlineStr">
        <is>
          <t>新鑫堯(111/02) 廢棄物清除$25,000元 清潔費$5,000元 總計$30,000元</t>
        </is>
      </c>
      <c r="C386" t="n">
        <v>30000</v>
      </c>
      <c r="D386" t="inlineStr">
        <is>
          <t>垃圾廢棄物/園藝</t>
        </is>
      </c>
      <c r="E386" t="inlineStr">
        <is>
          <t>固定</t>
        </is>
      </c>
    </row>
    <row r="387" ht="16.5" customHeight="1" s="84">
      <c r="A387" t="inlineStr">
        <is>
          <t>2022-02</t>
        </is>
      </c>
      <c r="B387" t="inlineStr">
        <is>
          <t>太古意門禁維護檢點費(111/02) 總計$10,000元</t>
        </is>
      </c>
      <c r="C387" t="n">
        <v>10000</v>
      </c>
      <c r="D387" t="inlineStr">
        <is>
          <t>機電/消防/弱電/AED</t>
        </is>
      </c>
      <c r="E387" t="inlineStr">
        <is>
          <t>固定</t>
        </is>
      </c>
    </row>
    <row r="388" ht="16.5" customHeight="1" s="84">
      <c r="A388" t="inlineStr">
        <is>
          <t>2022-02</t>
        </is>
      </c>
      <c r="B388" t="inlineStr">
        <is>
          <t>鑫禾機電保養費(111/02) 總計$28,000元</t>
        </is>
      </c>
      <c r="C388" t="n">
        <v>28000</v>
      </c>
      <c r="D388" t="inlineStr">
        <is>
          <t>機電/消防/弱電/AED</t>
        </is>
      </c>
      <c r="E388" t="inlineStr">
        <is>
          <t>固定</t>
        </is>
      </c>
    </row>
    <row r="389" ht="16.5" customHeight="1" s="84">
      <c r="A389" t="inlineStr">
        <is>
          <t>2022-02</t>
        </is>
      </c>
      <c r="B389" t="inlineStr">
        <is>
          <t>景輝-園藝定期保養(111/02) 總計$28,000元</t>
        </is>
      </c>
      <c r="C389" t="n">
        <v>28000</v>
      </c>
      <c r="D389" t="inlineStr">
        <is>
          <t>垃圾廢棄物/園藝</t>
        </is>
      </c>
      <c r="E389" t="inlineStr">
        <is>
          <t>固定</t>
        </is>
      </c>
    </row>
    <row r="390" ht="16.5" customHeight="1" s="84">
      <c r="A390" t="inlineStr">
        <is>
          <t>2022-02</t>
        </is>
      </c>
      <c r="B390" t="inlineStr">
        <is>
          <t>鋐隆清潔用品 01/07 1.紅龍洗手乳$180*4=$720元 2.防疫酒精$400*6=$2400元 3.小垃圾袋$950元 4.大垃圾袋102*115$46*25KG=1150元 5.百柔小捲衛生紙$400元 6.芳柔擦手紙$450元 7. 5%稅金$304元 總計$6,374元</t>
        </is>
      </c>
      <c r="C390" t="n">
        <v>6374</v>
      </c>
      <c r="D390" t="inlineStr">
        <is>
          <t>清潔服務費</t>
        </is>
      </c>
      <c r="E390" t="inlineStr">
        <is>
          <t>非固定</t>
        </is>
      </c>
    </row>
    <row r="391" ht="16.5" customHeight="1" s="84">
      <c r="A391" t="inlineStr">
        <is>
          <t>2022-02</t>
        </is>
      </c>
      <c r="B391" t="inlineStr">
        <is>
          <t>鑫禾機電 1.LED杯燈$350*25=$8,750元 2.LED球泡燈$110元 3.LED-T5層板燈$300*23=$6,900元 4.電燈感應器$650*2=$1,300元 5.漏電斷路器$1,200元 6.噴灌變頻器移位$9,500元 7.LED-T5燈管$300元 總計$28,060元</t>
        </is>
      </c>
      <c r="C391" t="n">
        <v>28060</v>
      </c>
      <c r="D391" t="inlineStr">
        <is>
          <t>機電/消防/弱電/AED</t>
        </is>
      </c>
      <c r="E391" t="inlineStr">
        <is>
          <t>非固定</t>
        </is>
      </c>
    </row>
    <row r="392" ht="16.5" customHeight="1" s="84">
      <c r="A392" t="inlineStr">
        <is>
          <t>2022-02</t>
        </is>
      </c>
      <c r="B392" t="inlineStr">
        <is>
          <t>鑫禾機電-汙水申報 110年汙水申報$20,952元 5%稅金$1,048元 總計$22,000元</t>
        </is>
      </c>
      <c r="C392" t="n">
        <v>22000</v>
      </c>
      <c r="D392" t="inlineStr">
        <is>
          <t>機電/消防/弱電/AED</t>
        </is>
      </c>
      <c r="E392" t="inlineStr">
        <is>
          <t>非固定</t>
        </is>
      </c>
    </row>
    <row r="393" ht="16.5" customHeight="1" s="84">
      <c r="A393" t="inlineStr">
        <is>
          <t>2022-02</t>
        </is>
      </c>
      <c r="B393" t="inlineStr">
        <is>
          <t>新鑫堯01月增桶 01增桶$600*13=$600*13=$7800元 總計$7,800元</t>
        </is>
      </c>
      <c r="C393" t="n">
        <v>7800</v>
      </c>
      <c r="D393" t="inlineStr">
        <is>
          <t>垃圾廢棄物/園藝</t>
        </is>
      </c>
      <c r="E393" t="inlineStr">
        <is>
          <t>非固定</t>
        </is>
      </c>
    </row>
    <row r="394" ht="16.5" customHeight="1" s="84">
      <c r="A394" t="inlineStr">
        <is>
          <t>2022-02</t>
        </is>
      </c>
      <c r="B394" t="inlineStr">
        <is>
          <t>新鑫堯春節加收垃圾 春節加收垃圾$1,500元 總計$1,500元</t>
        </is>
      </c>
      <c r="C394" t="n">
        <v>1500</v>
      </c>
      <c r="D394" t="inlineStr">
        <is>
          <t>垃圾廢棄物/園藝</t>
        </is>
      </c>
      <c r="E394" t="inlineStr">
        <is>
          <t>非固定</t>
        </is>
      </c>
    </row>
    <row r="395" ht="16.5" customHeight="1" s="84">
      <c r="A395" t="inlineStr">
        <is>
          <t>2022-02</t>
        </is>
      </c>
      <c r="B395" t="inlineStr">
        <is>
          <t>崇友-設備維修 戊棟貨梯(#9)紅外線光幕維修$20,000元 5%稅金$1,000元 總計$21,000元</t>
        </is>
      </c>
      <c r="C395" t="n">
        <v>21000</v>
      </c>
      <c r="D395" t="inlineStr">
        <is>
          <t>電梯保養與修繕</t>
        </is>
      </c>
      <c r="E395" t="inlineStr">
        <is>
          <t>非固定</t>
        </is>
      </c>
      <c r="F395" t="inlineStr">
        <is>
          <t>電梯</t>
        </is>
      </c>
    </row>
    <row r="396" ht="15" customHeight="1" s="84">
      <c r="A396" t="inlineStr">
        <is>
          <t>2022-02</t>
        </is>
      </c>
      <c r="B396" t="inlineStr">
        <is>
          <t>崇友電梯載重測試安檢費 電梯載重測試安檢費 CT-011531-001安檢費$1,200*5=$6,000元 載重測試費$1,428.6*5=$7,143元 5%稅金$657元 總計$13,800元</t>
        </is>
      </c>
      <c r="C396" t="n">
        <v>13800</v>
      </c>
      <c r="D396" t="inlineStr">
        <is>
          <t>電梯保養與修繕</t>
        </is>
      </c>
      <c r="E396" t="inlineStr">
        <is>
          <t>非固定</t>
        </is>
      </c>
      <c r="F396" t="inlineStr">
        <is>
          <t>電梯</t>
        </is>
      </c>
    </row>
    <row r="397" ht="15" customHeight="1" s="84">
      <c r="A397" t="inlineStr">
        <is>
          <t>2022-02</t>
        </is>
      </c>
      <c r="B397" t="inlineStr">
        <is>
          <t>ETAG住戶第一次免費領取費用回補 $80元(R08) 總計$80元</t>
        </is>
      </c>
      <c r="C397" t="n">
        <v>80</v>
      </c>
      <c r="D397" t="inlineStr">
        <is>
          <t>內部轉帳</t>
        </is>
      </c>
      <c r="E397" t="inlineStr">
        <is>
          <t>非固定</t>
        </is>
      </c>
    </row>
    <row r="398" ht="16.5" customHeight="1" s="84">
      <c r="A398" t="inlineStr">
        <is>
          <t>2022-02</t>
        </is>
      </c>
      <c r="B398" t="inlineStr">
        <is>
          <t>鴻陽運動事業有限公司-氯錠 111/01/19 消毒藥劑:韓製氯錠3英寸90% 50KG/桶 $5250*6=$31,500元 總計$31,500元</t>
        </is>
      </c>
      <c r="C398" t="n">
        <v>31500</v>
      </c>
      <c r="D398" t="inlineStr">
        <is>
          <t>工程維修/購置</t>
        </is>
      </c>
      <c r="E398" t="inlineStr">
        <is>
          <t>非固定</t>
        </is>
      </c>
    </row>
    <row r="399" ht="16.5" customHeight="1" s="84">
      <c r="A399" t="inlineStr">
        <is>
          <t>2022-02</t>
        </is>
      </c>
      <c r="B399" t="inlineStr">
        <is>
          <t>英特康 磁扣100個$55*100=$5,500元 總計$5,500元</t>
        </is>
      </c>
      <c r="C399" t="n">
        <v>5500</v>
      </c>
      <c r="D399" t="inlineStr">
        <is>
          <t>其他支出</t>
        </is>
      </c>
      <c r="E399" t="inlineStr">
        <is>
          <t>非固定</t>
        </is>
      </c>
    </row>
    <row r="400" ht="16.5" customHeight="1" s="84">
      <c r="A400" t="inlineStr">
        <is>
          <t>2022-02</t>
        </is>
      </c>
      <c r="B400" t="inlineStr">
        <is>
          <t>社區電話費(5630533)</t>
        </is>
      </c>
      <c r="C400" t="n">
        <v>0</v>
      </c>
      <c r="D400" t="inlineStr">
        <is>
          <t>電話/網路費</t>
        </is>
      </c>
      <c r="E400" t="inlineStr">
        <is>
          <t>非固定</t>
        </is>
      </c>
    </row>
    <row r="401" ht="16.5" customHeight="1" s="84">
      <c r="A401" t="inlineStr">
        <is>
          <t>2022-02</t>
        </is>
      </c>
      <c r="B401" t="inlineStr">
        <is>
          <t>社區網路費(Y123617)</t>
        </is>
      </c>
      <c r="C401" t="n">
        <v>0</v>
      </c>
      <c r="D401" t="inlineStr">
        <is>
          <t>電話/網路費</t>
        </is>
      </c>
      <c r="E401" t="inlineStr">
        <is>
          <t>非固定</t>
        </is>
      </c>
    </row>
    <row r="402" ht="16.5" customHeight="1" s="84">
      <c r="A402" t="inlineStr">
        <is>
          <t>2022-02</t>
        </is>
      </c>
      <c r="B402" t="inlineStr">
        <is>
          <t>社區網路費(Y174790)</t>
        </is>
      </c>
      <c r="C402" t="n">
        <v>0</v>
      </c>
      <c r="D402" t="inlineStr">
        <is>
          <t>電話/網路費</t>
        </is>
      </c>
      <c r="E402" t="inlineStr">
        <is>
          <t>非固定</t>
        </is>
      </c>
    </row>
    <row r="403" ht="16.5" customHeight="1" s="84">
      <c r="A403" t="inlineStr">
        <is>
          <t>2022-02</t>
        </is>
      </c>
      <c r="B403" t="inlineStr">
        <is>
          <t>公共電費</t>
        </is>
      </c>
      <c r="C403" t="n">
        <v>94267</v>
      </c>
      <c r="D403" t="inlineStr">
        <is>
          <t>公共水電瓦斯</t>
        </is>
      </c>
      <c r="E403" t="inlineStr">
        <is>
          <t>非固定</t>
        </is>
      </c>
    </row>
    <row r="404" ht="16.5" customHeight="1" s="84">
      <c r="A404" t="inlineStr">
        <is>
          <t>2022-02</t>
        </is>
      </c>
      <c r="B404" t="inlineStr">
        <is>
          <t>自來水費</t>
        </is>
      </c>
      <c r="C404" t="n">
        <v>5273</v>
      </c>
      <c r="D404" t="inlineStr">
        <is>
          <t>公共水電瓦斯</t>
        </is>
      </c>
      <c r="E404" t="inlineStr">
        <is>
          <t>非固定</t>
        </is>
      </c>
    </row>
    <row r="405" ht="16.5" customHeight="1" s="84">
      <c r="A405" t="inlineStr">
        <is>
          <t>2022-03</t>
        </is>
      </c>
      <c r="B405" t="inlineStr">
        <is>
          <t>零用金撥補(111/03) 總計$16,809元</t>
        </is>
      </c>
      <c r="C405" t="n">
        <v>16809</v>
      </c>
      <c r="D405" t="inlineStr">
        <is>
          <t>內部轉帳</t>
        </is>
      </c>
      <c r="E405" t="inlineStr">
        <is>
          <t>非固定</t>
        </is>
      </c>
    </row>
    <row r="406" ht="16.5" customHeight="1" s="84">
      <c r="A406" t="inlineStr">
        <is>
          <t>2022-03</t>
        </is>
      </c>
      <c r="B406" t="inlineStr">
        <is>
          <t>管委會出席費用(預領) 總計$8000元</t>
        </is>
      </c>
      <c r="C406" t="n">
        <v>8000</v>
      </c>
      <c r="D406" t="inlineStr">
        <is>
          <t>內部轉帳</t>
        </is>
      </c>
      <c r="E406" t="inlineStr">
        <is>
          <t>非固定</t>
        </is>
      </c>
    </row>
    <row r="407" ht="16.5" customHeight="1" s="84">
      <c r="A407" t="inlineStr">
        <is>
          <t>2022-03</t>
        </is>
      </c>
      <c r="B407" t="inlineStr">
        <is>
          <t>電梯專用款撥補(111/03) 總計$50,000元</t>
        </is>
      </c>
      <c r="C407" t="n">
        <v>50000</v>
      </c>
      <c r="D407" t="inlineStr">
        <is>
          <t>內部轉帳</t>
        </is>
      </c>
      <c r="E407" t="inlineStr">
        <is>
          <t>非固定</t>
        </is>
      </c>
    </row>
    <row r="408" ht="16.5" customHeight="1" s="84">
      <c r="A408" t="inlineStr">
        <is>
          <t>2022-03</t>
        </is>
      </c>
      <c r="B408" t="inlineStr">
        <is>
          <t>德懋物業公司(111/03)管理服務費：社區經理乙員，社區秘書乙員，警衛服務人員兩哨。總計$375,900元</t>
        </is>
      </c>
      <c r="C408" t="n">
        <v>375900</v>
      </c>
      <c r="D408" t="inlineStr">
        <is>
          <t>其他支出</t>
        </is>
      </c>
      <c r="E408" t="inlineStr">
        <is>
          <t>固定</t>
        </is>
      </c>
    </row>
    <row r="409" ht="16.5" customHeight="1" s="84">
      <c r="A409" t="inlineStr">
        <is>
          <t>2022-03</t>
        </is>
      </c>
      <c r="B409" t="inlineStr">
        <is>
          <t>順達清潔服務費(111/03) 總計$100,500元</t>
        </is>
      </c>
      <c r="C409" t="n">
        <v>100500</v>
      </c>
      <c r="D409" t="inlineStr">
        <is>
          <t>清潔服務費</t>
        </is>
      </c>
      <c r="E409" t="inlineStr">
        <is>
          <t>固定</t>
        </is>
      </c>
    </row>
    <row r="410" ht="16.5" customHeight="1" s="84">
      <c r="A410" t="inlineStr">
        <is>
          <t>2022-03</t>
        </is>
      </c>
      <c r="B410" t="inlineStr">
        <is>
          <t>義明清潔服務費(111/03) 總計$100,500元</t>
        </is>
      </c>
      <c r="C410" t="n">
        <v>100500</v>
      </c>
      <c r="D410" t="inlineStr">
        <is>
          <t>清潔服務費</t>
        </is>
      </c>
      <c r="E410" t="inlineStr">
        <is>
          <t>固定</t>
        </is>
      </c>
    </row>
    <row r="411" ht="16.5" customHeight="1" s="84">
      <c r="A411" t="inlineStr">
        <is>
          <t>2022-03</t>
        </is>
      </c>
      <c r="B411" t="inlineStr">
        <is>
          <t>侑昇-泳池機房保養(111/03) 總計$3,500元</t>
        </is>
      </c>
      <c r="C411" t="n">
        <v>3500</v>
      </c>
      <c r="D411" t="inlineStr">
        <is>
          <t>其他支出</t>
        </is>
      </c>
      <c r="E411" t="inlineStr">
        <is>
          <t>固定</t>
        </is>
      </c>
      <c r="F411" t="inlineStr">
        <is>
          <t>游泳池</t>
        </is>
      </c>
    </row>
    <row r="412" ht="16.5" customHeight="1" s="84">
      <c r="A412" t="inlineStr">
        <is>
          <t>2022-03</t>
        </is>
      </c>
      <c r="B412" t="inlineStr">
        <is>
          <t>崇友電梯(111/03)電梯保養 總計$100,000元</t>
        </is>
      </c>
      <c r="C412" t="n">
        <v>100000</v>
      </c>
      <c r="D412" t="inlineStr">
        <is>
          <t>電梯保養與修繕</t>
        </is>
      </c>
      <c r="E412" t="inlineStr">
        <is>
          <t>固定</t>
        </is>
      </c>
    </row>
    <row r="413" ht="16.5" customHeight="1" s="84">
      <c r="A413" t="inlineStr">
        <is>
          <t>2022-03</t>
        </is>
      </c>
      <c r="B413" t="inlineStr">
        <is>
          <t>AED(111/04)租賃費 總計$1,500元</t>
        </is>
      </c>
      <c r="C413" t="n">
        <v>1500</v>
      </c>
      <c r="D413" t="inlineStr">
        <is>
          <t>機電/消防/弱電/AED</t>
        </is>
      </c>
      <c r="E413" t="inlineStr">
        <is>
          <t>固定</t>
        </is>
      </c>
    </row>
    <row r="414" ht="16.5" customHeight="1" s="84">
      <c r="A414" t="inlineStr">
        <is>
          <t>2022-03</t>
        </is>
      </c>
      <c r="B414" t="inlineStr">
        <is>
          <t>御品寬頻(111/03)網路服務租賃 總計$9,450元</t>
        </is>
      </c>
      <c r="C414" t="n">
        <v>9450</v>
      </c>
      <c r="D414" t="inlineStr">
        <is>
          <t>機電/消防/弱電/AED</t>
        </is>
      </c>
      <c r="E414" t="inlineStr">
        <is>
          <t>固定</t>
        </is>
      </c>
    </row>
    <row r="415" ht="16.5" customHeight="1" s="84">
      <c r="A415" t="inlineStr">
        <is>
          <t>2022-03</t>
        </is>
      </c>
      <c r="B415" t="inlineStr">
        <is>
          <t>新鑫堯(111/03) 廢棄物清除$25,000元 清潔費$5,000元 總計$30,000元</t>
        </is>
      </c>
      <c r="C415" t="n">
        <v>30000</v>
      </c>
      <c r="D415" t="inlineStr">
        <is>
          <t>垃圾廢棄物/園藝</t>
        </is>
      </c>
      <c r="E415" t="inlineStr">
        <is>
          <t>固定</t>
        </is>
      </c>
    </row>
    <row r="416" ht="16.5" customHeight="1" s="84">
      <c r="A416" t="inlineStr">
        <is>
          <t>2022-03</t>
        </is>
      </c>
      <c r="B416" t="inlineStr">
        <is>
          <t>太古意門禁維護檢點費(111/03) 總計$10,000元</t>
        </is>
      </c>
      <c r="C416" t="n">
        <v>10000</v>
      </c>
      <c r="D416" t="inlineStr">
        <is>
          <t>機電/消防/弱電/AED</t>
        </is>
      </c>
      <c r="E416" t="inlineStr">
        <is>
          <t>固定</t>
        </is>
      </c>
    </row>
    <row r="417" ht="16.5" customHeight="1" s="84">
      <c r="A417" t="inlineStr">
        <is>
          <t>2022-03</t>
        </is>
      </c>
      <c r="B417" t="inlineStr">
        <is>
          <t>鑫禾機電保養費(111/03) 總計$28,000元</t>
        </is>
      </c>
      <c r="C417" t="n">
        <v>28000</v>
      </c>
      <c r="D417" t="inlineStr">
        <is>
          <t>機電/消防/弱電/AED</t>
        </is>
      </c>
      <c r="E417" t="inlineStr">
        <is>
          <t>固定</t>
        </is>
      </c>
    </row>
    <row r="418" ht="16.5" customHeight="1" s="84">
      <c r="A418" t="inlineStr">
        <is>
          <t>2022-03</t>
        </is>
      </c>
      <c r="B418" t="inlineStr">
        <is>
          <t>景輝-園藝定期保養(111/03) 總計$28,000元</t>
        </is>
      </c>
      <c r="C418" t="n">
        <v>28000</v>
      </c>
      <c r="D418" t="inlineStr">
        <is>
          <t>垃圾廢棄物/園藝</t>
        </is>
      </c>
      <c r="E418" t="inlineStr">
        <is>
          <t>固定</t>
        </is>
      </c>
    </row>
    <row r="419" ht="16.5" customHeight="1" s="84">
      <c r="A419" t="inlineStr">
        <is>
          <t>2022-03</t>
        </is>
      </c>
      <c r="B419" t="inlineStr">
        <is>
          <t>鋐隆清潔用品 02/17 1.百柔小捲衛生紙$450*2=$900元 2. 5%稅金$45元 總計$945元</t>
        </is>
      </c>
      <c r="C419" t="n">
        <v>945</v>
      </c>
      <c r="D419" t="inlineStr">
        <is>
          <t>清潔服務費</t>
        </is>
      </c>
      <c r="E419" t="inlineStr">
        <is>
          <t>非固定</t>
        </is>
      </c>
    </row>
    <row r="420" ht="16.5" customHeight="1" s="84">
      <c r="A420" t="inlineStr">
        <is>
          <t>2022-03</t>
        </is>
      </c>
      <c r="B420" t="inlineStr">
        <is>
          <t>鑫禾機電 1.交替浮球更換$1,500元 2.發電機電瓶更新$5,800*4=$23,200元 3.更換電燈感應器及T5燈管$950*4=$3,800元 4.LED-T5燈管$350*2=$700元 5.井水過濾B泵無熔絲開關故障更換$2,200元 6.LED杯燈$350*10=$3,500元 7.LED球泡燈$110元 8.回收室旁柱燈更換線路$600元 9.電極棒組更換$1,500元 10.揚水馬達緩啟動器$25,000元 總計$62,110元</t>
        </is>
      </c>
      <c r="C420" t="n">
        <v>62110</v>
      </c>
      <c r="D420" t="inlineStr">
        <is>
          <t>機電/消防/弱電/AED</t>
        </is>
      </c>
      <c r="E420" t="inlineStr">
        <is>
          <t>非固定</t>
        </is>
      </c>
    </row>
    <row r="421" ht="16.5" customHeight="1" s="84">
      <c r="A421" t="inlineStr">
        <is>
          <t>2022-03</t>
        </is>
      </c>
      <c r="B421" t="inlineStr">
        <is>
          <t>ETAG住戶第一次免費領取費用回補 $80元(N19) 總計$80元</t>
        </is>
      </c>
      <c r="C421" t="n">
        <v>80</v>
      </c>
      <c r="D421" t="inlineStr">
        <is>
          <t>內部轉帳</t>
        </is>
      </c>
      <c r="E421" t="inlineStr">
        <is>
          <t>非固定</t>
        </is>
      </c>
    </row>
    <row r="422" ht="16.5" customHeight="1" s="84">
      <c r="A422" t="inlineStr">
        <is>
          <t>2022-03</t>
        </is>
      </c>
      <c r="B422" t="inlineStr">
        <is>
          <t>一九衛生工程行 (例行年度抽除四次) 清理化糞池$1,500*15.51噸=$23,265元 總計$23,265元</t>
        </is>
      </c>
      <c r="C422" t="n">
        <v>23265</v>
      </c>
      <c r="D422" t="inlineStr">
        <is>
          <t>垃圾廢棄物/園藝</t>
        </is>
      </c>
      <c r="E422" t="inlineStr">
        <is>
          <t>非固定</t>
        </is>
      </c>
    </row>
    <row r="423" ht="16.5" customHeight="1" s="84">
      <c r="A423" t="inlineStr">
        <is>
          <t>2022-03</t>
        </is>
      </c>
      <c r="B423" t="inlineStr">
        <is>
          <t>廣中工程 乙棟E3汙排水管路阻塞處理工程 總計$10,000元</t>
        </is>
      </c>
      <c r="C423" t="n">
        <v>10000</v>
      </c>
      <c r="D423" t="inlineStr">
        <is>
          <t>工程維修/購置</t>
        </is>
      </c>
      <c r="E423" t="inlineStr">
        <is>
          <t>非固定</t>
        </is>
      </c>
    </row>
    <row r="424" ht="16.5" customHeight="1" s="84">
      <c r="A424" t="inlineStr">
        <is>
          <t>2022-03</t>
        </is>
      </c>
      <c r="B424" t="inlineStr">
        <is>
          <t>喆美-公設欄杆玻璃更換工程(往健身房樓梯) 公設欄杆玻璃更換工程一式 5灰T+5光T光膜依板割 (光邊4路、15MM洞*4)、拆裝工資 總計$12,500元</t>
        </is>
      </c>
      <c r="C424" t="n">
        <v>12500</v>
      </c>
      <c r="D424" t="inlineStr">
        <is>
          <t>工程維修/購置</t>
        </is>
      </c>
      <c r="E424" t="inlineStr">
        <is>
          <t>非固定</t>
        </is>
      </c>
    </row>
    <row r="425" ht="16.5" customHeight="1" s="84">
      <c r="A425" t="inlineStr">
        <is>
          <t>2022-03</t>
        </is>
      </c>
      <c r="B425" t="inlineStr">
        <is>
          <t>111年第七屆區權會出席費發放200元 111年03月19日區權會出席會議發放200元 出席人數260人 $200*260=$52,000元</t>
        </is>
      </c>
      <c r="C425" t="n">
        <v>52000</v>
      </c>
      <c r="D425" t="inlineStr">
        <is>
          <t>行政/會議/律師</t>
        </is>
      </c>
      <c r="E425" t="inlineStr">
        <is>
          <t>非固定</t>
        </is>
      </c>
    </row>
    <row r="426" ht="16.5" customHeight="1" s="84">
      <c r="A426" t="inlineStr">
        <is>
          <t>2022-03</t>
        </is>
      </c>
      <c r="B426" t="inlineStr">
        <is>
          <t>甲、乙、丙、丁棟頂樓對講機更換 對講機更換，由網路自行購買 1.台旭TH-956比話機$519*4=$2,076元 2.郵資$57元 3. 5%稅金$107元 總計$2,240元</t>
        </is>
      </c>
      <c r="C426" t="n">
        <v>2240</v>
      </c>
      <c r="D426" t="inlineStr">
        <is>
          <t>機電/消防/弱電/AED</t>
        </is>
      </c>
      <c r="E426" t="inlineStr">
        <is>
          <t>非固定</t>
        </is>
      </c>
    </row>
    <row r="427" ht="15" customHeight="1" s="84">
      <c r="A427" t="inlineStr">
        <is>
          <t>2022-03</t>
        </is>
      </c>
      <c r="B427" t="inlineStr">
        <is>
          <t>B18住戶匯錯銀行 111.03.14住戶匯錯銀行帳戶，不小心將錢匯款至管理費銀行帳戶內 總計$100,000元</t>
        </is>
      </c>
      <c r="C427" t="n">
        <v>100000</v>
      </c>
      <c r="D427" t="inlineStr">
        <is>
          <t>其他支出</t>
        </is>
      </c>
      <c r="E427" t="inlineStr">
        <is>
          <t>非固定</t>
        </is>
      </c>
    </row>
    <row r="428" ht="15" customHeight="1" s="84">
      <c r="A428" t="inlineStr">
        <is>
          <t>2022-03</t>
        </is>
      </c>
      <c r="B428" t="inlineStr">
        <is>
          <t>社區電話費(5630533)2月</t>
        </is>
      </c>
      <c r="C428" t="n">
        <v>707</v>
      </c>
      <c r="D428" t="inlineStr">
        <is>
          <t>電話/網路費</t>
        </is>
      </c>
      <c r="E428" t="inlineStr">
        <is>
          <t>非固定</t>
        </is>
      </c>
    </row>
    <row r="429" ht="16.5" customHeight="1" s="84">
      <c r="A429" t="inlineStr">
        <is>
          <t>2022-03</t>
        </is>
      </c>
      <c r="B429" t="inlineStr">
        <is>
          <t>社區網路費(Y123617)2月</t>
        </is>
      </c>
      <c r="C429" t="n">
        <v>2199</v>
      </c>
      <c r="D429" t="inlineStr">
        <is>
          <t>電話/網路費</t>
        </is>
      </c>
      <c r="E429" t="inlineStr">
        <is>
          <t>非固定</t>
        </is>
      </c>
    </row>
    <row r="430" ht="16.5" customHeight="1" s="84">
      <c r="A430" t="inlineStr">
        <is>
          <t>2022-03</t>
        </is>
      </c>
      <c r="B430" t="inlineStr">
        <is>
          <t>社區網路費(Y174790)2月</t>
        </is>
      </c>
      <c r="C430" t="n">
        <v>1899</v>
      </c>
      <c r="D430" t="inlineStr">
        <is>
          <t>電話/網路費</t>
        </is>
      </c>
      <c r="E430" t="inlineStr">
        <is>
          <t>非固定</t>
        </is>
      </c>
    </row>
    <row r="431" ht="16.5" customHeight="1" s="84">
      <c r="A431" t="inlineStr">
        <is>
          <t>2022-03</t>
        </is>
      </c>
      <c r="B431" t="inlineStr">
        <is>
          <t>社區電話費(5630533)</t>
        </is>
      </c>
      <c r="C431" t="n">
        <v>845</v>
      </c>
      <c r="D431" t="inlineStr">
        <is>
          <t>電話/網路費</t>
        </is>
      </c>
      <c r="E431" t="inlineStr">
        <is>
          <t>非固定</t>
        </is>
      </c>
    </row>
    <row r="432" ht="16.5" customHeight="1" s="84">
      <c r="A432" t="inlineStr">
        <is>
          <t>2022-03</t>
        </is>
      </c>
      <c r="B432" t="inlineStr">
        <is>
          <t>社區網路費(Y123617)</t>
        </is>
      </c>
      <c r="C432" t="n">
        <v>2199</v>
      </c>
      <c r="D432" t="inlineStr">
        <is>
          <t>電話/網路費</t>
        </is>
      </c>
      <c r="E432" t="inlineStr">
        <is>
          <t>非固定</t>
        </is>
      </c>
    </row>
    <row r="433" ht="16.5" customHeight="1" s="84">
      <c r="A433" t="inlineStr">
        <is>
          <t>2022-03</t>
        </is>
      </c>
      <c r="B433" t="inlineStr">
        <is>
          <t>社區網路費(Y174790)</t>
        </is>
      </c>
      <c r="C433" t="n">
        <v>1899</v>
      </c>
      <c r="D433" t="inlineStr">
        <is>
          <t>電話/網路費</t>
        </is>
      </c>
      <c r="E433" t="inlineStr">
        <is>
          <t>非固定</t>
        </is>
      </c>
    </row>
    <row r="434" ht="16.5" customHeight="1" s="84">
      <c r="A434" t="inlineStr">
        <is>
          <t>2022-03</t>
        </is>
      </c>
      <c r="B434" t="inlineStr">
        <is>
          <t>公共電費</t>
        </is>
      </c>
      <c r="C434" t="n">
        <v>97724</v>
      </c>
      <c r="D434" t="inlineStr">
        <is>
          <t>公共水電瓦斯</t>
        </is>
      </c>
      <c r="E434" t="inlineStr">
        <is>
          <t>非固定</t>
        </is>
      </c>
    </row>
    <row r="435" ht="16.5" customHeight="1" s="84">
      <c r="A435" t="inlineStr">
        <is>
          <t>2022-03</t>
        </is>
      </c>
      <c r="B435" t="inlineStr">
        <is>
          <t>自來水費</t>
        </is>
      </c>
      <c r="C435" t="n">
        <v>0</v>
      </c>
      <c r="D435" t="inlineStr">
        <is>
          <t>公共水電瓦斯</t>
        </is>
      </c>
      <c r="E435" t="inlineStr">
        <is>
          <t>非固定</t>
        </is>
      </c>
    </row>
    <row r="436" ht="16.5" customHeight="1" s="84">
      <c r="A436" t="inlineStr">
        <is>
          <t>2022-04</t>
        </is>
      </c>
      <c r="B436" t="inlineStr">
        <is>
          <t>零用金撥補(111/04) 總計$4,742元</t>
        </is>
      </c>
      <c r="C436" t="n">
        <v>4742</v>
      </c>
      <c r="D436" t="inlineStr">
        <is>
          <t>內部轉帳</t>
        </is>
      </c>
      <c r="E436" t="inlineStr">
        <is>
          <t>非固定</t>
        </is>
      </c>
    </row>
    <row r="437" ht="16.5" customHeight="1" s="84">
      <c r="A437" t="inlineStr">
        <is>
          <t>2022-04</t>
        </is>
      </c>
      <c r="B437" t="inlineStr">
        <is>
          <t>管委會出席費用(預領) 總計$8000元</t>
        </is>
      </c>
      <c r="C437" t="n">
        <v>8000</v>
      </c>
      <c r="D437" t="inlineStr">
        <is>
          <t>內部轉帳</t>
        </is>
      </c>
      <c r="E437" t="inlineStr">
        <is>
          <t>非固定</t>
        </is>
      </c>
    </row>
    <row r="438" ht="16.5" customHeight="1" s="84">
      <c r="A438" t="inlineStr">
        <is>
          <t>2022-04</t>
        </is>
      </c>
      <c r="B438" t="inlineStr">
        <is>
          <t>電梯專用款撥補(111/04) 總計$50,000元</t>
        </is>
      </c>
      <c r="C438" t="n">
        <v>50000</v>
      </c>
      <c r="D438" t="inlineStr">
        <is>
          <t>內部轉帳</t>
        </is>
      </c>
      <c r="E438" t="inlineStr">
        <is>
          <t>非固定</t>
        </is>
      </c>
    </row>
    <row r="439" ht="16.5" customHeight="1" s="84">
      <c r="A439" t="inlineStr">
        <is>
          <t>2022-04</t>
        </is>
      </c>
      <c r="B439" t="inlineStr">
        <is>
          <t>德懋物業公司(111/04)管理服務費：社區經理乙員，社區秘書乙員，警衛服務人員兩哨。總計$375,900元</t>
        </is>
      </c>
      <c r="C439" t="n">
        <v>375900</v>
      </c>
      <c r="D439" t="inlineStr">
        <is>
          <t>其他支出</t>
        </is>
      </c>
      <c r="E439" t="inlineStr">
        <is>
          <t>固定</t>
        </is>
      </c>
    </row>
    <row r="440" ht="16.5" customHeight="1" s="84">
      <c r="A440" t="inlineStr">
        <is>
          <t>2022-04</t>
        </is>
      </c>
      <c r="B440" t="inlineStr">
        <is>
          <t>順達清潔服務費(111/04) 總計$100,500元</t>
        </is>
      </c>
      <c r="C440" t="n">
        <v>100500</v>
      </c>
      <c r="D440" t="inlineStr">
        <is>
          <t>清潔服務費</t>
        </is>
      </c>
      <c r="E440" t="inlineStr">
        <is>
          <t>固定</t>
        </is>
      </c>
    </row>
    <row r="441" ht="16.5" customHeight="1" s="84">
      <c r="A441" t="inlineStr">
        <is>
          <t>2022-04</t>
        </is>
      </c>
      <c r="B441" t="inlineStr">
        <is>
          <t>義明清潔服務費(111/04) 總計$100,500元</t>
        </is>
      </c>
      <c r="C441" t="n">
        <v>100500</v>
      </c>
      <c r="D441" t="inlineStr">
        <is>
          <t>清潔服務費</t>
        </is>
      </c>
      <c r="E441" t="inlineStr">
        <is>
          <t>固定</t>
        </is>
      </c>
    </row>
    <row r="442" ht="16.5" customHeight="1" s="84">
      <c r="A442" t="inlineStr">
        <is>
          <t>2022-04</t>
        </is>
      </c>
      <c r="B442" t="inlineStr">
        <is>
          <t>侑昇-泳池機房保養(111/04) 總計$3,500元</t>
        </is>
      </c>
      <c r="C442" t="n">
        <v>3500</v>
      </c>
      <c r="D442" t="inlineStr">
        <is>
          <t>其他支出</t>
        </is>
      </c>
      <c r="E442" t="inlineStr">
        <is>
          <t>固定</t>
        </is>
      </c>
      <c r="F442" t="inlineStr">
        <is>
          <t>游泳池</t>
        </is>
      </c>
    </row>
    <row r="443" ht="16.5" customHeight="1" s="84">
      <c r="A443" t="inlineStr">
        <is>
          <t>2022-04</t>
        </is>
      </c>
      <c r="B443" t="inlineStr">
        <is>
          <t>崇友電梯(111/04)電梯保養 總計$100,000元</t>
        </is>
      </c>
      <c r="C443" t="n">
        <v>100000</v>
      </c>
      <c r="D443" t="inlineStr">
        <is>
          <t>電梯保養與修繕</t>
        </is>
      </c>
      <c r="E443" t="inlineStr">
        <is>
          <t>固定</t>
        </is>
      </c>
    </row>
    <row r="444" ht="16.5" customHeight="1" s="84">
      <c r="A444" t="inlineStr">
        <is>
          <t>2022-04</t>
        </is>
      </c>
      <c r="B444" t="inlineStr">
        <is>
          <t>AED(111/05)租賃費 總計$1,500元</t>
        </is>
      </c>
      <c r="C444" t="n">
        <v>1500</v>
      </c>
      <c r="D444" t="inlineStr">
        <is>
          <t>機電/消防/弱電/AED</t>
        </is>
      </c>
      <c r="E444" t="inlineStr">
        <is>
          <t>固定</t>
        </is>
      </c>
    </row>
    <row r="445" ht="16.5" customHeight="1" s="84">
      <c r="A445" t="inlineStr">
        <is>
          <t>2022-04</t>
        </is>
      </c>
      <c r="B445" t="inlineStr">
        <is>
          <t>御品寬頻(111/04)網路服務租賃 總計$9,450元</t>
        </is>
      </c>
      <c r="C445" t="n">
        <v>9450</v>
      </c>
      <c r="D445" t="inlineStr">
        <is>
          <t>機電/消防/弱電/AED</t>
        </is>
      </c>
      <c r="E445" t="inlineStr">
        <is>
          <t>固定</t>
        </is>
      </c>
    </row>
    <row r="446" ht="16.5" customHeight="1" s="84">
      <c r="A446" t="inlineStr">
        <is>
          <t>2022-04</t>
        </is>
      </c>
      <c r="B446" t="inlineStr">
        <is>
          <t>新鑫堯(111/04) 廢棄物清除$27,000元 清潔費$5,000元 總計$32,000元 合約於111年04月開始，服務費調漲$32,000/月</t>
        </is>
      </c>
      <c r="C446" t="n">
        <v>32000</v>
      </c>
      <c r="D446" t="inlineStr">
        <is>
          <t>垃圾廢棄物/園藝</t>
        </is>
      </c>
      <c r="E446" t="inlineStr">
        <is>
          <t>固定</t>
        </is>
      </c>
    </row>
    <row r="447" ht="16.5" customHeight="1" s="84">
      <c r="A447" t="inlineStr">
        <is>
          <t>2022-04</t>
        </is>
      </c>
      <c r="B447" t="inlineStr">
        <is>
          <t>太古意門禁維護檢點費(111/04) 總計$10,000元</t>
        </is>
      </c>
      <c r="C447" t="n">
        <v>10000</v>
      </c>
      <c r="D447" t="inlineStr">
        <is>
          <t>機電/消防/弱電/AED</t>
        </is>
      </c>
      <c r="E447" t="inlineStr">
        <is>
          <t>固定</t>
        </is>
      </c>
    </row>
    <row r="448" ht="16.5" customHeight="1" s="84">
      <c r="A448" t="inlineStr">
        <is>
          <t>2022-04</t>
        </is>
      </c>
      <c r="B448" t="inlineStr">
        <is>
          <t>鑫禾機電保養費(111/04) 總計$28,000元</t>
        </is>
      </c>
      <c r="C448" t="n">
        <v>28000</v>
      </c>
      <c r="D448" t="inlineStr">
        <is>
          <t>機電/消防/弱電/AED</t>
        </is>
      </c>
      <c r="E448" t="inlineStr">
        <is>
          <t>固定</t>
        </is>
      </c>
    </row>
    <row r="449" ht="16.5" customHeight="1" s="84">
      <c r="A449" t="inlineStr">
        <is>
          <t>2022-04</t>
        </is>
      </c>
      <c r="B449" t="inlineStr">
        <is>
          <t>景輝-園藝定期保養(111/04) 總計$28,000元</t>
        </is>
      </c>
      <c r="C449" t="n">
        <v>28000</v>
      </c>
      <c r="D449" t="inlineStr">
        <is>
          <t>垃圾廢棄物/園藝</t>
        </is>
      </c>
      <c r="E449" t="inlineStr">
        <is>
          <t>固定</t>
        </is>
      </c>
    </row>
    <row r="450" ht="16.5" customHeight="1" s="84">
      <c r="A450" t="inlineStr">
        <is>
          <t>2022-04</t>
        </is>
      </c>
      <c r="B450" t="inlineStr">
        <is>
          <t>鋐隆清潔用品 04/06 1.芳柔環保擦手紙$480*2=$960元 2.小捲衛生紙芙蓉$480元 3.抽取衛生紙五月花$630元 4.5%稅金$104元 總計$2,174元</t>
        </is>
      </c>
      <c r="C450" t="n">
        <v>2174</v>
      </c>
      <c r="D450" t="inlineStr">
        <is>
          <t>清潔服務費</t>
        </is>
      </c>
      <c r="E450" t="inlineStr">
        <is>
          <t>非固定</t>
        </is>
      </c>
    </row>
    <row r="451" ht="16.5" customHeight="1" s="84">
      <c r="A451" t="inlineStr">
        <is>
          <t>2022-04</t>
        </is>
      </c>
      <c r="B451" t="inlineStr">
        <is>
          <t>鑫禾機電 1.汙水機房鼓風機管路漏氣維修$4,000元 2.LED杯燈$350*2=$700元 3.LED球泡燈$110*2=$220元 4.電燈感應器$650*3=$1,950元 5.甲棟前花圃水龍頭更換$500元 6.景觀池馬達定時器$1,800元 7.自來水管路漏水維修$600元 8.人行道花圃噴灌維修$1,200元 9.LED-T5燈管$300元 10.噴灌電磁閥更新$12,400元 11.火警迴路中繼器更新$2,500*2=$5,000元 總計$28,670元</t>
        </is>
      </c>
      <c r="C451" t="n">
        <v>28670</v>
      </c>
      <c r="D451" t="inlineStr">
        <is>
          <t>機電/消防/弱電/AED</t>
        </is>
      </c>
      <c r="E451" t="inlineStr">
        <is>
          <t>非固定</t>
        </is>
      </c>
    </row>
    <row r="452" ht="16.5" customHeight="1" s="84">
      <c r="A452" t="inlineStr">
        <is>
          <t>2022-04</t>
        </is>
      </c>
      <c r="B452" t="inlineStr">
        <is>
          <t>鑫禾機電-消防改善工程(1)(2) 1.他項設備類$32,130元 2.方向指示燈類$56,000元 總計$88,130元</t>
        </is>
      </c>
      <c r="C452" t="n">
        <v>88130</v>
      </c>
      <c r="D452" t="inlineStr">
        <is>
          <t>機電/消防/弱電/AED</t>
        </is>
      </c>
      <c r="E452" t="inlineStr">
        <is>
          <t>非固定</t>
        </is>
      </c>
    </row>
    <row r="453" ht="16.5" customHeight="1" s="84">
      <c r="A453" t="inlineStr">
        <is>
          <t>2022-04</t>
        </is>
      </c>
      <c r="B453" t="inlineStr">
        <is>
          <t>ETAG住戶第一次免費領取費用回補 $80元(C10) 總計$80元</t>
        </is>
      </c>
      <c r="C453" t="n">
        <v>80</v>
      </c>
      <c r="D453" t="inlineStr">
        <is>
          <t>內部轉帳</t>
        </is>
      </c>
      <c r="E453" t="inlineStr">
        <is>
          <t>非固定</t>
        </is>
      </c>
    </row>
    <row r="454" ht="16.5" customHeight="1" s="84">
      <c r="A454" t="inlineStr">
        <is>
          <t>2022-04</t>
        </is>
      </c>
      <c r="B454" t="inlineStr">
        <is>
          <t>崇友電梯設備維修 丙棟貨梯(#6)更換滾輪(8K、13K、18K導滑輪)$21,486元 5%稅金$1,074元 總計$22,560元</t>
        </is>
      </c>
      <c r="C454" t="n">
        <v>22560</v>
      </c>
      <c r="D454" t="inlineStr">
        <is>
          <t>電梯保養與修繕</t>
        </is>
      </c>
      <c r="E454" t="inlineStr">
        <is>
          <t>非固定</t>
        </is>
      </c>
      <c r="F454" t="inlineStr">
        <is>
          <t>電梯</t>
        </is>
      </c>
    </row>
    <row r="455" ht="15" customHeight="1" s="84">
      <c r="A455" t="inlineStr">
        <is>
          <t>2022-04</t>
        </is>
      </c>
      <c r="B455" t="inlineStr">
        <is>
          <t>崇友電梯設備維修 戊棟無障礙電梯(#10)更換CCU基板$13,333元 5%稅金$667元 總計$14,000元</t>
        </is>
      </c>
      <c r="C455" t="n">
        <v>14000</v>
      </c>
      <c r="D455" t="inlineStr">
        <is>
          <t>電梯保養與修繕</t>
        </is>
      </c>
      <c r="E455" t="inlineStr">
        <is>
          <t>非固定</t>
        </is>
      </c>
      <c r="F455" t="inlineStr">
        <is>
          <t>電梯</t>
        </is>
      </c>
    </row>
    <row r="456" ht="15" customHeight="1" s="84">
      <c r="A456" t="inlineStr">
        <is>
          <t>2022-04</t>
        </is>
      </c>
      <c r="B456" t="inlineStr">
        <is>
          <t>新鑫堯3月增桶 3月增桶$600*4=$2,400元 總計$2,400元</t>
        </is>
      </c>
      <c r="C456" t="n">
        <v>2400</v>
      </c>
      <c r="D456" t="inlineStr">
        <is>
          <t>垃圾廢棄物/園藝</t>
        </is>
      </c>
      <c r="E456" t="inlineStr">
        <is>
          <t>非固定</t>
        </is>
      </c>
    </row>
    <row r="457" ht="16.5" customHeight="1" s="84">
      <c r="A457" t="inlineStr">
        <is>
          <t>2022-04</t>
        </is>
      </c>
      <c r="B457" t="inlineStr">
        <is>
          <t>佳和企業 111.03.12 儲藏室格柵門修繕 活頁轉鈕$350*3=$1,050元 五金$3,000元 工資$3,000*3=$9,000元 計$13,050元 經議價總計$13,000元</t>
        </is>
      </c>
      <c r="C457" t="n">
        <v>13000</v>
      </c>
      <c r="D457" t="inlineStr">
        <is>
          <t>其他支出</t>
        </is>
      </c>
      <c r="E457" t="inlineStr">
        <is>
          <t>非固定</t>
        </is>
      </c>
    </row>
    <row r="458" ht="16.5" customHeight="1" s="84">
      <c r="A458" t="inlineStr">
        <is>
          <t>2022-04</t>
        </is>
      </c>
      <c r="B458" t="inlineStr">
        <is>
          <t>L05住戶溢繳 111.03.08已預繳111年第二季管理費 住戶於111.03.24溢繳管理費$6,507元 總計$6,507元</t>
        </is>
      </c>
      <c r="C458" t="n">
        <v>6507</v>
      </c>
      <c r="D458" t="inlineStr">
        <is>
          <t>其他支出</t>
        </is>
      </c>
      <c r="E458" t="inlineStr">
        <is>
          <t>非固定</t>
        </is>
      </c>
    </row>
    <row r="459" ht="16.5" customHeight="1" s="84">
      <c r="A459" t="inlineStr">
        <is>
          <t>2022-04</t>
        </is>
      </c>
      <c r="B459" t="inlineStr">
        <is>
          <t>社區電話費(5630533)</t>
        </is>
      </c>
      <c r="C459" t="n">
        <v>1020</v>
      </c>
      <c r="D459" t="inlineStr">
        <is>
          <t>電話/網路費</t>
        </is>
      </c>
      <c r="E459" t="inlineStr">
        <is>
          <t>非固定</t>
        </is>
      </c>
    </row>
    <row r="460" ht="16.5" customHeight="1" s="84">
      <c r="A460" t="inlineStr">
        <is>
          <t>2022-04</t>
        </is>
      </c>
      <c r="B460" t="inlineStr">
        <is>
          <t>社區網路費(Y123617)</t>
        </is>
      </c>
      <c r="C460" t="n">
        <v>2199</v>
      </c>
      <c r="D460" t="inlineStr">
        <is>
          <t>電話/網路費</t>
        </is>
      </c>
      <c r="E460" t="inlineStr">
        <is>
          <t>非固定</t>
        </is>
      </c>
    </row>
    <row r="461" ht="16.5" customHeight="1" s="84">
      <c r="A461" t="inlineStr">
        <is>
          <t>2022-04</t>
        </is>
      </c>
      <c r="B461" t="inlineStr">
        <is>
          <t>社區網路費(Y174790)</t>
        </is>
      </c>
      <c r="C461" t="n">
        <v>1899</v>
      </c>
      <c r="D461" t="inlineStr">
        <is>
          <t>電話/網路費</t>
        </is>
      </c>
      <c r="E461" t="inlineStr">
        <is>
          <t>非固定</t>
        </is>
      </c>
    </row>
    <row r="462" ht="16.5" customHeight="1" s="84">
      <c r="A462" t="inlineStr">
        <is>
          <t>2022-04</t>
        </is>
      </c>
      <c r="B462" t="inlineStr">
        <is>
          <t>公共電費</t>
        </is>
      </c>
      <c r="C462" t="n">
        <v>86187</v>
      </c>
      <c r="D462" t="inlineStr">
        <is>
          <t>公共水電瓦斯</t>
        </is>
      </c>
      <c r="E462" t="inlineStr">
        <is>
          <t>非固定</t>
        </is>
      </c>
    </row>
    <row r="463" ht="16.5" customHeight="1" s="84">
      <c r="A463" t="inlineStr">
        <is>
          <t>2022-04</t>
        </is>
      </c>
      <c r="B463" t="inlineStr">
        <is>
          <t>自來水費</t>
        </is>
      </c>
      <c r="C463" t="n">
        <v>3830</v>
      </c>
      <c r="D463" t="inlineStr">
        <is>
          <t>公共水電瓦斯</t>
        </is>
      </c>
      <c r="E463" t="inlineStr">
        <is>
          <t>非固定</t>
        </is>
      </c>
    </row>
    <row r="464" ht="16.5" customHeight="1" s="84">
      <c r="A464" t="inlineStr">
        <is>
          <t>2022-05</t>
        </is>
      </c>
      <c r="B464" t="inlineStr">
        <is>
          <t>零用金撥補(111/05) 總計$3,890元</t>
        </is>
      </c>
      <c r="C464" t="n">
        <v>3890</v>
      </c>
      <c r="D464" t="inlineStr">
        <is>
          <t>內部轉帳</t>
        </is>
      </c>
      <c r="E464" t="inlineStr">
        <is>
          <t>非固定</t>
        </is>
      </c>
    </row>
    <row r="465" ht="16.5" customHeight="1" s="84">
      <c r="A465" t="inlineStr">
        <is>
          <t>2022-05</t>
        </is>
      </c>
      <c r="B465" t="inlineStr">
        <is>
          <t>管委會出席費用(預領) 總計$8,000元</t>
        </is>
      </c>
      <c r="C465" t="n">
        <v>8000</v>
      </c>
      <c r="D465" t="inlineStr">
        <is>
          <t>內部轉帳</t>
        </is>
      </c>
      <c r="E465" t="inlineStr">
        <is>
          <t>非固定</t>
        </is>
      </c>
    </row>
    <row r="466" ht="16.5" customHeight="1" s="84">
      <c r="A466" t="inlineStr">
        <is>
          <t>2022-05</t>
        </is>
      </c>
      <c r="B466" t="inlineStr">
        <is>
          <t>電梯專用款撥補(111/05) 總計$50,000元</t>
        </is>
      </c>
      <c r="C466" t="n">
        <v>50000</v>
      </c>
      <c r="D466" t="inlineStr">
        <is>
          <t>內部轉帳</t>
        </is>
      </c>
      <c r="E466" t="inlineStr">
        <is>
          <t>非固定</t>
        </is>
      </c>
    </row>
    <row r="467" ht="16.5" customHeight="1" s="84">
      <c r="A467" t="inlineStr">
        <is>
          <t>2022-05</t>
        </is>
      </c>
      <c r="B467" t="inlineStr">
        <is>
          <t>德懋物業公司(111/05)管理服務費：社區經理乙員，社區秘書乙員，警衛服務人員兩哨。總計$375,900元</t>
        </is>
      </c>
      <c r="C467" t="n">
        <v>375900</v>
      </c>
      <c r="D467" t="inlineStr">
        <is>
          <t>其他支出</t>
        </is>
      </c>
      <c r="E467" t="inlineStr">
        <is>
          <t>固定</t>
        </is>
      </c>
    </row>
    <row r="468" ht="16.5" customHeight="1" s="84">
      <c r="A468" t="inlineStr">
        <is>
          <t>2022-05</t>
        </is>
      </c>
      <c r="B468" t="inlineStr">
        <is>
          <t>順達清潔服務費(111/05) 總計$100,500元</t>
        </is>
      </c>
      <c r="C468" t="n">
        <v>100500</v>
      </c>
      <c r="D468" t="inlineStr">
        <is>
          <t>清潔服務費</t>
        </is>
      </c>
      <c r="E468" t="inlineStr">
        <is>
          <t>固定</t>
        </is>
      </c>
    </row>
    <row r="469" ht="16.5" customHeight="1" s="84">
      <c r="A469" t="inlineStr">
        <is>
          <t>2022-05</t>
        </is>
      </c>
      <c r="B469" t="inlineStr">
        <is>
          <t>義明清潔服務費(111/05) 總計$100,500元</t>
        </is>
      </c>
      <c r="C469" t="n">
        <v>100500</v>
      </c>
      <c r="D469" t="inlineStr">
        <is>
          <t>清潔服務費</t>
        </is>
      </c>
      <c r="E469" t="inlineStr">
        <is>
          <t>固定</t>
        </is>
      </c>
    </row>
    <row r="470" ht="16.5" customHeight="1" s="84">
      <c r="A470" t="inlineStr">
        <is>
          <t>2022-05</t>
        </is>
      </c>
      <c r="B470" t="inlineStr">
        <is>
          <t>侑昇-泳池機房保養(111/05) 總計$3,500元</t>
        </is>
      </c>
      <c r="C470" t="n">
        <v>3500</v>
      </c>
      <c r="D470" t="inlineStr">
        <is>
          <t>其他支出</t>
        </is>
      </c>
      <c r="E470" t="inlineStr">
        <is>
          <t>固定</t>
        </is>
      </c>
      <c r="F470" t="inlineStr">
        <is>
          <t>游泳池</t>
        </is>
      </c>
    </row>
    <row r="471" ht="16.5" customHeight="1" s="84">
      <c r="A471" t="inlineStr">
        <is>
          <t>2022-05</t>
        </is>
      </c>
      <c r="B471" t="inlineStr">
        <is>
          <t>崇友電梯(111/05)電梯保養 總計$100,000元</t>
        </is>
      </c>
      <c r="C471" t="n">
        <v>100000</v>
      </c>
      <c r="D471" t="inlineStr">
        <is>
          <t>電梯保養與修繕</t>
        </is>
      </c>
      <c r="E471" t="inlineStr">
        <is>
          <t>固定</t>
        </is>
      </c>
    </row>
    <row r="472" ht="16.5" customHeight="1" s="84">
      <c r="A472" t="inlineStr">
        <is>
          <t>2022-05</t>
        </is>
      </c>
      <c r="B472" t="inlineStr">
        <is>
          <t>AED(111/06)租賃費 總計$1,500元</t>
        </is>
      </c>
      <c r="C472" t="n">
        <v>1500</v>
      </c>
      <c r="D472" t="inlineStr">
        <is>
          <t>機電/消防/弱電/AED</t>
        </is>
      </c>
      <c r="E472" t="inlineStr">
        <is>
          <t>固定</t>
        </is>
      </c>
    </row>
    <row r="473" ht="16.5" customHeight="1" s="84">
      <c r="A473" t="inlineStr">
        <is>
          <t>2022-05</t>
        </is>
      </c>
      <c r="B473" t="inlineStr">
        <is>
          <t>御品寬頻(111/05)網路服務租賃 總計$9,450元</t>
        </is>
      </c>
      <c r="C473" t="n">
        <v>9450</v>
      </c>
      <c r="D473" t="inlineStr">
        <is>
          <t>機電/消防/弱電/AED</t>
        </is>
      </c>
      <c r="E473" t="inlineStr">
        <is>
          <t>固定</t>
        </is>
      </c>
    </row>
    <row r="474" ht="16.5" customHeight="1" s="84">
      <c r="A474" t="inlineStr">
        <is>
          <t>2022-05</t>
        </is>
      </c>
      <c r="B474" t="inlineStr">
        <is>
          <t>新鑫堯(111/05) 廢棄物清除$27,000元 清潔費$5,000元 總計$32,000元 合約於111年04月開始，服務費調漲$32,000/月</t>
        </is>
      </c>
      <c r="C474" t="n">
        <v>32000</v>
      </c>
      <c r="D474" t="inlineStr">
        <is>
          <t>垃圾廢棄物/園藝</t>
        </is>
      </c>
      <c r="E474" t="inlineStr">
        <is>
          <t>固定</t>
        </is>
      </c>
    </row>
    <row r="475" ht="16.5" customHeight="1" s="84">
      <c r="A475" t="inlineStr">
        <is>
          <t>2022-05</t>
        </is>
      </c>
      <c r="B475" t="inlineStr">
        <is>
          <t>太古意門禁維護檢點費(111/05) 總計$10,000元</t>
        </is>
      </c>
      <c r="C475" t="n">
        <v>10000</v>
      </c>
      <c r="D475" t="inlineStr">
        <is>
          <t>機電/消防/弱電/AED</t>
        </is>
      </c>
      <c r="E475" t="inlineStr">
        <is>
          <t>固定</t>
        </is>
      </c>
    </row>
    <row r="476" ht="16.5" customHeight="1" s="84">
      <c r="A476" t="inlineStr">
        <is>
          <t>2022-05</t>
        </is>
      </c>
      <c r="B476" t="inlineStr">
        <is>
          <t>鑫禾機電保養費(111/05) 總計$28,000元</t>
        </is>
      </c>
      <c r="C476" t="n">
        <v>28000</v>
      </c>
      <c r="D476" t="inlineStr">
        <is>
          <t>機電/消防/弱電/AED</t>
        </is>
      </c>
      <c r="E476" t="inlineStr">
        <is>
          <t>固定</t>
        </is>
      </c>
    </row>
    <row r="477" ht="16.5" customHeight="1" s="84">
      <c r="A477" t="inlineStr">
        <is>
          <t>2022-05</t>
        </is>
      </c>
      <c r="B477" t="inlineStr">
        <is>
          <t>景輝-園藝定期保養(111/05) 總計$28,000元</t>
        </is>
      </c>
      <c r="C477" t="n">
        <v>28000</v>
      </c>
      <c r="D477" t="inlineStr">
        <is>
          <t>垃圾廢棄物/園藝</t>
        </is>
      </c>
      <c r="E477" t="inlineStr">
        <is>
          <t>固定</t>
        </is>
      </c>
    </row>
    <row r="478" ht="16.5" customHeight="1" s="84">
      <c r="A478" t="inlineStr">
        <is>
          <t>2022-05</t>
        </is>
      </c>
      <c r="B478" t="inlineStr">
        <is>
          <t>鑫禾機電 1.噴灌斷裂重接$800元 2.自來水管重配(回收室前)$1,800元 3.LED杯燈$350元 4.LED球泡燈$110元 5.LED-T5 4呎燈管$300元 6.汙水放流高水位警報工程$37,500元 總計$40,860元</t>
        </is>
      </c>
      <c r="C478" t="n">
        <v>40860</v>
      </c>
      <c r="D478" t="inlineStr">
        <is>
          <t>機電/消防/弱電/AED</t>
        </is>
      </c>
      <c r="E478" t="inlineStr">
        <is>
          <t>非固定</t>
        </is>
      </c>
    </row>
    <row r="479" ht="16.5" customHeight="1" s="84">
      <c r="A479" t="inlineStr">
        <is>
          <t>2022-05</t>
        </is>
      </c>
      <c r="B479" t="inlineStr">
        <is>
          <t>ETAG住戶第一次免費領取費用回補 $80元(C08) 總計$80元</t>
        </is>
      </c>
      <c r="C479" t="n">
        <v>80</v>
      </c>
      <c r="D479" t="inlineStr">
        <is>
          <t>內部轉帳</t>
        </is>
      </c>
      <c r="E479" t="inlineStr">
        <is>
          <t>非固定</t>
        </is>
      </c>
    </row>
    <row r="480" ht="16.5" customHeight="1" s="84">
      <c r="A480" t="inlineStr">
        <is>
          <t>2022-05</t>
        </is>
      </c>
      <c r="B480" t="inlineStr">
        <is>
          <t>崇友電梯設備維修 戊棟無障礙梯(#10) 配重懸吊輪軸承更換工程$40,000元 5%稅金$2,000元 總計$42,000元</t>
        </is>
      </c>
      <c r="C480" t="n">
        <v>42000</v>
      </c>
      <c r="D480" t="inlineStr">
        <is>
          <t>電梯保養與修繕</t>
        </is>
      </c>
      <c r="E480" t="inlineStr">
        <is>
          <t>非固定</t>
        </is>
      </c>
      <c r="F480" t="inlineStr">
        <is>
          <t>電梯</t>
        </is>
      </c>
    </row>
    <row r="481" ht="16.5" customHeight="1" s="84">
      <c r="A481" t="inlineStr">
        <is>
          <t>2022-05</t>
        </is>
      </c>
      <c r="B481" t="inlineStr">
        <is>
          <t>新鑫堯4月增桶 4月增桶$600*3=$1,800元 總計$1,800元</t>
        </is>
      </c>
      <c r="C481" t="n">
        <v>1800</v>
      </c>
      <c r="D481" t="inlineStr">
        <is>
          <t>垃圾廢棄物/園藝</t>
        </is>
      </c>
      <c r="E481" t="inlineStr">
        <is>
          <t>非固定</t>
        </is>
      </c>
    </row>
    <row r="482" ht="15" customHeight="1" s="84">
      <c r="A482" t="inlineStr">
        <is>
          <t>2022-05</t>
        </is>
      </c>
      <c r="B482" t="inlineStr">
        <is>
          <t>太古意設備維修 入車道防壓線路拆裝更換技術工資$1,200元 5%稅金$60元 總計$1,260元</t>
        </is>
      </c>
      <c r="C482" t="n">
        <v>1260</v>
      </c>
      <c r="D482" t="inlineStr">
        <is>
          <t>機電/消防/弱電/AED</t>
        </is>
      </c>
      <c r="E482" t="inlineStr">
        <is>
          <t>非固定</t>
        </is>
      </c>
    </row>
    <row r="483" ht="15" customHeight="1" s="84">
      <c r="A483" t="inlineStr">
        <is>
          <t>2022-05</t>
        </is>
      </c>
      <c r="B483" t="inlineStr">
        <is>
          <t>一九衛生工程行 (例行年度抽除四次) 清理化糞池$1,500*14.85噸=$22,275元 總計$22,275元</t>
        </is>
      </c>
      <c r="C483" t="n">
        <v>22275</v>
      </c>
      <c r="D483" t="inlineStr">
        <is>
          <t>垃圾廢棄物/園藝</t>
        </is>
      </c>
      <c r="E483" t="inlineStr">
        <is>
          <t>非固定</t>
        </is>
      </c>
    </row>
    <row r="484" ht="16.5" customHeight="1" s="84">
      <c r="A484" t="inlineStr">
        <is>
          <t>2022-05</t>
        </is>
      </c>
      <c r="B484" t="inlineStr">
        <is>
          <t>好鵬興業 111年2月19日維修 車道出口處機車及汽車更換主機及變壓器$6,500*2=$13,000元 5%稅金$650元 總計$13,650元</t>
        </is>
      </c>
      <c r="C484" t="n">
        <v>13650</v>
      </c>
      <c r="D484" t="inlineStr">
        <is>
          <t>工程維修/購置</t>
        </is>
      </c>
      <c r="E484" t="inlineStr">
        <is>
          <t>非固定</t>
        </is>
      </c>
    </row>
    <row r="485" ht="16.5" customHeight="1" s="84">
      <c r="A485" t="inlineStr">
        <is>
          <t>2022-05</t>
        </is>
      </c>
      <c r="B485" t="inlineStr">
        <is>
          <t>揚信金屬行 111年4月18日維修(保固兩年) 丙棟地絞鍊更換$13,500元 總計$13,500元</t>
        </is>
      </c>
      <c r="C485" t="n">
        <v>13500</v>
      </c>
      <c r="D485" t="inlineStr">
        <is>
          <t>工程維修/購置</t>
        </is>
      </c>
      <c r="E485" t="inlineStr">
        <is>
          <t>非固定</t>
        </is>
      </c>
    </row>
    <row r="486" ht="16.5" customHeight="1" s="84">
      <c r="A486" t="inlineStr">
        <is>
          <t>2022-05</t>
        </is>
      </c>
      <c r="B486" t="inlineStr">
        <is>
          <t>社區電話費(5630533)</t>
        </is>
      </c>
      <c r="C486" t="n">
        <v>910</v>
      </c>
      <c r="D486" t="inlineStr">
        <is>
          <t>電話/網路費</t>
        </is>
      </c>
      <c r="E486" t="inlineStr">
        <is>
          <t>非固定</t>
        </is>
      </c>
    </row>
    <row r="487" ht="16.5" customHeight="1" s="84">
      <c r="A487" t="inlineStr">
        <is>
          <t>2022-05</t>
        </is>
      </c>
      <c r="B487" t="inlineStr">
        <is>
          <t>社區網路費(Y123617)</t>
        </is>
      </c>
      <c r="C487" t="n">
        <v>2199</v>
      </c>
      <c r="D487" t="inlineStr">
        <is>
          <t>電話/網路費</t>
        </is>
      </c>
      <c r="E487" t="inlineStr">
        <is>
          <t>非固定</t>
        </is>
      </c>
    </row>
    <row r="488" ht="16.5" customHeight="1" s="84">
      <c r="A488" t="inlineStr">
        <is>
          <t>2022-05</t>
        </is>
      </c>
      <c r="B488" t="inlineStr">
        <is>
          <t>社區網路費(Y174790)</t>
        </is>
      </c>
      <c r="C488" t="n">
        <v>1899</v>
      </c>
      <c r="D488" t="inlineStr">
        <is>
          <t>電話/網路費</t>
        </is>
      </c>
      <c r="E488" t="inlineStr">
        <is>
          <t>非固定</t>
        </is>
      </c>
    </row>
    <row r="489" ht="16.5" customHeight="1" s="84">
      <c r="A489" t="inlineStr">
        <is>
          <t>2022-05</t>
        </is>
      </c>
      <c r="B489" t="inlineStr">
        <is>
          <t>公共電費</t>
        </is>
      </c>
      <c r="C489" t="n">
        <v>89633</v>
      </c>
      <c r="D489" t="inlineStr">
        <is>
          <t>公共水電瓦斯</t>
        </is>
      </c>
      <c r="E489" t="inlineStr">
        <is>
          <t>非固定</t>
        </is>
      </c>
    </row>
    <row r="490" ht="16.5" customHeight="1" s="84">
      <c r="A490" t="inlineStr">
        <is>
          <t>2022-05</t>
        </is>
      </c>
      <c r="B490" t="inlineStr">
        <is>
          <t>自來水費</t>
        </is>
      </c>
      <c r="C490" t="n">
        <v>0</v>
      </c>
      <c r="D490" t="inlineStr">
        <is>
          <t>公共水電瓦斯</t>
        </is>
      </c>
      <c r="E490" t="inlineStr">
        <is>
          <t>非固定</t>
        </is>
      </c>
    </row>
    <row r="491" ht="16.5" customHeight="1" s="84">
      <c r="A491" t="inlineStr">
        <is>
          <t>2022-06</t>
        </is>
      </c>
      <c r="B491" t="inlineStr">
        <is>
          <t>零用金撥補(111/06) 總計$11,324元</t>
        </is>
      </c>
      <c r="C491" t="n">
        <v>11324</v>
      </c>
      <c r="D491" t="inlineStr">
        <is>
          <t>內部轉帳</t>
        </is>
      </c>
      <c r="E491" t="inlineStr">
        <is>
          <t>非固定</t>
        </is>
      </c>
    </row>
    <row r="492" ht="16.5" customHeight="1" s="84">
      <c r="A492" t="inlineStr">
        <is>
          <t>2022-06</t>
        </is>
      </c>
      <c r="B492" t="inlineStr">
        <is>
          <t>管委會出席費用(預領) 總計$8,000元</t>
        </is>
      </c>
      <c r="C492" t="n">
        <v>8000</v>
      </c>
      <c r="D492" t="inlineStr">
        <is>
          <t>內部轉帳</t>
        </is>
      </c>
      <c r="E492" t="inlineStr">
        <is>
          <t>非固定</t>
        </is>
      </c>
    </row>
    <row r="493" ht="16.5" customHeight="1" s="84">
      <c r="A493" t="inlineStr">
        <is>
          <t>2022-06</t>
        </is>
      </c>
      <c r="B493" t="inlineStr">
        <is>
          <t>電梯專用款撥補(111/06) 總計$50,000元</t>
        </is>
      </c>
      <c r="C493" t="n">
        <v>50000</v>
      </c>
      <c r="D493" t="inlineStr">
        <is>
          <t>內部轉帳</t>
        </is>
      </c>
      <c r="E493" t="inlineStr">
        <is>
          <t>非固定</t>
        </is>
      </c>
    </row>
    <row r="494" ht="16.5" customHeight="1" s="84">
      <c r="A494" t="inlineStr">
        <is>
          <t>2022-06</t>
        </is>
      </c>
      <c r="B494" t="inlineStr">
        <is>
          <t>德懋物業公司(111/06)管理服務費：社區經理乙員，社區秘書乙員，警衛服務人員兩哨。總計$375,900元</t>
        </is>
      </c>
      <c r="C494" t="n">
        <v>375900</v>
      </c>
      <c r="D494" t="inlineStr">
        <is>
          <t>其他支出</t>
        </is>
      </c>
      <c r="E494" t="inlineStr">
        <is>
          <t>固定</t>
        </is>
      </c>
    </row>
    <row r="495" ht="16.5" customHeight="1" s="84">
      <c r="A495" t="inlineStr">
        <is>
          <t>2022-06</t>
        </is>
      </c>
      <c r="B495" t="inlineStr">
        <is>
          <t>順達清潔服務費(111/06) 總計$100,500元</t>
        </is>
      </c>
      <c r="C495" t="n">
        <v>100500</v>
      </c>
      <c r="D495" t="inlineStr">
        <is>
          <t>清潔服務費</t>
        </is>
      </c>
      <c r="E495" t="inlineStr">
        <is>
          <t>固定</t>
        </is>
      </c>
    </row>
    <row r="496" ht="16.5" customHeight="1" s="84">
      <c r="A496" t="inlineStr">
        <is>
          <t>2022-06</t>
        </is>
      </c>
      <c r="B496" t="inlineStr">
        <is>
          <t>義明清潔服務費(111/06) 總計$100,500元</t>
        </is>
      </c>
      <c r="C496" t="n">
        <v>100500</v>
      </c>
      <c r="D496" t="inlineStr">
        <is>
          <t>清潔服務費</t>
        </is>
      </c>
      <c r="E496" t="inlineStr">
        <is>
          <t>固定</t>
        </is>
      </c>
    </row>
    <row r="497" ht="16.5" customHeight="1" s="84">
      <c r="A497" t="inlineStr">
        <is>
          <t>2022-06</t>
        </is>
      </c>
      <c r="B497" t="inlineStr">
        <is>
          <t>侑昇-泳池機房保養(111/06) 總計$3,500元</t>
        </is>
      </c>
      <c r="C497" t="n">
        <v>3500</v>
      </c>
      <c r="D497" t="inlineStr">
        <is>
          <t>其他支出</t>
        </is>
      </c>
      <c r="E497" t="inlineStr">
        <is>
          <t>固定</t>
        </is>
      </c>
      <c r="F497" t="inlineStr">
        <is>
          <t>游泳池</t>
        </is>
      </c>
    </row>
    <row r="498" ht="16.5" customHeight="1" s="84">
      <c r="A498" t="inlineStr">
        <is>
          <t>2022-06</t>
        </is>
      </c>
      <c r="B498" t="inlineStr">
        <is>
          <t>崇友電梯(111/06)電梯保養 總計$100,000元</t>
        </is>
      </c>
      <c r="C498" t="n">
        <v>100000</v>
      </c>
      <c r="D498" t="inlineStr">
        <is>
          <t>電梯保養與修繕</t>
        </is>
      </c>
      <c r="E498" t="inlineStr">
        <is>
          <t>固定</t>
        </is>
      </c>
    </row>
    <row r="499" ht="16.5" customHeight="1" s="84">
      <c r="A499" t="inlineStr">
        <is>
          <t>2022-06</t>
        </is>
      </c>
      <c r="B499" t="inlineStr">
        <is>
          <t>AED(111/07)租賃費 總計$1,500元</t>
        </is>
      </c>
      <c r="C499" t="n">
        <v>1500</v>
      </c>
      <c r="D499" t="inlineStr">
        <is>
          <t>機電/消防/弱電/AED</t>
        </is>
      </c>
      <c r="E499" t="inlineStr">
        <is>
          <t>固定</t>
        </is>
      </c>
    </row>
    <row r="500" ht="16.5" customHeight="1" s="84">
      <c r="A500" t="inlineStr">
        <is>
          <t>2022-06</t>
        </is>
      </c>
      <c r="B500" t="inlineStr">
        <is>
          <t>御品寬頻(111/06)網路服務租賃 總計$9,450元</t>
        </is>
      </c>
      <c r="C500" t="n">
        <v>9450</v>
      </c>
      <c r="D500" t="inlineStr">
        <is>
          <t>機電/消防/弱電/AED</t>
        </is>
      </c>
      <c r="E500" t="inlineStr">
        <is>
          <t>固定</t>
        </is>
      </c>
    </row>
    <row r="501" ht="16.5" customHeight="1" s="84">
      <c r="A501" t="inlineStr">
        <is>
          <t>2022-06</t>
        </is>
      </c>
      <c r="B501" t="inlineStr">
        <is>
          <t>新鑫堯(111/06) 廢棄物清除$27,000元 清潔費$5,000元 總計$32,000元</t>
        </is>
      </c>
      <c r="C501" t="n">
        <v>32000</v>
      </c>
      <c r="D501" t="inlineStr">
        <is>
          <t>垃圾廢棄物/園藝</t>
        </is>
      </c>
      <c r="E501" t="inlineStr">
        <is>
          <t>固定</t>
        </is>
      </c>
    </row>
    <row r="502" ht="16.5" customHeight="1" s="84">
      <c r="A502" t="inlineStr">
        <is>
          <t>2022-06</t>
        </is>
      </c>
      <c r="B502" t="inlineStr">
        <is>
          <t>太古意門禁維護檢點費(111/06) 總計$10,000元</t>
        </is>
      </c>
      <c r="C502" t="n">
        <v>10000</v>
      </c>
      <c r="D502" t="inlineStr">
        <is>
          <t>機電/消防/弱電/AED</t>
        </is>
      </c>
      <c r="E502" t="inlineStr">
        <is>
          <t>固定</t>
        </is>
      </c>
    </row>
    <row r="503" ht="16.5" customHeight="1" s="84">
      <c r="A503" t="inlineStr">
        <is>
          <t>2022-06</t>
        </is>
      </c>
      <c r="B503" t="inlineStr">
        <is>
          <t>鑫禾機電保養費(111/06) 總計$28,000元</t>
        </is>
      </c>
      <c r="C503" t="n">
        <v>28000</v>
      </c>
      <c r="D503" t="inlineStr">
        <is>
          <t>機電/消防/弱電/AED</t>
        </is>
      </c>
      <c r="E503" t="inlineStr">
        <is>
          <t>固定</t>
        </is>
      </c>
    </row>
    <row r="504" ht="16.5" customHeight="1" s="84">
      <c r="A504" t="inlineStr">
        <is>
          <t>2022-06</t>
        </is>
      </c>
      <c r="B504" t="inlineStr">
        <is>
          <t>景輝-園藝定期保養(111/06) 總計$28,000元</t>
        </is>
      </c>
      <c r="C504" t="n">
        <v>28000</v>
      </c>
      <c r="D504" t="inlineStr">
        <is>
          <t>垃圾廢棄物/園藝</t>
        </is>
      </c>
      <c r="E504" t="inlineStr">
        <is>
          <t>固定</t>
        </is>
      </c>
    </row>
    <row r="505" ht="15" customHeight="1" s="84">
      <c r="A505" t="inlineStr">
        <is>
          <t>2022-06</t>
        </is>
      </c>
      <c r="B505" t="inlineStr">
        <is>
          <t>鋐隆清潔用品 05/25 1.芳柔環保擦手紙$480元 2.小捲衛生紙芙蓉$480*2=$960元 3.抽取衛生紙五月花$630元 4.紅龍珍珠洗手乳$180*4=$720元 5.5%稅金$140元 總計$2,930元</t>
        </is>
      </c>
      <c r="C505" t="n">
        <v>2930</v>
      </c>
      <c r="D505" t="inlineStr">
        <is>
          <t>清潔服務費</t>
        </is>
      </c>
      <c r="E505" t="inlineStr">
        <is>
          <t>非固定</t>
        </is>
      </c>
    </row>
    <row r="506" ht="16.5" customHeight="1" s="84">
      <c r="A506" t="inlineStr">
        <is>
          <t>2022-06</t>
        </is>
      </c>
      <c r="B506" t="inlineStr">
        <is>
          <t>ETAG住戶第一次免費領取費用回補 $160元(Q22、R12) 總計$160元</t>
        </is>
      </c>
      <c r="C506" t="n">
        <v>160</v>
      </c>
      <c r="D506" t="inlineStr">
        <is>
          <t>內部轉帳</t>
        </is>
      </c>
      <c r="E506" t="inlineStr">
        <is>
          <t>非固定</t>
        </is>
      </c>
    </row>
    <row r="507" ht="16.5" customHeight="1" s="84">
      <c r="A507" t="inlineStr">
        <is>
          <t>2022-06</t>
        </is>
      </c>
      <c r="B507" t="inlineStr">
        <is>
          <t>新鑫堯5月增桶 5月增桶$600*13=$7,800元 總計$7,800元</t>
        </is>
      </c>
      <c r="C507" t="n">
        <v>7800</v>
      </c>
      <c r="D507" t="inlineStr">
        <is>
          <t>垃圾廢棄物/園藝</t>
        </is>
      </c>
      <c r="E507" t="inlineStr">
        <is>
          <t>非固定</t>
        </is>
      </c>
    </row>
    <row r="508" ht="16.5" customHeight="1" s="84">
      <c r="A508" t="inlineStr">
        <is>
          <t>2022-06</t>
        </is>
      </c>
      <c r="B508" t="inlineStr">
        <is>
          <t>鑫禾設備修繕 1.LED杯燈$350*8=$2,800元 2.偵煙感知器$500元 3.大門水底燈變壓器$2,500元 總計$5,800元</t>
        </is>
      </c>
      <c r="C508" t="n">
        <v>5800</v>
      </c>
      <c r="D508" t="inlineStr">
        <is>
          <t>工程維修/購置</t>
        </is>
      </c>
      <c r="E508" t="inlineStr">
        <is>
          <t>非固定</t>
        </is>
      </c>
    </row>
    <row r="509" ht="15" customHeight="1" s="84">
      <c r="A509" t="inlineStr">
        <is>
          <t>2022-06</t>
        </is>
      </c>
      <c r="B509" t="inlineStr">
        <is>
          <t>育丞石材 5/10樹屋下階梯 立板黏合、拆裝工資$3,500元 5/30明暗牆修補施作 藍珊瑚(10*63)$380*0.68=$258元 藍珊瑚(80.5*37)$380*3=$1,140元 拆裝工資$2,500*2=$5,000元 總計$9,898元</t>
        </is>
      </c>
      <c r="C509" t="n">
        <v>9898</v>
      </c>
      <c r="D509" t="inlineStr">
        <is>
          <t>其他支出</t>
        </is>
      </c>
      <c r="E509" t="inlineStr">
        <is>
          <t>非固定</t>
        </is>
      </c>
    </row>
    <row r="510" ht="15" customHeight="1" s="84">
      <c r="A510" t="inlineStr">
        <is>
          <t>2022-06</t>
        </is>
      </c>
      <c r="B510" t="inlineStr">
        <is>
          <t>富邦產險 公共意外險(111.06.29~112.06.29) 總計$7,235元 (取現金至便利商店繳費)</t>
        </is>
      </c>
      <c r="C510" t="n">
        <v>7235</v>
      </c>
      <c r="D510" t="inlineStr">
        <is>
          <t>其他支出</t>
        </is>
      </c>
      <c r="E510" t="inlineStr">
        <is>
          <t>非固定</t>
        </is>
      </c>
    </row>
    <row r="511" ht="16.5" customHeight="1" s="84">
      <c r="A511" t="inlineStr">
        <is>
          <t>2022-06</t>
        </is>
      </c>
      <c r="B511" t="inlineStr">
        <is>
          <t>好鵬興業 111年5月19日維修 出口處汽車道 主機板$4,000元 入口處機車道 馬達$13,000元 總計$17,000元</t>
        </is>
      </c>
      <c r="C511" t="n">
        <v>17000</v>
      </c>
      <c r="D511" t="inlineStr">
        <is>
          <t>工程維修/購置</t>
        </is>
      </c>
      <c r="E511" t="inlineStr">
        <is>
          <t>非固定</t>
        </is>
      </c>
    </row>
    <row r="512" ht="16.5" customHeight="1" s="84">
      <c r="A512" t="inlineStr">
        <is>
          <t>2022-06</t>
        </is>
      </c>
      <c r="B512" t="inlineStr">
        <is>
          <t>以下空白</t>
        </is>
      </c>
      <c r="C512" t="n">
        <v>0</v>
      </c>
      <c r="D512" t="inlineStr">
        <is>
          <t>其他支出</t>
        </is>
      </c>
      <c r="E512" t="inlineStr">
        <is>
          <t>非固定</t>
        </is>
      </c>
    </row>
    <row r="513" ht="16.5" customHeight="1" s="84">
      <c r="A513" t="inlineStr">
        <is>
          <t>2022-06</t>
        </is>
      </c>
      <c r="B513" t="inlineStr">
        <is>
          <t>社區電話費(5630533)</t>
        </is>
      </c>
      <c r="C513" t="n">
        <v>766</v>
      </c>
      <c r="D513" t="inlineStr">
        <is>
          <t>電話/網路費</t>
        </is>
      </c>
      <c r="E513" t="inlineStr">
        <is>
          <t>非固定</t>
        </is>
      </c>
    </row>
    <row r="514" ht="16.5" customHeight="1" s="84">
      <c r="A514" t="inlineStr">
        <is>
          <t>2022-06</t>
        </is>
      </c>
      <c r="B514" t="inlineStr">
        <is>
          <t>社區網路費(Y123617)</t>
        </is>
      </c>
      <c r="C514" t="n">
        <v>2199</v>
      </c>
      <c r="D514" t="inlineStr">
        <is>
          <t>電話/網路費</t>
        </is>
      </c>
      <c r="E514" t="inlineStr">
        <is>
          <t>非固定</t>
        </is>
      </c>
    </row>
    <row r="515" ht="16.5" customHeight="1" s="84">
      <c r="A515" t="inlineStr">
        <is>
          <t>2022-06</t>
        </is>
      </c>
      <c r="B515" t="inlineStr">
        <is>
          <t>社區網路費(Y174790)</t>
        </is>
      </c>
      <c r="C515" t="n">
        <v>1899</v>
      </c>
      <c r="D515" t="inlineStr">
        <is>
          <t>電話/網路費</t>
        </is>
      </c>
      <c r="E515" t="inlineStr">
        <is>
          <t>非固定</t>
        </is>
      </c>
    </row>
    <row r="516" ht="16.5" customHeight="1" s="84">
      <c r="A516" t="inlineStr">
        <is>
          <t>2022-06</t>
        </is>
      </c>
      <c r="B516" t="inlineStr">
        <is>
          <t>公共電費</t>
        </is>
      </c>
      <c r="C516" t="n">
        <v>89247</v>
      </c>
      <c r="D516" t="inlineStr">
        <is>
          <t>公共水電瓦斯</t>
        </is>
      </c>
      <c r="E516" t="inlineStr">
        <is>
          <t>非固定</t>
        </is>
      </c>
    </row>
    <row r="517" ht="16.5" customHeight="1" s="84">
      <c r="A517" t="inlineStr">
        <is>
          <t>2022-06</t>
        </is>
      </c>
      <c r="B517" t="inlineStr">
        <is>
          <t>自來水費</t>
        </is>
      </c>
      <c r="C517" t="n">
        <v>2806</v>
      </c>
      <c r="D517" t="inlineStr">
        <is>
          <t>公共水電瓦斯</t>
        </is>
      </c>
      <c r="E517" t="inlineStr">
        <is>
          <t>非固定</t>
        </is>
      </c>
    </row>
    <row r="518" ht="16.5" customHeight="1" s="84">
      <c r="A518" t="inlineStr">
        <is>
          <t>2022-07</t>
        </is>
      </c>
      <c r="B518" t="inlineStr">
        <is>
          <t>零用金撥補(111/07) 總計$12,395元</t>
        </is>
      </c>
      <c r="C518" t="n">
        <v>12395</v>
      </c>
      <c r="D518" t="inlineStr">
        <is>
          <t>內部轉帳</t>
        </is>
      </c>
      <c r="E518" t="inlineStr">
        <is>
          <t>非固定</t>
        </is>
      </c>
    </row>
    <row r="519" ht="16.5" customHeight="1" s="84">
      <c r="A519" t="inlineStr">
        <is>
          <t>2022-07</t>
        </is>
      </c>
      <c r="B519" t="inlineStr">
        <is>
          <t>管委會出席費用(預領) 總計$8,000元</t>
        </is>
      </c>
      <c r="C519" t="n">
        <v>8000</v>
      </c>
      <c r="D519" t="inlineStr">
        <is>
          <t>內部轉帳</t>
        </is>
      </c>
      <c r="E519" t="inlineStr">
        <is>
          <t>非固定</t>
        </is>
      </c>
    </row>
    <row r="520" ht="16.5" customHeight="1" s="84">
      <c r="A520" t="inlineStr">
        <is>
          <t>2022-07</t>
        </is>
      </c>
      <c r="B520" t="inlineStr">
        <is>
          <t>電梯專用款撥補(111/07) 總計$50,000元</t>
        </is>
      </c>
      <c r="C520" t="n">
        <v>50000</v>
      </c>
      <c r="D520" t="inlineStr">
        <is>
          <t>內部轉帳</t>
        </is>
      </c>
      <c r="E520" t="inlineStr">
        <is>
          <t>非固定</t>
        </is>
      </c>
    </row>
    <row r="521" ht="16.5" customHeight="1" s="84">
      <c r="A521" t="inlineStr">
        <is>
          <t>2022-07</t>
        </is>
      </c>
      <c r="B521" t="inlineStr">
        <is>
          <t>德懋物業公司(111/07)管理服務費：社區經理乙員，社區秘書乙員，警衛服務人員兩哨。總計$375,900元</t>
        </is>
      </c>
      <c r="C521" t="n">
        <v>375900</v>
      </c>
      <c r="D521" t="inlineStr">
        <is>
          <t>其他支出</t>
        </is>
      </c>
      <c r="E521" t="inlineStr">
        <is>
          <t>固定</t>
        </is>
      </c>
    </row>
    <row r="522" ht="16.5" customHeight="1" s="84">
      <c r="A522" t="inlineStr">
        <is>
          <t>2022-07</t>
        </is>
      </c>
      <c r="B522" t="inlineStr">
        <is>
          <t>順達清潔服務費(111/07) 總計$100,500元</t>
        </is>
      </c>
      <c r="C522" t="n">
        <v>100500</v>
      </c>
      <c r="D522" t="inlineStr">
        <is>
          <t>清潔服務費</t>
        </is>
      </c>
      <c r="E522" t="inlineStr">
        <is>
          <t>固定</t>
        </is>
      </c>
    </row>
    <row r="523" ht="16.5" customHeight="1" s="84">
      <c r="A523" t="inlineStr">
        <is>
          <t>2022-07</t>
        </is>
      </c>
      <c r="B523" t="inlineStr">
        <is>
          <t>義明清潔服務費(111/07) 總計$100,500元</t>
        </is>
      </c>
      <c r="C523" t="n">
        <v>100500</v>
      </c>
      <c r="D523" t="inlineStr">
        <is>
          <t>清潔服務費</t>
        </is>
      </c>
      <c r="E523" t="inlineStr">
        <is>
          <t>固定</t>
        </is>
      </c>
    </row>
    <row r="524" ht="16.5" customHeight="1" s="84">
      <c r="A524" t="inlineStr">
        <is>
          <t>2022-07</t>
        </is>
      </c>
      <c r="B524" t="inlineStr">
        <is>
          <t>崇友電梯(111/07)電梯保養 總計$100,000元</t>
        </is>
      </c>
      <c r="C524" t="n">
        <v>100000</v>
      </c>
      <c r="D524" t="inlineStr">
        <is>
          <t>電梯保養與修繕</t>
        </is>
      </c>
      <c r="E524" t="inlineStr">
        <is>
          <t>固定</t>
        </is>
      </c>
    </row>
    <row r="525" ht="16.5" customHeight="1" s="84">
      <c r="A525" t="inlineStr">
        <is>
          <t>2022-07</t>
        </is>
      </c>
      <c r="B525" t="inlineStr">
        <is>
          <t>AED(111/08)租賃費 總計$1,500元</t>
        </is>
      </c>
      <c r="C525" t="n">
        <v>1500</v>
      </c>
      <c r="D525" t="inlineStr">
        <is>
          <t>機電/消防/弱電/AED</t>
        </is>
      </c>
      <c r="E525" t="inlineStr">
        <is>
          <t>固定</t>
        </is>
      </c>
    </row>
    <row r="526" ht="16.5" customHeight="1" s="84">
      <c r="A526" t="inlineStr">
        <is>
          <t>2022-07</t>
        </is>
      </c>
      <c r="B526" t="inlineStr">
        <is>
          <t>御品寬頻(111/07)網路服務租賃 總計$9,450元</t>
        </is>
      </c>
      <c r="C526" t="n">
        <v>9450</v>
      </c>
      <c r="D526" t="inlineStr">
        <is>
          <t>機電/消防/弱電/AED</t>
        </is>
      </c>
      <c r="E526" t="inlineStr">
        <is>
          <t>固定</t>
        </is>
      </c>
    </row>
    <row r="527" ht="16.5" customHeight="1" s="84">
      <c r="A527" t="inlineStr">
        <is>
          <t>2022-07</t>
        </is>
      </c>
      <c r="B527" t="inlineStr">
        <is>
          <t>新鑫堯(111/07) 廢棄物清除$27,000元 清潔費$5,000元 總計$32,000元</t>
        </is>
      </c>
      <c r="C527" t="n">
        <v>32000</v>
      </c>
      <c r="D527" t="inlineStr">
        <is>
          <t>垃圾廢棄物/園藝</t>
        </is>
      </c>
      <c r="E527" t="inlineStr">
        <is>
          <t>固定</t>
        </is>
      </c>
    </row>
    <row r="528" ht="16.5" customHeight="1" s="84">
      <c r="A528" t="inlineStr">
        <is>
          <t>2022-07</t>
        </is>
      </c>
      <c r="B528" t="inlineStr">
        <is>
          <t>太古意門禁維護檢點費(111/07) 總計$10,000元</t>
        </is>
      </c>
      <c r="C528" t="n">
        <v>10000</v>
      </c>
      <c r="D528" t="inlineStr">
        <is>
          <t>機電/消防/弱電/AED</t>
        </is>
      </c>
      <c r="E528" t="inlineStr">
        <is>
          <t>固定</t>
        </is>
      </c>
    </row>
    <row r="529" ht="16.5" customHeight="1" s="84">
      <c r="A529" t="inlineStr">
        <is>
          <t>2022-07</t>
        </is>
      </c>
      <c r="B529" t="inlineStr">
        <is>
          <t>鑫禾機電保養費(111/07) 總計$28,000元</t>
        </is>
      </c>
      <c r="C529" t="n">
        <v>28000</v>
      </c>
      <c r="D529" t="inlineStr">
        <is>
          <t>機電/消防/弱電/AED</t>
        </is>
      </c>
      <c r="E529" t="inlineStr">
        <is>
          <t>固定</t>
        </is>
      </c>
    </row>
    <row r="530" ht="16.5" customHeight="1" s="84">
      <c r="A530" t="inlineStr">
        <is>
          <t>2022-07</t>
        </is>
      </c>
      <c r="B530" t="inlineStr">
        <is>
          <t>景輝-園藝定期保養(111/07) 總計$28,000元</t>
        </is>
      </c>
      <c r="C530" t="n">
        <v>28000</v>
      </c>
      <c r="D530" t="inlineStr">
        <is>
          <t>垃圾廢棄物/園藝</t>
        </is>
      </c>
      <c r="E530" t="inlineStr">
        <is>
          <t>固定</t>
        </is>
      </c>
    </row>
    <row r="531" ht="16.5" customHeight="1" s="84">
      <c r="A531" t="inlineStr">
        <is>
          <t>2022-07</t>
        </is>
      </c>
      <c r="B531" t="inlineStr">
        <is>
          <t>新鑫堯6月增桶 6月增桶$600*11=$6,600元 總計$6,600元</t>
        </is>
      </c>
      <c r="C531" t="n">
        <v>6600</v>
      </c>
      <c r="D531" t="inlineStr">
        <is>
          <t>垃圾廢棄物/園藝</t>
        </is>
      </c>
      <c r="E531" t="inlineStr">
        <is>
          <t>非固定</t>
        </is>
      </c>
    </row>
    <row r="532" ht="16.5" customHeight="1" s="84">
      <c r="A532" t="inlineStr">
        <is>
          <t>2022-07</t>
        </is>
      </c>
      <c r="B532" t="inlineStr">
        <is>
          <t>鑫禾設備修繕 1.LED層板燈$300元 2.LED杯燈$350*3=$1,050元 3.(回收室)階梯燈條$2,500*2=$5,000元 4.社區戶外庭園燈故障維修$39,500 總計$45,850元</t>
        </is>
      </c>
      <c r="C532" t="n">
        <v>45850</v>
      </c>
      <c r="D532" t="inlineStr">
        <is>
          <t>工程維修/購置</t>
        </is>
      </c>
      <c r="E532" t="inlineStr">
        <is>
          <t>非固定</t>
        </is>
      </c>
    </row>
    <row r="533" ht="16.5" customHeight="1" s="84">
      <c r="A533" t="inlineStr">
        <is>
          <t>2022-07</t>
        </is>
      </c>
      <c r="B533" t="inlineStr">
        <is>
          <t>富邦產險 公共火險(111.06.29~112.06.29) 總計$8,000元 (取現金至便利商店繳費)</t>
        </is>
      </c>
      <c r="C533" t="n">
        <v>8000</v>
      </c>
      <c r="D533" t="inlineStr">
        <is>
          <t>其他支出</t>
        </is>
      </c>
      <c r="E533" t="inlineStr">
        <is>
          <t>非固定</t>
        </is>
      </c>
    </row>
    <row r="534" ht="16.5" customHeight="1" s="84">
      <c r="A534" t="inlineStr">
        <is>
          <t>2022-07</t>
        </is>
      </c>
      <c r="B534" t="inlineStr">
        <is>
          <t>廣中工程 甲棟D戶主臥污排水幹管阻塞處理工程 總計$9,000元</t>
        </is>
      </c>
      <c r="C534" t="n">
        <v>9000</v>
      </c>
      <c r="D534" t="inlineStr">
        <is>
          <t>工程維修/購置</t>
        </is>
      </c>
      <c r="E534" t="inlineStr">
        <is>
          <t>非固定</t>
        </is>
      </c>
    </row>
    <row r="535" ht="15" customHeight="1" s="84">
      <c r="A535" t="inlineStr">
        <is>
          <t>2022-07</t>
        </is>
      </c>
      <c r="B535" t="inlineStr">
        <is>
          <t>好鵬興業 111年5月19日維修 入口處機車道 彈簧$6,000元 總計$6,000元</t>
        </is>
      </c>
      <c r="C535" t="n">
        <v>6000</v>
      </c>
      <c r="D535" t="inlineStr">
        <is>
          <t>工程維修/購置</t>
        </is>
      </c>
      <c r="E535" t="inlineStr">
        <is>
          <t>非固定</t>
        </is>
      </c>
    </row>
    <row r="536" ht="15" customHeight="1" s="84">
      <c r="A536" t="inlineStr">
        <is>
          <t>2022-07</t>
        </is>
      </c>
      <c r="B536" t="inlineStr">
        <is>
          <t>喬山健康科技 健身房第一台跑步機馬達控制器機板故障更換 總計$6,400元</t>
        </is>
      </c>
      <c r="C536" t="n">
        <v>6400</v>
      </c>
      <c r="D536" t="inlineStr">
        <is>
          <t>工程維修/購置</t>
        </is>
      </c>
      <c r="E536" t="inlineStr">
        <is>
          <t>非固定</t>
        </is>
      </c>
    </row>
    <row r="537" ht="16.5" customHeight="1" s="84">
      <c r="A537" t="inlineStr">
        <is>
          <t>2022-07</t>
        </is>
      </c>
      <c r="B537" t="inlineStr">
        <is>
          <t>喬山健康科技 健身房重訓機下鋼索故障更換 總計$1,700元</t>
        </is>
      </c>
      <c r="C537" t="n">
        <v>1700</v>
      </c>
      <c r="D537" t="inlineStr">
        <is>
          <t>工程維修/購置</t>
        </is>
      </c>
      <c r="E537" t="inlineStr">
        <is>
          <t>非固定</t>
        </is>
      </c>
    </row>
    <row r="538" ht="16.5" customHeight="1" s="84">
      <c r="A538" t="inlineStr">
        <is>
          <t>2022-07</t>
        </is>
      </c>
      <c r="B538" t="inlineStr">
        <is>
          <t>鴻陽運動事業有限公司-氯錠 111/07/01 消毒藥劑:韓製氯錠3英寸90% 50KG/桶 $5,500*6=$33,000元(111年7月起調漲250元) 計$33,000元</t>
        </is>
      </c>
      <c r="C538" t="n">
        <v>33000</v>
      </c>
      <c r="D538" t="inlineStr">
        <is>
          <t>工程維修/購置</t>
        </is>
      </c>
      <c r="E538" t="inlineStr">
        <is>
          <t>非固定</t>
        </is>
      </c>
    </row>
    <row r="539" ht="16.5" customHeight="1" s="84">
      <c r="A539" t="inlineStr">
        <is>
          <t>2022-07</t>
        </is>
      </c>
      <c r="B539" t="inlineStr">
        <is>
          <t>社區電話費(5630533)</t>
        </is>
      </c>
      <c r="C539" t="n">
        <v>805</v>
      </c>
      <c r="D539" t="inlineStr">
        <is>
          <t>電話/網路費</t>
        </is>
      </c>
      <c r="E539" t="inlineStr">
        <is>
          <t>非固定</t>
        </is>
      </c>
    </row>
    <row r="540" ht="16.5" customHeight="1" s="84">
      <c r="A540" t="inlineStr">
        <is>
          <t>2022-07</t>
        </is>
      </c>
      <c r="B540" t="inlineStr">
        <is>
          <t>社區網路費(Y123617)</t>
        </is>
      </c>
      <c r="C540" t="n">
        <v>2199</v>
      </c>
      <c r="D540" t="inlineStr">
        <is>
          <t>電話/網路費</t>
        </is>
      </c>
      <c r="E540" t="inlineStr">
        <is>
          <t>非固定</t>
        </is>
      </c>
    </row>
    <row r="541" ht="16.5" customHeight="1" s="84">
      <c r="A541" t="inlineStr">
        <is>
          <t>2022-07</t>
        </is>
      </c>
      <c r="B541" t="inlineStr">
        <is>
          <t>社區網路費(Y174790)</t>
        </is>
      </c>
      <c r="C541" t="n">
        <v>1899</v>
      </c>
      <c r="D541" t="inlineStr">
        <is>
          <t>電話/網路費</t>
        </is>
      </c>
      <c r="E541" t="inlineStr">
        <is>
          <t>非固定</t>
        </is>
      </c>
    </row>
    <row r="542" ht="16.5" customHeight="1" s="84">
      <c r="A542" t="inlineStr">
        <is>
          <t>2022-07</t>
        </is>
      </c>
      <c r="B542" t="inlineStr">
        <is>
          <t>公共電費</t>
        </is>
      </c>
      <c r="C542" t="n">
        <v>101869</v>
      </c>
      <c r="D542" t="inlineStr">
        <is>
          <t>公共水電瓦斯</t>
        </is>
      </c>
      <c r="E542" t="inlineStr">
        <is>
          <t>非固定</t>
        </is>
      </c>
    </row>
    <row r="543" ht="16.5" customHeight="1" s="84">
      <c r="A543" t="inlineStr">
        <is>
          <t>2022-07</t>
        </is>
      </c>
      <c r="B543" t="inlineStr">
        <is>
          <t>自來水費</t>
        </is>
      </c>
      <c r="C543" t="n">
        <v>0</v>
      </c>
      <c r="D543" t="inlineStr">
        <is>
          <t>公共水電瓦斯</t>
        </is>
      </c>
      <c r="E543" t="inlineStr">
        <is>
          <t>非固定</t>
        </is>
      </c>
    </row>
    <row r="544" ht="16.5" customHeight="1" s="84">
      <c r="A544" t="inlineStr">
        <is>
          <t>2022-08</t>
        </is>
      </c>
      <c r="B544" t="inlineStr">
        <is>
          <t>零用金撥補(111/08) 總計$2,660元</t>
        </is>
      </c>
      <c r="C544" t="n">
        <v>2660</v>
      </c>
      <c r="D544" t="inlineStr">
        <is>
          <t>內部轉帳</t>
        </is>
      </c>
      <c r="E544" t="inlineStr">
        <is>
          <t>非固定</t>
        </is>
      </c>
    </row>
    <row r="545" ht="16.5" customHeight="1" s="84">
      <c r="A545" t="inlineStr">
        <is>
          <t>2022-08</t>
        </is>
      </c>
      <c r="B545" t="inlineStr">
        <is>
          <t>管委會出席費用(預領) 總計$8,000元</t>
        </is>
      </c>
      <c r="C545" t="n">
        <v>8000</v>
      </c>
      <c r="D545" t="inlineStr">
        <is>
          <t>內部轉帳</t>
        </is>
      </c>
      <c r="E545" t="inlineStr">
        <is>
          <t>非固定</t>
        </is>
      </c>
    </row>
    <row r="546" ht="16.5" customHeight="1" s="84">
      <c r="A546" t="inlineStr">
        <is>
          <t>2022-08</t>
        </is>
      </c>
      <c r="B546" t="inlineStr">
        <is>
          <t>電梯專用款撥補(111/08) 總計$50,000元</t>
        </is>
      </c>
      <c r="C546" t="n">
        <v>50000</v>
      </c>
      <c r="D546" t="inlineStr">
        <is>
          <t>內部轉帳</t>
        </is>
      </c>
      <c r="E546" t="inlineStr">
        <is>
          <t>非固定</t>
        </is>
      </c>
    </row>
    <row r="547" ht="16.5" customHeight="1" s="84">
      <c r="A547" t="inlineStr">
        <is>
          <t>2022-08</t>
        </is>
      </c>
      <c r="B547" t="inlineStr">
        <is>
          <t>德懋物業公司(111/08)管理服務費：社區經理乙員，社區秘書乙員，警衛服務人員兩哨。總計$375,900元</t>
        </is>
      </c>
      <c r="C547" t="n">
        <v>375900</v>
      </c>
      <c r="D547" t="inlineStr">
        <is>
          <t>其他支出</t>
        </is>
      </c>
      <c r="E547" t="inlineStr">
        <is>
          <t>固定</t>
        </is>
      </c>
    </row>
    <row r="548" ht="16.5" customHeight="1" s="84">
      <c r="A548" t="inlineStr">
        <is>
          <t>2022-08</t>
        </is>
      </c>
      <c r="B548" t="inlineStr">
        <is>
          <t>順達清潔服務費(111/08) 總計$100,500元</t>
        </is>
      </c>
      <c r="C548" t="n">
        <v>100500</v>
      </c>
      <c r="D548" t="inlineStr">
        <is>
          <t>清潔服務費</t>
        </is>
      </c>
      <c r="E548" t="inlineStr">
        <is>
          <t>固定</t>
        </is>
      </c>
    </row>
    <row r="549" ht="16.5" customHeight="1" s="84">
      <c r="A549" t="inlineStr">
        <is>
          <t>2022-08</t>
        </is>
      </c>
      <c r="B549" t="inlineStr">
        <is>
          <t>義明清潔服務費(111/08) 總計$100,500元</t>
        </is>
      </c>
      <c r="C549" t="n">
        <v>100500</v>
      </c>
      <c r="D549" t="inlineStr">
        <is>
          <t>清潔服務費</t>
        </is>
      </c>
      <c r="E549" t="inlineStr">
        <is>
          <t>固定</t>
        </is>
      </c>
    </row>
    <row r="550" ht="16.5" customHeight="1" s="84">
      <c r="A550" t="inlineStr">
        <is>
          <t>2022-08</t>
        </is>
      </c>
      <c r="B550" t="inlineStr">
        <is>
          <t>崇友電梯(111/08)電梯保養 總計$100,000元</t>
        </is>
      </c>
      <c r="C550" t="n">
        <v>100000</v>
      </c>
      <c r="D550" t="inlineStr">
        <is>
          <t>電梯保養與修繕</t>
        </is>
      </c>
      <c r="E550" t="inlineStr">
        <is>
          <t>固定</t>
        </is>
      </c>
    </row>
    <row r="551" ht="16.5" customHeight="1" s="84">
      <c r="A551" t="inlineStr">
        <is>
          <t>2022-08</t>
        </is>
      </c>
      <c r="B551" t="inlineStr">
        <is>
          <t>AED(111/09)租賃費 總計$1,500元</t>
        </is>
      </c>
      <c r="C551" t="n">
        <v>1500</v>
      </c>
      <c r="D551" t="inlineStr">
        <is>
          <t>機電/消防/弱電/AED</t>
        </is>
      </c>
      <c r="E551" t="inlineStr">
        <is>
          <t>固定</t>
        </is>
      </c>
    </row>
    <row r="552" ht="16.5" customHeight="1" s="84">
      <c r="A552" t="inlineStr">
        <is>
          <t>2022-08</t>
        </is>
      </c>
      <c r="B552" t="inlineStr">
        <is>
          <t>御品寬頻(111/08)網路服務租賃 總計$9,450元</t>
        </is>
      </c>
      <c r="C552" t="n">
        <v>9450</v>
      </c>
      <c r="D552" t="inlineStr">
        <is>
          <t>機電/消防/弱電/AED</t>
        </is>
      </c>
      <c r="E552" t="inlineStr">
        <is>
          <t>固定</t>
        </is>
      </c>
    </row>
    <row r="553" ht="16.5" customHeight="1" s="84">
      <c r="A553" t="inlineStr">
        <is>
          <t>2022-08</t>
        </is>
      </c>
      <c r="B553" t="inlineStr">
        <is>
          <t>新鑫堯(111/08) 廢棄物清除$27,000元 清潔費$5,000元 總計$32,000元</t>
        </is>
      </c>
      <c r="C553" t="n">
        <v>32000</v>
      </c>
      <c r="D553" t="inlineStr">
        <is>
          <t>垃圾廢棄物/園藝</t>
        </is>
      </c>
      <c r="E553" t="inlineStr">
        <is>
          <t>固定</t>
        </is>
      </c>
    </row>
    <row r="554" ht="16.5" customHeight="1" s="84">
      <c r="A554" t="inlineStr">
        <is>
          <t>2022-08</t>
        </is>
      </c>
      <c r="B554" t="inlineStr">
        <is>
          <t>太古意門禁維護檢點費(111/08) 總計$10,000元</t>
        </is>
      </c>
      <c r="C554" t="n">
        <v>10000</v>
      </c>
      <c r="D554" t="inlineStr">
        <is>
          <t>機電/消防/弱電/AED</t>
        </is>
      </c>
      <c r="E554" t="inlineStr">
        <is>
          <t>固定</t>
        </is>
      </c>
    </row>
    <row r="555" ht="16.5" customHeight="1" s="84">
      <c r="A555" t="inlineStr">
        <is>
          <t>2022-08</t>
        </is>
      </c>
      <c r="B555" t="inlineStr">
        <is>
          <t>鑫禾機電保養費(111/08) 總計$28,000元</t>
        </is>
      </c>
      <c r="C555" t="n">
        <v>28000</v>
      </c>
      <c r="D555" t="inlineStr">
        <is>
          <t>機電/消防/弱電/AED</t>
        </is>
      </c>
      <c r="E555" t="inlineStr">
        <is>
          <t>固定</t>
        </is>
      </c>
    </row>
    <row r="556" ht="16.5" customHeight="1" s="84">
      <c r="A556" t="inlineStr">
        <is>
          <t>2022-08</t>
        </is>
      </c>
      <c r="B556" t="inlineStr">
        <is>
          <t>景輝-園藝定期保養(111/08) 總計$28,000元</t>
        </is>
      </c>
      <c r="C556" t="n">
        <v>28000</v>
      </c>
      <c r="D556" t="inlineStr">
        <is>
          <t>垃圾廢棄物/園藝</t>
        </is>
      </c>
      <c r="E556" t="inlineStr">
        <is>
          <t>固定</t>
        </is>
      </c>
    </row>
    <row r="557" ht="16.5" customHeight="1" s="84">
      <c r="A557" t="inlineStr">
        <is>
          <t>2022-08</t>
        </is>
      </c>
      <c r="B557" t="inlineStr">
        <is>
          <t>新鑫堯7月增桶 7月增桶$600*7=$4,200元 總計$4,200元</t>
        </is>
      </c>
      <c r="C557" t="n">
        <v>4200</v>
      </c>
      <c r="D557" t="inlineStr">
        <is>
          <t>垃圾廢棄物/園藝</t>
        </is>
      </c>
      <c r="E557" t="inlineStr">
        <is>
          <t>非固定</t>
        </is>
      </c>
    </row>
    <row r="558" ht="16.5" customHeight="1" s="84">
      <c r="A558" t="inlineStr">
        <is>
          <t>2022-08</t>
        </is>
      </c>
      <c r="B558" t="inlineStr">
        <is>
          <t>鑫禾設備修繕 1.LED層板燈$300元 2.LED杯燈$350*6=$2,100元 3.LED球泡燈$110*5=$550元 4.電燈感應器$650元 5.管路漏水重新配管$5,400元 總計$9,000元</t>
        </is>
      </c>
      <c r="C558" t="n">
        <v>9000</v>
      </c>
      <c r="D558" t="inlineStr">
        <is>
          <t>工程維修/購置</t>
        </is>
      </c>
      <c r="E558" t="inlineStr">
        <is>
          <t>非固定</t>
        </is>
      </c>
    </row>
    <row r="559" ht="16.5" customHeight="1" s="84">
      <c r="A559" t="inlineStr">
        <is>
          <t>2022-08</t>
        </is>
      </c>
      <c r="B559" t="inlineStr">
        <is>
          <t>鋐隆清潔用品 08/15 1.大白102*115 25KG $1,150元 2.芳柔環保擦手紙$480*2=$960元 3.小捲衛生紙芙蓉$480*2=$960元 4.抽取衛生紙五月花$630元 5.5%稅金$185元 總計$3,885元</t>
        </is>
      </c>
      <c r="C559" t="n">
        <v>3885</v>
      </c>
      <c r="D559" t="inlineStr">
        <is>
          <t>清潔服務費</t>
        </is>
      </c>
      <c r="E559" t="inlineStr">
        <is>
          <t>非固定</t>
        </is>
      </c>
    </row>
    <row r="560" ht="16.5" customHeight="1" s="84">
      <c r="A560" t="inlineStr">
        <is>
          <t>2022-08</t>
        </is>
      </c>
      <c r="B560" t="inlineStr">
        <is>
          <t>崇友電梯設備維修 丁棟貨梯(#7) CCU基板$7,000元 5%稅金$350元 總計$7,350元</t>
        </is>
      </c>
      <c r="C560" t="n">
        <v>7350</v>
      </c>
      <c r="D560" t="inlineStr">
        <is>
          <t>電梯保養與修繕</t>
        </is>
      </c>
      <c r="E560" t="inlineStr">
        <is>
          <t>非固定</t>
        </is>
      </c>
      <c r="F560" t="inlineStr">
        <is>
          <t>電梯</t>
        </is>
      </c>
    </row>
    <row r="561" ht="16.5" customHeight="1" s="84">
      <c r="A561" t="inlineStr">
        <is>
          <t>2022-08</t>
        </is>
      </c>
      <c r="B561" t="inlineStr">
        <is>
          <t>崇友電梯設備維修 丁棟貨梯(#7) HCD顯示器，微壓按鈕(上)$3,700元 5%稅金$185元 總計$3,885元</t>
        </is>
      </c>
      <c r="C561" t="n">
        <v>3885</v>
      </c>
      <c r="D561" t="inlineStr">
        <is>
          <t>電梯保養與修繕</t>
        </is>
      </c>
      <c r="E561" t="inlineStr">
        <is>
          <t>非固定</t>
        </is>
      </c>
      <c r="F561" t="inlineStr">
        <is>
          <t>電梯</t>
        </is>
      </c>
    </row>
    <row r="562" ht="16.5" customHeight="1" s="84">
      <c r="A562" t="inlineStr">
        <is>
          <t>2022-08</t>
        </is>
      </c>
      <c r="B562" t="inlineStr">
        <is>
          <t>台豐石材 樹屋下台階漏水修繕 4/18打石$2,500元 5/3打石$1,250元 總計$3,750元</t>
        </is>
      </c>
      <c r="C562" t="n">
        <v>3750</v>
      </c>
      <c r="D562" t="inlineStr">
        <is>
          <t>其他支出</t>
        </is>
      </c>
      <c r="E562" t="inlineStr">
        <is>
          <t>非固定</t>
        </is>
      </c>
    </row>
    <row r="563" ht="16.5" customHeight="1" s="84">
      <c r="A563" t="inlineStr">
        <is>
          <t>2022-08</t>
        </is>
      </c>
      <c r="B563" t="inlineStr">
        <is>
          <t>揚信金屬行 111年6月28日維修(保固兩年) 1.一樓大廳地絞鍊更換$13,500元 2.公設玻璃鏡珠更換$400*6=$2,400元 總計$15,900元</t>
        </is>
      </c>
      <c r="C563" t="n">
        <v>15900</v>
      </c>
      <c r="D563" t="inlineStr">
        <is>
          <t>工程維修/購置</t>
        </is>
      </c>
      <c r="E563" t="inlineStr">
        <is>
          <t>非固定</t>
        </is>
      </c>
    </row>
    <row r="564" ht="16.5" customHeight="1" s="84">
      <c r="A564" t="inlineStr">
        <is>
          <t>2022-08</t>
        </is>
      </c>
      <c r="B564" t="inlineStr">
        <is>
          <t>一九衛生工程行 (例行年度抽除四次) 清理化糞池$1,500*14.95噸=$22,425元 總計$22,425元</t>
        </is>
      </c>
      <c r="C564" t="n">
        <v>22425</v>
      </c>
      <c r="D564" t="inlineStr">
        <is>
          <t>垃圾廢棄物/園藝</t>
        </is>
      </c>
      <c r="E564" t="inlineStr">
        <is>
          <t>非固定</t>
        </is>
      </c>
    </row>
    <row r="565" ht="15" customHeight="1" s="84">
      <c r="A565" t="inlineStr">
        <is>
          <t>2022-08</t>
        </is>
      </c>
      <c r="B565" t="inlineStr">
        <is>
          <t>蔡甫欣律師事務所 法律顧問費用(111.8.1~112.7.31) 總計$25,000元</t>
        </is>
      </c>
      <c r="C565" t="n">
        <v>25000</v>
      </c>
      <c r="D565" t="inlineStr">
        <is>
          <t>行政/會議/律師</t>
        </is>
      </c>
      <c r="E565" t="inlineStr">
        <is>
          <t>非固定</t>
        </is>
      </c>
    </row>
    <row r="566" ht="15" customHeight="1" s="84">
      <c r="A566" t="inlineStr">
        <is>
          <t>2022-08</t>
        </is>
      </c>
      <c r="B566" t="inlineStr">
        <is>
          <t>ETAG住戶第一次免費領取費用回補 $80元(A21) 總計$80元</t>
        </is>
      </c>
      <c r="C566" t="n">
        <v>80</v>
      </c>
      <c r="D566" t="inlineStr">
        <is>
          <t>內部轉帳</t>
        </is>
      </c>
      <c r="E566" t="inlineStr">
        <is>
          <t>非固定</t>
        </is>
      </c>
    </row>
    <row r="567" ht="16.5" customHeight="1" s="84">
      <c r="A567" t="inlineStr">
        <is>
          <t>2022-08</t>
        </is>
      </c>
      <c r="B567" t="inlineStr">
        <is>
          <t>I11住戶溢繳管理費 管理費應繳金額$7,722元 111.7.25繳交$13,899元，溢繳$6,177元 本月退匯 總計$6,177元</t>
        </is>
      </c>
      <c r="C567" t="n">
        <v>6177</v>
      </c>
      <c r="D567" t="inlineStr">
        <is>
          <t>其他支出</t>
        </is>
      </c>
      <c r="E567" t="inlineStr">
        <is>
          <t>非固定</t>
        </is>
      </c>
    </row>
    <row r="568" ht="16.5" customHeight="1" s="84">
      <c r="A568" t="inlineStr">
        <is>
          <t>2022-08</t>
        </is>
      </c>
      <c r="B568" t="inlineStr">
        <is>
          <t>廣中工程 111.08.13乙棟E戶管路疏通處理工程 總計$5,000元</t>
        </is>
      </c>
      <c r="C568" t="n">
        <v>5000</v>
      </c>
      <c r="D568" t="inlineStr">
        <is>
          <t>工程維修/購置</t>
        </is>
      </c>
      <c r="E568" t="inlineStr">
        <is>
          <t>非固定</t>
        </is>
      </c>
    </row>
    <row r="569" ht="16.5" customHeight="1" s="84">
      <c r="A569" t="inlineStr">
        <is>
          <t>2022-08</t>
        </is>
      </c>
      <c r="B569" t="inlineStr">
        <is>
          <t>社區電話費(5630533)</t>
        </is>
      </c>
      <c r="C569" t="n">
        <v>753</v>
      </c>
      <c r="D569" t="inlineStr">
        <is>
          <t>電話/網路費</t>
        </is>
      </c>
      <c r="E569" t="inlineStr">
        <is>
          <t>非固定</t>
        </is>
      </c>
    </row>
    <row r="570" ht="16.5" customHeight="1" s="84">
      <c r="A570" t="inlineStr">
        <is>
          <t>2022-08</t>
        </is>
      </c>
      <c r="B570" t="inlineStr">
        <is>
          <t>社區網路費(Y123617)</t>
        </is>
      </c>
      <c r="C570" t="n">
        <v>2199</v>
      </c>
      <c r="D570" t="inlineStr">
        <is>
          <t>電話/網路費</t>
        </is>
      </c>
      <c r="E570" t="inlineStr">
        <is>
          <t>非固定</t>
        </is>
      </c>
    </row>
    <row r="571" ht="16.5" customHeight="1" s="84">
      <c r="A571" t="inlineStr">
        <is>
          <t>2022-08</t>
        </is>
      </c>
      <c r="B571" t="inlineStr">
        <is>
          <t>社區網路費(Y174790)</t>
        </is>
      </c>
      <c r="C571" t="n">
        <v>1899</v>
      </c>
      <c r="D571" t="inlineStr">
        <is>
          <t>電話/網路費</t>
        </is>
      </c>
      <c r="E571" t="inlineStr">
        <is>
          <t>非固定</t>
        </is>
      </c>
    </row>
    <row r="572" ht="16.5" customHeight="1" s="84">
      <c r="A572" t="inlineStr">
        <is>
          <t>2022-08</t>
        </is>
      </c>
      <c r="B572" t="inlineStr">
        <is>
          <t>公共電費</t>
        </is>
      </c>
      <c r="C572" t="n">
        <v>109759</v>
      </c>
      <c r="D572" t="inlineStr">
        <is>
          <t>公共水電瓦斯</t>
        </is>
      </c>
      <c r="E572" t="inlineStr">
        <is>
          <t>非固定</t>
        </is>
      </c>
    </row>
    <row r="573" ht="16.5" customHeight="1" s="84">
      <c r="A573" t="inlineStr">
        <is>
          <t>2022-08</t>
        </is>
      </c>
      <c r="B573" t="inlineStr">
        <is>
          <t>自來水費</t>
        </is>
      </c>
      <c r="C573" t="n">
        <v>3982</v>
      </c>
      <c r="D573" t="inlineStr">
        <is>
          <t>公共水電瓦斯</t>
        </is>
      </c>
      <c r="E573" t="inlineStr">
        <is>
          <t>非固定</t>
        </is>
      </c>
    </row>
    <row r="574" ht="16.5" customHeight="1" s="84">
      <c r="A574" t="inlineStr">
        <is>
          <t>2022-09</t>
        </is>
      </c>
      <c r="B574" t="inlineStr">
        <is>
          <t>零用金撥補(111/09) 總計$11,202元</t>
        </is>
      </c>
      <c r="C574" t="n">
        <v>11202</v>
      </c>
      <c r="D574" t="inlineStr">
        <is>
          <t>內部轉帳</t>
        </is>
      </c>
      <c r="E574" t="inlineStr">
        <is>
          <t>非固定</t>
        </is>
      </c>
    </row>
    <row r="575" ht="16.5" customHeight="1" s="84">
      <c r="A575" t="inlineStr">
        <is>
          <t>2022-09</t>
        </is>
      </c>
      <c r="B575" t="inlineStr">
        <is>
          <t>管委會出席費用(預領) 總計$8,000元</t>
        </is>
      </c>
      <c r="C575" t="n">
        <v>8000</v>
      </c>
      <c r="D575" t="inlineStr">
        <is>
          <t>內部轉帳</t>
        </is>
      </c>
      <c r="E575" t="inlineStr">
        <is>
          <t>非固定</t>
        </is>
      </c>
    </row>
    <row r="576" ht="16.5" customHeight="1" s="84">
      <c r="A576" t="inlineStr">
        <is>
          <t>2022-09</t>
        </is>
      </c>
      <c r="B576" t="inlineStr">
        <is>
          <t>電梯專用款撥補(111/09) 總計$50,000元</t>
        </is>
      </c>
      <c r="C576" t="n">
        <v>50000</v>
      </c>
      <c r="D576" t="inlineStr">
        <is>
          <t>內部轉帳</t>
        </is>
      </c>
      <c r="E576" t="inlineStr">
        <is>
          <t>非固定</t>
        </is>
      </c>
    </row>
    <row r="577" ht="16.5" customHeight="1" s="84">
      <c r="A577" t="inlineStr">
        <is>
          <t>2022-09</t>
        </is>
      </c>
      <c r="B577" t="inlineStr">
        <is>
          <t>德懋物業公司(111/09)管理服務費：社區經理乙員，社區秘書乙員，警衛服務人員兩哨。總計$375,900元</t>
        </is>
      </c>
      <c r="C577" t="n">
        <v>375900</v>
      </c>
      <c r="D577" t="inlineStr">
        <is>
          <t>其他支出</t>
        </is>
      </c>
      <c r="E577" t="inlineStr">
        <is>
          <t>固定</t>
        </is>
      </c>
    </row>
    <row r="578" ht="16.5" customHeight="1" s="84">
      <c r="A578" t="inlineStr">
        <is>
          <t>2022-09</t>
        </is>
      </c>
      <c r="B578" t="inlineStr">
        <is>
          <t>順達清潔服務費(111/09) 總計$100,500元</t>
        </is>
      </c>
      <c r="C578" t="n">
        <v>100500</v>
      </c>
      <c r="D578" t="inlineStr">
        <is>
          <t>清潔服務費</t>
        </is>
      </c>
      <c r="E578" t="inlineStr">
        <is>
          <t>固定</t>
        </is>
      </c>
    </row>
    <row r="579" ht="16.5" customHeight="1" s="84">
      <c r="A579" t="inlineStr">
        <is>
          <t>2022-09</t>
        </is>
      </c>
      <c r="B579" t="inlineStr">
        <is>
          <t>義明清潔服務費(111/09) 總計$100,500元</t>
        </is>
      </c>
      <c r="C579" t="n">
        <v>100500</v>
      </c>
      <c r="D579" t="inlineStr">
        <is>
          <t>清潔服務費</t>
        </is>
      </c>
      <c r="E579" t="inlineStr">
        <is>
          <t>固定</t>
        </is>
      </c>
    </row>
    <row r="580" ht="16.5" customHeight="1" s="84">
      <c r="A580" t="inlineStr">
        <is>
          <t>2022-09</t>
        </is>
      </c>
      <c r="B580" t="inlineStr">
        <is>
          <t>崇友電梯(111/09)電梯保養 總計$100,000元</t>
        </is>
      </c>
      <c r="C580" t="n">
        <v>100000</v>
      </c>
      <c r="D580" t="inlineStr">
        <is>
          <t>電梯保養與修繕</t>
        </is>
      </c>
      <c r="E580" t="inlineStr">
        <is>
          <t>固定</t>
        </is>
      </c>
    </row>
    <row r="581" ht="16.5" customHeight="1" s="84">
      <c r="A581" t="inlineStr">
        <is>
          <t>2022-09</t>
        </is>
      </c>
      <c r="B581" t="inlineStr">
        <is>
          <t>AED(111/10)租賃費 總計$1,500元</t>
        </is>
      </c>
      <c r="C581" t="n">
        <v>1500</v>
      </c>
      <c r="D581" t="inlineStr">
        <is>
          <t>機電/消防/弱電/AED</t>
        </is>
      </c>
      <c r="E581" t="inlineStr">
        <is>
          <t>固定</t>
        </is>
      </c>
    </row>
    <row r="582" ht="16.5" customHeight="1" s="84">
      <c r="A582" t="inlineStr">
        <is>
          <t>2022-09</t>
        </is>
      </c>
      <c r="B582" t="inlineStr">
        <is>
          <t>御品寬頻(111/09)網路服務租賃 總計$9,450元</t>
        </is>
      </c>
      <c r="C582" t="n">
        <v>9450</v>
      </c>
      <c r="D582" t="inlineStr">
        <is>
          <t>機電/消防/弱電/AED</t>
        </is>
      </c>
      <c r="E582" t="inlineStr">
        <is>
          <t>固定</t>
        </is>
      </c>
    </row>
    <row r="583" ht="16.5" customHeight="1" s="84">
      <c r="A583" t="inlineStr">
        <is>
          <t>2022-09</t>
        </is>
      </c>
      <c r="B583" t="inlineStr">
        <is>
          <t>新鑫堯(111/09) 廢棄物清除$27,000元 清潔費$5,000元 總計$32,000元</t>
        </is>
      </c>
      <c r="C583" t="n">
        <v>32000</v>
      </c>
      <c r="D583" t="inlineStr">
        <is>
          <t>垃圾廢棄物/園藝</t>
        </is>
      </c>
      <c r="E583" t="inlineStr">
        <is>
          <t>固定</t>
        </is>
      </c>
    </row>
    <row r="584" ht="16.5" customHeight="1" s="84">
      <c r="A584" t="inlineStr">
        <is>
          <t>2022-09</t>
        </is>
      </c>
      <c r="B584" t="inlineStr">
        <is>
          <t>太古意門禁維護檢點費(111/09) 總計$10,000元</t>
        </is>
      </c>
      <c r="C584" t="n">
        <v>10000</v>
      </c>
      <c r="D584" t="inlineStr">
        <is>
          <t>機電/消防/弱電/AED</t>
        </is>
      </c>
      <c r="E584" t="inlineStr">
        <is>
          <t>固定</t>
        </is>
      </c>
    </row>
    <row r="585" ht="16.5" customHeight="1" s="84">
      <c r="A585" t="inlineStr">
        <is>
          <t>2022-09</t>
        </is>
      </c>
      <c r="B585" t="inlineStr">
        <is>
          <t>鑫禾機電保養費(111/09) 總計$28,000元</t>
        </is>
      </c>
      <c r="C585" t="n">
        <v>28000</v>
      </c>
      <c r="D585" t="inlineStr">
        <is>
          <t>機電/消防/弱電/AED</t>
        </is>
      </c>
      <c r="E585" t="inlineStr">
        <is>
          <t>固定</t>
        </is>
      </c>
    </row>
    <row r="586" ht="16.5" customHeight="1" s="84">
      <c r="A586" t="inlineStr">
        <is>
          <t>2022-09</t>
        </is>
      </c>
      <c r="B586" t="inlineStr">
        <is>
          <t>景輝-園藝定期保養(111/09) 總計$28,000元</t>
        </is>
      </c>
      <c r="C586" t="n">
        <v>28000</v>
      </c>
      <c r="D586" t="inlineStr">
        <is>
          <t>垃圾廢棄物/園藝</t>
        </is>
      </c>
      <c r="E586" t="inlineStr">
        <is>
          <t>固定</t>
        </is>
      </c>
    </row>
    <row r="587" ht="16.5" customHeight="1" s="84">
      <c r="A587" t="inlineStr">
        <is>
          <t>2022-09</t>
        </is>
      </c>
      <c r="B587" t="inlineStr">
        <is>
          <t>新鑫堯8月增桶 8月增桶$600*8=$4,800元 總計$4,800元</t>
        </is>
      </c>
      <c r="C587" t="n">
        <v>4800</v>
      </c>
      <c r="D587" t="inlineStr">
        <is>
          <t>垃圾廢棄物/園藝</t>
        </is>
      </c>
      <c r="E587" t="inlineStr">
        <is>
          <t>非固定</t>
        </is>
      </c>
    </row>
    <row r="588" ht="16.5" customHeight="1" s="84">
      <c r="A588" t="inlineStr">
        <is>
          <t>2022-09</t>
        </is>
      </c>
      <c r="B588" t="inlineStr">
        <is>
          <t>鑫禾設備修繕 1.LED杯燈$350*5=$1,750元 2.電燈感應器$650*2=$1,300元 3.LED層板燈$300*5=$1,500元 4.LED球泡燈$110元 總計$4,660元</t>
        </is>
      </c>
      <c r="C588" t="n">
        <v>4660</v>
      </c>
      <c r="D588" t="inlineStr">
        <is>
          <t>工程維修/購置</t>
        </is>
      </c>
      <c r="E588" t="inlineStr">
        <is>
          <t>非固定</t>
        </is>
      </c>
    </row>
    <row r="589" ht="16.5" customHeight="1" s="84">
      <c r="A589" t="inlineStr">
        <is>
          <t>2022-09</t>
        </is>
      </c>
      <c r="B589" t="inlineStr">
        <is>
          <t>崇友電梯設備維修 甲棟貨梯(#2) DD門控制器，PMD1{PG}轉接線$14,500元 5%稅金$725元 總計$15,225元</t>
        </is>
      </c>
      <c r="C589" t="n">
        <v>15225</v>
      </c>
      <c r="D589" t="inlineStr">
        <is>
          <t>電梯保養與修繕</t>
        </is>
      </c>
      <c r="E589" t="inlineStr">
        <is>
          <t>非固定</t>
        </is>
      </c>
      <c r="F589" t="inlineStr">
        <is>
          <t>電梯</t>
        </is>
      </c>
    </row>
    <row r="590" ht="16.5" customHeight="1" s="84">
      <c r="A590" t="inlineStr">
        <is>
          <t>2022-09</t>
        </is>
      </c>
      <c r="B590" t="inlineStr">
        <is>
          <t>崇友電梯設備維修 戊棟貨梯(#9) 制動單元$12,000元 5%稅金$600元 總計$12,600元</t>
        </is>
      </c>
      <c r="C590" t="n">
        <v>12600</v>
      </c>
      <c r="D590" t="inlineStr">
        <is>
          <t>電梯保養與修繕</t>
        </is>
      </c>
      <c r="E590" t="inlineStr">
        <is>
          <t>非固定</t>
        </is>
      </c>
      <c r="F590" t="inlineStr">
        <is>
          <t>電梯</t>
        </is>
      </c>
    </row>
    <row r="591" ht="15" customHeight="1" s="84">
      <c r="A591" t="inlineStr">
        <is>
          <t>2022-09</t>
        </is>
      </c>
      <c r="B591" t="inlineStr">
        <is>
          <t>崇友電梯設備維修 甲棟貨梯(#2)、乙棟無障礙梯(#3) 單多局送收話器、6微壓按鈕$2,800元 5%稅金$140元 總計$2,940元</t>
        </is>
      </c>
      <c r="C591" t="n">
        <v>2940</v>
      </c>
      <c r="D591" t="inlineStr">
        <is>
          <t>電梯保養與修繕</t>
        </is>
      </c>
      <c r="E591" t="inlineStr">
        <is>
          <t>非固定</t>
        </is>
      </c>
      <c r="F591" t="inlineStr">
        <is>
          <t>電梯</t>
        </is>
      </c>
    </row>
    <row r="592" ht="15" customHeight="1" s="84">
      <c r="A592" t="inlineStr">
        <is>
          <t>2022-09</t>
        </is>
      </c>
      <c r="B592" t="inlineStr">
        <is>
          <t>高潔企業社 環保室前地磚破裂，中庭廣場旁石板鬆脫及門把裝飾石條修繕 總計$15,000元</t>
        </is>
      </c>
      <c r="C592" t="n">
        <v>15000</v>
      </c>
      <c r="D592" t="inlineStr">
        <is>
          <t>其他支出</t>
        </is>
      </c>
      <c r="E592" t="inlineStr">
        <is>
          <t>非固定</t>
        </is>
      </c>
    </row>
    <row r="593" ht="16.5" customHeight="1" s="84">
      <c r="A593" t="inlineStr">
        <is>
          <t>2022-09</t>
        </is>
      </c>
      <c r="B593" t="inlineStr">
        <is>
          <t>興邦行水電 8/27甲棟A3通管 公用汙水幹管堵塞清道 總計$10,000元</t>
        </is>
      </c>
      <c r="C593" t="n">
        <v>10000</v>
      </c>
      <c r="D593" t="inlineStr">
        <is>
          <t>工程維修/購置</t>
        </is>
      </c>
      <c r="E593" t="inlineStr">
        <is>
          <t>非固定</t>
        </is>
      </c>
    </row>
    <row r="594" ht="16.5" customHeight="1" s="84">
      <c r="A594" t="inlineStr">
        <is>
          <t>2022-09</t>
        </is>
      </c>
      <c r="B594" t="inlineStr">
        <is>
          <t>興邦行水電 7/30 B1-612車位上方公用幹管清理工程 總計$8,000元</t>
        </is>
      </c>
      <c r="C594" t="n">
        <v>8000</v>
      </c>
      <c r="D594" t="inlineStr">
        <is>
          <t>工程維修/購置</t>
        </is>
      </c>
      <c r="E594" t="inlineStr">
        <is>
          <t>非固定</t>
        </is>
      </c>
    </row>
    <row r="595" ht="16.5" customHeight="1" s="84">
      <c r="A595" t="inlineStr">
        <is>
          <t>2022-09</t>
        </is>
      </c>
      <c r="B595" t="inlineStr">
        <is>
          <t>社區電話費(5630533)</t>
        </is>
      </c>
      <c r="C595" t="n">
        <v>1051</v>
      </c>
      <c r="D595" t="inlineStr">
        <is>
          <t>電話/網路費</t>
        </is>
      </c>
      <c r="E595" t="inlineStr">
        <is>
          <t>非固定</t>
        </is>
      </c>
    </row>
    <row r="596" ht="16.5" customHeight="1" s="84">
      <c r="A596" t="inlineStr">
        <is>
          <t>2022-09</t>
        </is>
      </c>
      <c r="B596" t="inlineStr">
        <is>
          <t>社區網路費(Y123617)</t>
        </is>
      </c>
      <c r="C596" t="n">
        <v>2199</v>
      </c>
      <c r="D596" t="inlineStr">
        <is>
          <t>電話/網路費</t>
        </is>
      </c>
      <c r="E596" t="inlineStr">
        <is>
          <t>非固定</t>
        </is>
      </c>
    </row>
    <row r="597" ht="16.5" customHeight="1" s="84">
      <c r="A597" t="inlineStr">
        <is>
          <t>2022-09</t>
        </is>
      </c>
      <c r="B597" t="inlineStr">
        <is>
          <t>社區網路費(Y174790)</t>
        </is>
      </c>
      <c r="C597" t="n">
        <v>1899</v>
      </c>
      <c r="D597" t="inlineStr">
        <is>
          <t>電話/網路費</t>
        </is>
      </c>
      <c r="E597" t="inlineStr">
        <is>
          <t>非固定</t>
        </is>
      </c>
    </row>
    <row r="598" ht="16.5" customHeight="1" s="84">
      <c r="A598" t="inlineStr">
        <is>
          <t>2022-09</t>
        </is>
      </c>
      <c r="B598" t="inlineStr">
        <is>
          <t>公共電費</t>
        </is>
      </c>
      <c r="C598" t="n">
        <v>114022</v>
      </c>
      <c r="D598" t="inlineStr">
        <is>
          <t>公共水電瓦斯</t>
        </is>
      </c>
      <c r="E598" t="inlineStr">
        <is>
          <t>非固定</t>
        </is>
      </c>
    </row>
    <row r="599" ht="16.5" customHeight="1" s="84">
      <c r="A599" t="inlineStr">
        <is>
          <t>2022-09</t>
        </is>
      </c>
      <c r="B599" t="inlineStr">
        <is>
          <t>自來水費</t>
        </is>
      </c>
      <c r="C599" t="n">
        <v>0</v>
      </c>
      <c r="D599" t="inlineStr">
        <is>
          <t>公共水電瓦斯</t>
        </is>
      </c>
      <c r="E599" t="inlineStr">
        <is>
          <t>非固定</t>
        </is>
      </c>
    </row>
    <row r="600" ht="16.5" customHeight="1" s="84">
      <c r="A600" t="inlineStr">
        <is>
          <t>2022-10</t>
        </is>
      </c>
      <c r="B600" t="inlineStr">
        <is>
          <t>零用金撥補(111/10) 總計$11,917元</t>
        </is>
      </c>
      <c r="C600" t="n">
        <v>11917</v>
      </c>
      <c r="D600" t="inlineStr">
        <is>
          <t>內部轉帳</t>
        </is>
      </c>
      <c r="E600" t="inlineStr">
        <is>
          <t>非固定</t>
        </is>
      </c>
    </row>
    <row r="601" ht="16.5" customHeight="1" s="84">
      <c r="A601" t="inlineStr">
        <is>
          <t>2022-10</t>
        </is>
      </c>
      <c r="B601" t="inlineStr">
        <is>
          <t>管委會出席費用(預領) 總計$8,000元</t>
        </is>
      </c>
      <c r="C601" t="n">
        <v>8000</v>
      </c>
      <c r="D601" t="inlineStr">
        <is>
          <t>內部轉帳</t>
        </is>
      </c>
      <c r="E601" t="inlineStr">
        <is>
          <t>非固定</t>
        </is>
      </c>
    </row>
    <row r="602" ht="16.5" customHeight="1" s="84">
      <c r="A602" t="inlineStr">
        <is>
          <t>2022-10</t>
        </is>
      </c>
      <c r="B602" t="inlineStr">
        <is>
          <t>電梯專用款撥補(111/10) 總計$50,000元</t>
        </is>
      </c>
      <c r="C602" t="n">
        <v>50000</v>
      </c>
      <c r="D602" t="inlineStr">
        <is>
          <t>內部轉帳</t>
        </is>
      </c>
      <c r="E602" t="inlineStr">
        <is>
          <t>非固定</t>
        </is>
      </c>
    </row>
    <row r="603" ht="16.5" customHeight="1" s="84">
      <c r="A603" t="inlineStr">
        <is>
          <t>2022-10</t>
        </is>
      </c>
      <c r="B603" t="inlineStr">
        <is>
          <t>德懋物業公司(111/10)管理服務費：社區經理乙員，社區秘書乙員，警衛服務人員兩哨。總計$375,900元</t>
        </is>
      </c>
      <c r="C603" t="n">
        <v>375900</v>
      </c>
      <c r="D603" t="inlineStr">
        <is>
          <t>其他支出</t>
        </is>
      </c>
      <c r="E603" t="inlineStr">
        <is>
          <t>固定</t>
        </is>
      </c>
    </row>
    <row r="604" ht="16.5" customHeight="1" s="84">
      <c r="A604" t="inlineStr">
        <is>
          <t>2022-10</t>
        </is>
      </c>
      <c r="B604" t="inlineStr">
        <is>
          <t>順達清潔服務費(111/10) 總計$100,500元</t>
        </is>
      </c>
      <c r="C604" t="n">
        <v>100500</v>
      </c>
      <c r="D604" t="inlineStr">
        <is>
          <t>清潔服務費</t>
        </is>
      </c>
      <c r="E604" t="inlineStr">
        <is>
          <t>固定</t>
        </is>
      </c>
    </row>
    <row r="605" ht="16.5" customHeight="1" s="84">
      <c r="A605" t="inlineStr">
        <is>
          <t>2022-10</t>
        </is>
      </c>
      <c r="B605" t="inlineStr">
        <is>
          <t>義明清潔服務費(111/10) 總計$100,500元</t>
        </is>
      </c>
      <c r="C605" t="n">
        <v>100500</v>
      </c>
      <c r="D605" t="inlineStr">
        <is>
          <t>清潔服務費</t>
        </is>
      </c>
      <c r="E605" t="inlineStr">
        <is>
          <t>固定</t>
        </is>
      </c>
    </row>
    <row r="606" ht="16.5" customHeight="1" s="84">
      <c r="A606" t="inlineStr">
        <is>
          <t>2022-10</t>
        </is>
      </c>
      <c r="B606" t="inlineStr">
        <is>
          <t>崇友電梯(111/10)電梯保養 總計$100,000元</t>
        </is>
      </c>
      <c r="C606" t="n">
        <v>100000</v>
      </c>
      <c r="D606" t="inlineStr">
        <is>
          <t>電梯保養與修繕</t>
        </is>
      </c>
      <c r="E606" t="inlineStr">
        <is>
          <t>固定</t>
        </is>
      </c>
    </row>
    <row r="607" ht="16.5" customHeight="1" s="84">
      <c r="A607" t="inlineStr">
        <is>
          <t>2022-10</t>
        </is>
      </c>
      <c r="B607" t="inlineStr">
        <is>
          <t>AED(111/11)租賃費 總計$1,500元</t>
        </is>
      </c>
      <c r="C607" t="n">
        <v>1500</v>
      </c>
      <c r="D607" t="inlineStr">
        <is>
          <t>機電/消防/弱電/AED</t>
        </is>
      </c>
      <c r="E607" t="inlineStr">
        <is>
          <t>固定</t>
        </is>
      </c>
    </row>
    <row r="608" ht="16.5" customHeight="1" s="84">
      <c r="A608" t="inlineStr">
        <is>
          <t>2022-10</t>
        </is>
      </c>
      <c r="B608" t="inlineStr">
        <is>
          <t>御品寬頻(111/10)網路服務租賃 總計$9,450元</t>
        </is>
      </c>
      <c r="C608" t="n">
        <v>9450</v>
      </c>
      <c r="D608" t="inlineStr">
        <is>
          <t>機電/消防/弱電/AED</t>
        </is>
      </c>
      <c r="E608" t="inlineStr">
        <is>
          <t>固定</t>
        </is>
      </c>
    </row>
    <row r="609" ht="16.5" customHeight="1" s="84">
      <c r="A609" t="inlineStr">
        <is>
          <t>2022-10</t>
        </is>
      </c>
      <c r="B609" t="inlineStr">
        <is>
          <t>新鑫堯(111/10) 廢棄物清除$27,000元 清潔費$5,000元 總計$32,000元</t>
        </is>
      </c>
      <c r="C609" t="n">
        <v>32000</v>
      </c>
      <c r="D609" t="inlineStr">
        <is>
          <t>垃圾廢棄物/園藝</t>
        </is>
      </c>
      <c r="E609" t="inlineStr">
        <is>
          <t>固定</t>
        </is>
      </c>
    </row>
    <row r="610" ht="16.5" customHeight="1" s="84">
      <c r="A610" t="inlineStr">
        <is>
          <t>2022-10</t>
        </is>
      </c>
      <c r="B610" t="inlineStr">
        <is>
          <t>太古意門禁維護檢點費(111/10) 總計$10,000元</t>
        </is>
      </c>
      <c r="C610" t="n">
        <v>10000</v>
      </c>
      <c r="D610" t="inlineStr">
        <is>
          <t>機電/消防/弱電/AED</t>
        </is>
      </c>
      <c r="E610" t="inlineStr">
        <is>
          <t>固定</t>
        </is>
      </c>
    </row>
    <row r="611" ht="16.5" customHeight="1" s="84">
      <c r="A611" t="inlineStr">
        <is>
          <t>2022-10</t>
        </is>
      </c>
      <c r="B611" t="inlineStr">
        <is>
          <t>鑫禾機電保養費(111/10) 總計$28,000元</t>
        </is>
      </c>
      <c r="C611" t="n">
        <v>28000</v>
      </c>
      <c r="D611" t="inlineStr">
        <is>
          <t>機電/消防/弱電/AED</t>
        </is>
      </c>
      <c r="E611" t="inlineStr">
        <is>
          <t>固定</t>
        </is>
      </c>
    </row>
    <row r="612" ht="16.5" customHeight="1" s="84">
      <c r="A612" t="inlineStr">
        <is>
          <t>2022-10</t>
        </is>
      </c>
      <c r="B612" t="inlineStr">
        <is>
          <t>景輝-園藝定期保養(111/10) 總計$28,000元</t>
        </is>
      </c>
      <c r="C612" t="n">
        <v>28000</v>
      </c>
      <c r="D612" t="inlineStr">
        <is>
          <t>垃圾廢棄物/園藝</t>
        </is>
      </c>
      <c r="E612" t="inlineStr">
        <is>
          <t>固定</t>
        </is>
      </c>
    </row>
    <row r="613" ht="16.5" customHeight="1" s="84">
      <c r="A613" t="inlineStr">
        <is>
          <t>2022-10</t>
        </is>
      </c>
      <c r="B613" t="inlineStr">
        <is>
          <t>新鑫堯9月增桶 8月增桶$600*9=$5,400元 總計$5,400元</t>
        </is>
      </c>
      <c r="C613" t="n">
        <v>5400</v>
      </c>
      <c r="D613" t="inlineStr">
        <is>
          <t>垃圾廢棄物/園藝</t>
        </is>
      </c>
      <c r="E613" t="inlineStr">
        <is>
          <t>非固定</t>
        </is>
      </c>
    </row>
    <row r="614" ht="16.5" customHeight="1" s="84">
      <c r="A614" t="inlineStr">
        <is>
          <t>2022-10</t>
        </is>
      </c>
      <c r="B614" t="inlineStr">
        <is>
          <t>鑫禾設備修繕 1.電梯無熔絲開關更換(100A)$3,600元 2.電燈感應器$650元 3.LED層板燈$300元 4.LED球泡燈$110*6=$660元 5.LED杯燈$350*3=$1,050元 總計$6,260元</t>
        </is>
      </c>
      <c r="C614" t="n">
        <v>6260</v>
      </c>
      <c r="D614" t="inlineStr">
        <is>
          <t>工程維修/購置</t>
        </is>
      </c>
      <c r="E614" t="inlineStr">
        <is>
          <t>非固定</t>
        </is>
      </c>
    </row>
    <row r="615" ht="16.5" customHeight="1" s="84">
      <c r="A615" t="inlineStr">
        <is>
          <t>2022-10</t>
        </is>
      </c>
      <c r="B615" t="inlineStr">
        <is>
          <t>鑫禾設備修繕 1.消毒放流管路修改$24,762元 2.LED杯燈$350*7=$2,450元 3.LED層板燈$300*3=$900元 4.電燈感應器$650*6=$3,900元 總計$32,012元</t>
        </is>
      </c>
      <c r="C615" t="n">
        <v>32012</v>
      </c>
      <c r="D615" t="inlineStr">
        <is>
          <t>工程維修/購置</t>
        </is>
      </c>
      <c r="E615" t="inlineStr">
        <is>
          <t>非固定</t>
        </is>
      </c>
    </row>
    <row r="616" ht="16.5" customHeight="1" s="84">
      <c r="A616" t="inlineStr">
        <is>
          <t>2022-10</t>
        </is>
      </c>
      <c r="B616" t="inlineStr">
        <is>
          <t>鑫禾設備修繕 1.條燈$5,000元 2.球閥$$2,000元 3.條燈變壓器$1,000元 總計$8,000元</t>
        </is>
      </c>
      <c r="C616" t="n">
        <v>8000</v>
      </c>
      <c r="D616" t="inlineStr">
        <is>
          <t>工程維修/購置</t>
        </is>
      </c>
      <c r="E616" t="inlineStr">
        <is>
          <t>非固定</t>
        </is>
      </c>
    </row>
    <row r="617" ht="16.5" customHeight="1" s="84">
      <c r="A617" t="inlineStr">
        <is>
          <t>2022-10</t>
        </is>
      </c>
      <c r="B617" t="inlineStr">
        <is>
          <t>崇友電梯設備維修 乙棟貨梯(#4) 積體電路(B)$800元 5%稅金$40元 總計$840元</t>
        </is>
      </c>
      <c r="C617" t="n">
        <v>840</v>
      </c>
      <c r="D617" t="inlineStr">
        <is>
          <t>電梯保養與修繕</t>
        </is>
      </c>
      <c r="E617" t="inlineStr">
        <is>
          <t>非固定</t>
        </is>
      </c>
      <c r="F617" t="inlineStr">
        <is>
          <t>電梯</t>
        </is>
      </c>
    </row>
    <row r="618" ht="16.5" customHeight="1" s="84">
      <c r="A618" t="inlineStr">
        <is>
          <t>2022-10</t>
        </is>
      </c>
      <c r="B618" t="inlineStr">
        <is>
          <t>崇友電梯載重測試 CT-011531-02安檢費$1,200*5=$6,000元 載重測試費$1,500*5=$7,500元 5%稅金$675元 總計$14,175元</t>
        </is>
      </c>
      <c r="C618" t="n">
        <v>14175</v>
      </c>
      <c r="D618" t="inlineStr">
        <is>
          <t>電梯保養與修繕</t>
        </is>
      </c>
      <c r="E618" t="inlineStr">
        <is>
          <t>非固定</t>
        </is>
      </c>
      <c r="F618" t="inlineStr">
        <is>
          <t>電梯</t>
        </is>
      </c>
    </row>
    <row r="619" ht="16.5" customHeight="1" s="84">
      <c r="A619" t="inlineStr">
        <is>
          <t>2022-10</t>
        </is>
      </c>
      <c r="B619" t="inlineStr">
        <is>
          <t>鑫禾消防申報 111年度消防安全設備檢修申報$45,714元 5%稅金$2,286元 總計$48,000元</t>
        </is>
      </c>
      <c r="C619" t="n">
        <v>48000</v>
      </c>
      <c r="D619" t="inlineStr">
        <is>
          <t>機電/消防/弱電/AED</t>
        </is>
      </c>
      <c r="E619" t="inlineStr">
        <is>
          <t>非固定</t>
        </is>
      </c>
    </row>
    <row r="620" ht="16.5" customHeight="1" s="84">
      <c r="A620" t="inlineStr">
        <is>
          <t>2022-10</t>
        </is>
      </c>
      <c r="B620" t="inlineStr">
        <is>
          <t>鑫禾建築物公共安全檢查申報 建築物公共安全檢查申報申報$35,000元 5%稅金$1,750元 總計$36,750元</t>
        </is>
      </c>
      <c r="C620" t="n">
        <v>36750</v>
      </c>
      <c r="D620" t="inlineStr">
        <is>
          <t>其他支出</t>
        </is>
      </c>
      <c r="E620" t="inlineStr">
        <is>
          <t>非固定</t>
        </is>
      </c>
    </row>
    <row r="621" ht="16.5" customHeight="1" s="84">
      <c r="A621" t="inlineStr">
        <is>
          <t>2022-10</t>
        </is>
      </c>
      <c r="B621" t="inlineStr">
        <is>
          <t>一九衛生工程行 清理化糞池$1,500*60噸=$90,000元 總計$90,000元</t>
        </is>
      </c>
      <c r="C621" t="n">
        <v>90000</v>
      </c>
      <c r="D621" t="inlineStr">
        <is>
          <t>垃圾廢棄物/園藝</t>
        </is>
      </c>
      <c r="E621" t="inlineStr">
        <is>
          <t>非固定</t>
        </is>
      </c>
    </row>
    <row r="622" ht="16.5" customHeight="1" s="84">
      <c r="A622" t="inlineStr">
        <is>
          <t>2022-10</t>
        </is>
      </c>
      <c r="B622" t="inlineStr">
        <is>
          <t>一九衛生工程行 清理放流池及消毒池$65,000元 總計$65,000元</t>
        </is>
      </c>
      <c r="C622" t="n">
        <v>65000</v>
      </c>
      <c r="D622" t="inlineStr">
        <is>
          <t>垃圾廢棄物/園藝</t>
        </is>
      </c>
      <c r="E622" t="inlineStr">
        <is>
          <t>非固定</t>
        </is>
      </c>
    </row>
    <row r="623" ht="15" customHeight="1" s="84">
      <c r="A623" t="inlineStr">
        <is>
          <t>2022-10</t>
        </is>
      </c>
      <c r="B623" t="inlineStr">
        <is>
          <t>宏溙 8/15瑜珈室搭鷹架拆除天花板維修風箱 總計$20,000元</t>
        </is>
      </c>
      <c r="C623" t="n">
        <v>20000</v>
      </c>
      <c r="D623" t="inlineStr">
        <is>
          <t>工程維修/購置</t>
        </is>
      </c>
      <c r="E623" t="inlineStr">
        <is>
          <t>非固定</t>
        </is>
      </c>
    </row>
    <row r="624" ht="15" customHeight="1" s="84">
      <c r="A624" t="inlineStr">
        <is>
          <t>2022-10</t>
        </is>
      </c>
      <c r="B624" t="inlineStr">
        <is>
          <t>固全空調 風箱更換工程 總計$8,000元</t>
        </is>
      </c>
      <c r="C624" t="n">
        <v>8000</v>
      </c>
      <c r="D624" t="inlineStr">
        <is>
          <t>工程維修/購置</t>
        </is>
      </c>
      <c r="E624" t="inlineStr">
        <is>
          <t>非固定</t>
        </is>
      </c>
    </row>
    <row r="625" ht="16.5" customHeight="1" s="84">
      <c r="A625" t="inlineStr">
        <is>
          <t>2022-10</t>
        </is>
      </c>
      <c r="B625" t="inlineStr">
        <is>
          <t>晴揚氯錠 氯錠(3吋90%25KG)$110*300KG=$33,000元 因原廠商鴻陽漲價，故這一季換新廠商晴揚</t>
        </is>
      </c>
      <c r="C625" t="n">
        <v>33000</v>
      </c>
      <c r="D625" t="inlineStr">
        <is>
          <t>工程維修/購置</t>
        </is>
      </c>
      <c r="E625" t="inlineStr">
        <is>
          <t>非固定</t>
        </is>
      </c>
    </row>
    <row r="626" ht="16.5" customHeight="1" s="84">
      <c r="A626" t="inlineStr">
        <is>
          <t>2022-10</t>
        </is>
      </c>
      <c r="B626" t="inlineStr">
        <is>
          <t>環保局 違反水汙染防治法第7條第1項之規定，並依水汙染防治法第40條第1項裁處 總計$60,000元</t>
        </is>
      </c>
      <c r="C626" t="n">
        <v>60000</v>
      </c>
      <c r="D626" t="inlineStr">
        <is>
          <t>其他支出</t>
        </is>
      </c>
      <c r="E626" t="inlineStr">
        <is>
          <t>非固定</t>
        </is>
      </c>
    </row>
    <row r="627" ht="16.5" customHeight="1" s="84">
      <c r="A627" t="inlineStr">
        <is>
          <t>2022-10</t>
        </is>
      </c>
      <c r="B627" t="inlineStr">
        <is>
          <t>社區電話費(5630533)</t>
        </is>
      </c>
      <c r="C627" t="n">
        <v>829</v>
      </c>
      <c r="D627" t="inlineStr">
        <is>
          <t>電話/網路費</t>
        </is>
      </c>
      <c r="E627" t="inlineStr">
        <is>
          <t>非固定</t>
        </is>
      </c>
    </row>
    <row r="628" ht="16.5" customHeight="1" s="84">
      <c r="A628" t="inlineStr">
        <is>
          <t>2022-10</t>
        </is>
      </c>
      <c r="B628" t="inlineStr">
        <is>
          <t>社區網路費(Y123617)</t>
        </is>
      </c>
      <c r="C628" t="n">
        <v>2199</v>
      </c>
      <c r="D628" t="inlineStr">
        <is>
          <t>電話/網路費</t>
        </is>
      </c>
      <c r="E628" t="inlineStr">
        <is>
          <t>非固定</t>
        </is>
      </c>
    </row>
    <row r="629" ht="16.5" customHeight="1" s="84">
      <c r="A629" t="inlineStr">
        <is>
          <t>2022-10</t>
        </is>
      </c>
      <c r="B629" t="inlineStr">
        <is>
          <t>社區網路費(Y174790)</t>
        </is>
      </c>
      <c r="C629" t="n">
        <v>1899</v>
      </c>
      <c r="D629" t="inlineStr">
        <is>
          <t>電話/網路費</t>
        </is>
      </c>
      <c r="E629" t="inlineStr">
        <is>
          <t>非固定</t>
        </is>
      </c>
    </row>
    <row r="630" ht="16.5" customHeight="1" s="84">
      <c r="A630" t="inlineStr">
        <is>
          <t>2022-10</t>
        </is>
      </c>
      <c r="B630" t="inlineStr">
        <is>
          <t>公共電費</t>
        </is>
      </c>
      <c r="C630" t="n">
        <v>125114</v>
      </c>
      <c r="D630" t="inlineStr">
        <is>
          <t>公共水電瓦斯</t>
        </is>
      </c>
      <c r="E630" t="inlineStr">
        <is>
          <t>非固定</t>
        </is>
      </c>
    </row>
    <row r="631" ht="16.5" customHeight="1" s="84">
      <c r="A631" t="inlineStr">
        <is>
          <t>2022-10</t>
        </is>
      </c>
      <c r="B631" t="inlineStr">
        <is>
          <t>自來水費</t>
        </is>
      </c>
      <c r="C631" t="n">
        <v>29523</v>
      </c>
      <c r="D631" t="inlineStr">
        <is>
          <t>公共水電瓦斯</t>
        </is>
      </c>
      <c r="E631" t="inlineStr">
        <is>
          <t>非固定</t>
        </is>
      </c>
    </row>
    <row r="632" ht="16.5" customHeight="1" s="84">
      <c r="A632" t="inlineStr">
        <is>
          <t>2022-11</t>
        </is>
      </c>
      <c r="B632" t="inlineStr">
        <is>
          <t>零用金撥補(111/11) 總計$3,941元</t>
        </is>
      </c>
      <c r="C632" t="n">
        <v>3941</v>
      </c>
      <c r="D632" t="inlineStr">
        <is>
          <t>內部轉帳</t>
        </is>
      </c>
      <c r="E632" t="inlineStr">
        <is>
          <t>非固定</t>
        </is>
      </c>
    </row>
    <row r="633" ht="16.5" customHeight="1" s="84">
      <c r="A633" t="inlineStr">
        <is>
          <t>2022-11</t>
        </is>
      </c>
      <c r="B633" t="inlineStr">
        <is>
          <t>管委會出席費用(預領) 總計$8,000元</t>
        </is>
      </c>
      <c r="C633" t="n">
        <v>8000</v>
      </c>
      <c r="D633" t="inlineStr">
        <is>
          <t>內部轉帳</t>
        </is>
      </c>
      <c r="E633" t="inlineStr">
        <is>
          <t>非固定</t>
        </is>
      </c>
    </row>
    <row r="634" ht="16.5" customHeight="1" s="84">
      <c r="A634" t="inlineStr">
        <is>
          <t>2022-11</t>
        </is>
      </c>
      <c r="B634" t="inlineStr">
        <is>
          <t>電梯專用款撥補(111/11) 總計$50,000元</t>
        </is>
      </c>
      <c r="C634" t="n">
        <v>50000</v>
      </c>
      <c r="D634" t="inlineStr">
        <is>
          <t>內部轉帳</t>
        </is>
      </c>
      <c r="E634" t="inlineStr">
        <is>
          <t>非固定</t>
        </is>
      </c>
    </row>
    <row r="635" ht="16.5" customHeight="1" s="84">
      <c r="A635" t="inlineStr">
        <is>
          <t>2022-11</t>
        </is>
      </c>
      <c r="B635" t="inlineStr">
        <is>
          <t>德懋物業公司(111/11)管理服務費：社區經理乙員，社區秘書乙員，警衛服務人員兩哨。總計$389,550元</t>
        </is>
      </c>
      <c r="C635" t="n">
        <v>389550</v>
      </c>
      <c r="D635" t="inlineStr">
        <is>
          <t>其他支出</t>
        </is>
      </c>
      <c r="E635" t="inlineStr">
        <is>
          <t>固定</t>
        </is>
      </c>
    </row>
    <row r="636" ht="16.5" customHeight="1" s="84">
      <c r="A636" t="inlineStr">
        <is>
          <t>2022-11</t>
        </is>
      </c>
      <c r="B636" t="inlineStr">
        <is>
          <t>順達清潔服務費(111/11) 總計$100,500元</t>
        </is>
      </c>
      <c r="C636" t="n">
        <v>100500</v>
      </c>
      <c r="D636" t="inlineStr">
        <is>
          <t>清潔服務費</t>
        </is>
      </c>
      <c r="E636" t="inlineStr">
        <is>
          <t>固定</t>
        </is>
      </c>
    </row>
    <row r="637" ht="16.5" customHeight="1" s="84">
      <c r="A637" t="inlineStr">
        <is>
          <t>2022-11</t>
        </is>
      </c>
      <c r="B637" t="inlineStr">
        <is>
          <t>義明清潔服務費(111/11) 總計$100,500元</t>
        </is>
      </c>
      <c r="C637" t="n">
        <v>100500</v>
      </c>
      <c r="D637" t="inlineStr">
        <is>
          <t>清潔服務費</t>
        </is>
      </c>
      <c r="E637" t="inlineStr">
        <is>
          <t>固定</t>
        </is>
      </c>
    </row>
    <row r="638" ht="16.5" customHeight="1" s="84">
      <c r="A638" t="inlineStr">
        <is>
          <t>2022-11</t>
        </is>
      </c>
      <c r="B638" t="inlineStr">
        <is>
          <t>崇友電梯(111/11)電梯保養 總計$100,000元</t>
        </is>
      </c>
      <c r="C638" t="n">
        <v>100000</v>
      </c>
      <c r="D638" t="inlineStr">
        <is>
          <t>電梯保養與修繕</t>
        </is>
      </c>
      <c r="E638" t="inlineStr">
        <is>
          <t>固定</t>
        </is>
      </c>
    </row>
    <row r="639" ht="16.5" customHeight="1" s="84">
      <c r="A639" t="inlineStr">
        <is>
          <t>2022-11</t>
        </is>
      </c>
      <c r="B639" t="inlineStr">
        <is>
          <t>AED(111/12)租賃費 總計$1,500元</t>
        </is>
      </c>
      <c r="C639" t="n">
        <v>1500</v>
      </c>
      <c r="D639" t="inlineStr">
        <is>
          <t>機電/消防/弱電/AED</t>
        </is>
      </c>
      <c r="E639" t="inlineStr">
        <is>
          <t>固定</t>
        </is>
      </c>
    </row>
    <row r="640" ht="16.5" customHeight="1" s="84">
      <c r="A640" t="inlineStr">
        <is>
          <t>2022-11</t>
        </is>
      </c>
      <c r="B640" t="inlineStr">
        <is>
          <t>御品寬頻(111/11)網路服務租賃 總計$9,450元</t>
        </is>
      </c>
      <c r="C640" t="n">
        <v>9450</v>
      </c>
      <c r="D640" t="inlineStr">
        <is>
          <t>機電/消防/弱電/AED</t>
        </is>
      </c>
      <c r="E640" t="inlineStr">
        <is>
          <t>固定</t>
        </is>
      </c>
    </row>
    <row r="641" ht="16.5" customHeight="1" s="84">
      <c r="A641" t="inlineStr">
        <is>
          <t>2022-11</t>
        </is>
      </c>
      <c r="B641" t="inlineStr">
        <is>
          <t>新鑫堯(111/11) 廢棄物清除$27,000元 清潔費$5,000元 總計$32,000元</t>
        </is>
      </c>
      <c r="C641" t="n">
        <v>32000</v>
      </c>
      <c r="D641" t="inlineStr">
        <is>
          <t>垃圾廢棄物/園藝</t>
        </is>
      </c>
      <c r="E641" t="inlineStr">
        <is>
          <t>固定</t>
        </is>
      </c>
    </row>
    <row r="642" ht="16.5" customHeight="1" s="84">
      <c r="A642" t="inlineStr">
        <is>
          <t>2022-11</t>
        </is>
      </c>
      <c r="B642" t="inlineStr">
        <is>
          <t>太古意門禁維護檢點費(111/11) 總計$10,000元</t>
        </is>
      </c>
      <c r="C642" t="n">
        <v>10000</v>
      </c>
      <c r="D642" t="inlineStr">
        <is>
          <t>機電/消防/弱電/AED</t>
        </is>
      </c>
      <c r="E642" t="inlineStr">
        <is>
          <t>固定</t>
        </is>
      </c>
    </row>
    <row r="643" ht="16.5" customHeight="1" s="84">
      <c r="A643" t="inlineStr">
        <is>
          <t>2022-11</t>
        </is>
      </c>
      <c r="B643" t="inlineStr">
        <is>
          <t>鑫禾機電保養費(111/11) 總計$28,000元</t>
        </is>
      </c>
      <c r="C643" t="n">
        <v>28000</v>
      </c>
      <c r="D643" t="inlineStr">
        <is>
          <t>機電/消防/弱電/AED</t>
        </is>
      </c>
      <c r="E643" t="inlineStr">
        <is>
          <t>固定</t>
        </is>
      </c>
    </row>
    <row r="644" ht="16.5" customHeight="1" s="84">
      <c r="A644" t="inlineStr">
        <is>
          <t>2022-11</t>
        </is>
      </c>
      <c r="B644" t="inlineStr">
        <is>
          <t>景輝-園藝定期保養(111/11) 總計$28,000元</t>
        </is>
      </c>
      <c r="C644" t="n">
        <v>28000</v>
      </c>
      <c r="D644" t="inlineStr">
        <is>
          <t>垃圾廢棄物/園藝</t>
        </is>
      </c>
      <c r="E644" t="inlineStr">
        <is>
          <t>固定</t>
        </is>
      </c>
    </row>
    <row r="645" ht="16.5" customHeight="1" s="84">
      <c r="A645" t="inlineStr">
        <is>
          <t>2022-11</t>
        </is>
      </c>
      <c r="B645" t="inlineStr">
        <is>
          <t>新鑫堯10月增桶 10月增桶$600*9=$5,400元 總計$5,400元</t>
        </is>
      </c>
      <c r="C645" t="n">
        <v>5400</v>
      </c>
      <c r="D645" t="inlineStr">
        <is>
          <t>垃圾廢棄物/園藝</t>
        </is>
      </c>
      <c r="E645" t="inlineStr">
        <is>
          <t>非固定</t>
        </is>
      </c>
    </row>
    <row r="646" ht="16.5" customHeight="1" s="84">
      <c r="A646" t="inlineStr">
        <is>
          <t>2022-11</t>
        </is>
      </c>
      <c r="B646" t="inlineStr">
        <is>
          <t>鑫禾設備修繕 1.汙水保養缺失改善$42,857元 2.電燈感應器$650元 3.LED杯燈$350*3=$1,050元 4.LED層板燈$300元 總計$44,857元</t>
        </is>
      </c>
      <c r="C646" t="n">
        <v>44857</v>
      </c>
      <c r="D646" t="inlineStr">
        <is>
          <t>工程維修/購置</t>
        </is>
      </c>
      <c r="E646" t="inlineStr">
        <is>
          <t>非固定</t>
        </is>
      </c>
    </row>
    <row r="647" ht="16.5" customHeight="1" s="84">
      <c r="A647" t="inlineStr">
        <is>
          <t>2022-11</t>
        </is>
      </c>
      <c r="B647" t="inlineStr">
        <is>
          <t>崇友電梯設備維修 丙棟貨梯(#6) 微壓按鈕(開)$500元 5%稅金$25元 總計$525元</t>
        </is>
      </c>
      <c r="C647" t="n">
        <v>525</v>
      </c>
      <c r="D647" t="inlineStr">
        <is>
          <t>電梯保養與修繕</t>
        </is>
      </c>
      <c r="E647" t="inlineStr">
        <is>
          <t>非固定</t>
        </is>
      </c>
      <c r="F647" t="inlineStr">
        <is>
          <t>電梯</t>
        </is>
      </c>
    </row>
    <row r="648" ht="15" customHeight="1" s="84">
      <c r="A648" t="inlineStr">
        <is>
          <t>2022-11</t>
        </is>
      </c>
      <c r="B648" t="inlineStr">
        <is>
          <t>崇友電梯設備維修 變頻器$86,000元 PG端子卡$5,500元 變頻器信號線$4,000元 主接觸器(AC220V)$2,800元 雜訊濾波器$4,200元 無熔絲開關$1,007元 5%稅金$5,175元 總計$108,682元(經議價$10,0000元)</t>
        </is>
      </c>
      <c r="C648" t="n">
        <v>100000</v>
      </c>
      <c r="D648" t="inlineStr">
        <is>
          <t>電梯保養與修繕</t>
        </is>
      </c>
      <c r="E648" t="inlineStr">
        <is>
          <t>非固定</t>
        </is>
      </c>
      <c r="F648" t="inlineStr">
        <is>
          <t>電梯</t>
        </is>
      </c>
    </row>
    <row r="649" ht="15" customHeight="1" s="84">
      <c r="A649" t="inlineStr">
        <is>
          <t>2022-11</t>
        </is>
      </c>
      <c r="B649" t="inlineStr">
        <is>
          <t>太古意設備維修費 TW-512外接讀頭$4,500元 拆裝技術設定工資$800元 5%稅金$265元 總計$5,565元</t>
        </is>
      </c>
      <c r="C649" t="n">
        <v>5565</v>
      </c>
      <c r="D649" t="inlineStr">
        <is>
          <t>機電/消防/弱電/AED</t>
        </is>
      </c>
      <c r="E649" t="inlineStr">
        <is>
          <t>非固定</t>
        </is>
      </c>
    </row>
    <row r="650" ht="16.5" customHeight="1" s="84">
      <c r="A650" t="inlineStr">
        <is>
          <t>2022-11</t>
        </is>
      </c>
      <c r="B650" t="inlineStr">
        <is>
          <t>景輝-清除植栽 (閱覽室前)景觀水池旁黑松枯死移除 總計$3,000元</t>
        </is>
      </c>
      <c r="C650" t="n">
        <v>3000</v>
      </c>
      <c r="D650" t="inlineStr">
        <is>
          <t>垃圾廢棄物/園藝</t>
        </is>
      </c>
      <c r="E650" t="inlineStr">
        <is>
          <t>非固定</t>
        </is>
      </c>
    </row>
    <row r="651" ht="16.5" customHeight="1" s="84">
      <c r="A651" t="inlineStr">
        <is>
          <t>2022-11</t>
        </is>
      </c>
      <c r="B651" t="inlineStr">
        <is>
          <t>鋐隆清潔用品 10/18 1.紅龍珍珠洗手乳$180*4=720元 2.小垃圾袋53*63(粉紅)$950元 3.小捲衛生紙芙蓉$480*2=$960元 4.芳柔環保擦手紙$480元 5.5%稅金$156元 總計$3,266元</t>
        </is>
      </c>
      <c r="C651" t="n">
        <v>3266</v>
      </c>
      <c r="D651" t="inlineStr">
        <is>
          <t>清潔服務費</t>
        </is>
      </c>
      <c r="E651" t="inlineStr">
        <is>
          <t>非固定</t>
        </is>
      </c>
    </row>
    <row r="652" ht="16.5" customHeight="1" s="84">
      <c r="A652" t="inlineStr">
        <is>
          <t>2022-11</t>
        </is>
      </c>
      <c r="B652" t="inlineStr">
        <is>
          <t>社區電話費(5630533)</t>
        </is>
      </c>
      <c r="C652" t="n">
        <v>807</v>
      </c>
      <c r="D652" t="inlineStr">
        <is>
          <t>電話/網路費</t>
        </is>
      </c>
      <c r="E652" t="inlineStr">
        <is>
          <t>非固定</t>
        </is>
      </c>
    </row>
    <row r="653" ht="16.5" customHeight="1" s="84">
      <c r="A653" t="inlineStr">
        <is>
          <t>2022-11</t>
        </is>
      </c>
      <c r="B653" t="inlineStr">
        <is>
          <t>社區網路費(Y123617)</t>
        </is>
      </c>
      <c r="C653" t="n">
        <v>2199</v>
      </c>
      <c r="D653" t="inlineStr">
        <is>
          <t>電話/網路費</t>
        </is>
      </c>
      <c r="E653" t="inlineStr">
        <is>
          <t>非固定</t>
        </is>
      </c>
    </row>
    <row r="654" ht="16.5" customHeight="1" s="84">
      <c r="A654" t="inlineStr">
        <is>
          <t>2022-11</t>
        </is>
      </c>
      <c r="B654" t="inlineStr">
        <is>
          <t>社區網路費(Y174790)</t>
        </is>
      </c>
      <c r="C654" t="n">
        <v>1899</v>
      </c>
      <c r="D654" t="inlineStr">
        <is>
          <t>電話/網路費</t>
        </is>
      </c>
      <c r="E654" t="inlineStr">
        <is>
          <t>非固定</t>
        </is>
      </c>
    </row>
    <row r="655" ht="16.5" customHeight="1" s="84">
      <c r="A655" t="inlineStr">
        <is>
          <t>2022-11</t>
        </is>
      </c>
      <c r="B655" t="inlineStr">
        <is>
          <t>公共電費</t>
        </is>
      </c>
      <c r="C655" t="n">
        <v>107881</v>
      </c>
      <c r="D655" t="inlineStr">
        <is>
          <t>公共水電瓦斯</t>
        </is>
      </c>
      <c r="E655" t="inlineStr">
        <is>
          <t>非固定</t>
        </is>
      </c>
    </row>
    <row r="656" ht="16.5" customHeight="1" s="84">
      <c r="A656" t="inlineStr">
        <is>
          <t>2022-11</t>
        </is>
      </c>
      <c r="B656" t="inlineStr">
        <is>
          <t>自來水費</t>
        </is>
      </c>
      <c r="C656" t="n">
        <v>0</v>
      </c>
      <c r="D656" t="inlineStr">
        <is>
          <t>公共水電瓦斯</t>
        </is>
      </c>
      <c r="E656" t="inlineStr">
        <is>
          <t>非固定</t>
        </is>
      </c>
    </row>
    <row r="657" ht="16.5" customHeight="1" s="84">
      <c r="A657" t="inlineStr">
        <is>
          <t>2022-12</t>
        </is>
      </c>
      <c r="B657" t="inlineStr">
        <is>
          <t>零用金撥補(111/12) 總計$16,049元</t>
        </is>
      </c>
      <c r="C657" t="n">
        <v>16049</v>
      </c>
      <c r="D657" t="inlineStr">
        <is>
          <t>內部轉帳</t>
        </is>
      </c>
      <c r="E657" t="inlineStr">
        <is>
          <t>非固定</t>
        </is>
      </c>
    </row>
    <row r="658" ht="16.5" customHeight="1" s="84">
      <c r="A658" t="inlineStr">
        <is>
          <t>2022-12</t>
        </is>
      </c>
      <c r="B658" t="inlineStr">
        <is>
          <t>管委會出席費用(預領) 總計$8,000元</t>
        </is>
      </c>
      <c r="C658" t="n">
        <v>8000</v>
      </c>
      <c r="D658" t="inlineStr">
        <is>
          <t>內部轉帳</t>
        </is>
      </c>
      <c r="E658" t="inlineStr">
        <is>
          <t>非固定</t>
        </is>
      </c>
    </row>
    <row r="659" ht="16.5" customHeight="1" s="84">
      <c r="A659" t="inlineStr">
        <is>
          <t>2022-12</t>
        </is>
      </c>
      <c r="B659" t="inlineStr">
        <is>
          <t>電梯專用款撥補(111/12) 總計$50,000元</t>
        </is>
      </c>
      <c r="C659" t="n">
        <v>50000</v>
      </c>
      <c r="D659" t="inlineStr">
        <is>
          <t>內部轉帳</t>
        </is>
      </c>
      <c r="E659" t="inlineStr">
        <is>
          <t>非固定</t>
        </is>
      </c>
    </row>
    <row r="660" ht="16.5" customHeight="1" s="84">
      <c r="A660" t="inlineStr">
        <is>
          <t>2022-12</t>
        </is>
      </c>
      <c r="B660" t="inlineStr">
        <is>
          <t>德懋物業公司(111/12)管理服務費：社區經理乙員，社區秘書乙員，警衛服務人員兩哨。總計$389,550元</t>
        </is>
      </c>
      <c r="C660" t="n">
        <v>389550</v>
      </c>
      <c r="D660" t="inlineStr">
        <is>
          <t>其他支出</t>
        </is>
      </c>
      <c r="E660" t="inlineStr">
        <is>
          <t>固定</t>
        </is>
      </c>
    </row>
    <row r="661" ht="16.5" customHeight="1" s="84">
      <c r="A661" t="inlineStr">
        <is>
          <t>2022-12</t>
        </is>
      </c>
      <c r="B661" t="inlineStr">
        <is>
          <t>順達清潔服務費(111/12) 總計$109,000元</t>
        </is>
      </c>
      <c r="C661" t="n">
        <v>109000</v>
      </c>
      <c r="D661" t="inlineStr">
        <is>
          <t>清潔服務費</t>
        </is>
      </c>
      <c r="E661" t="inlineStr">
        <is>
          <t>固定</t>
        </is>
      </c>
    </row>
    <row r="662" ht="16.5" customHeight="1" s="84">
      <c r="A662" t="inlineStr">
        <is>
          <t>2022-12</t>
        </is>
      </c>
      <c r="B662" t="inlineStr">
        <is>
          <t>義明清潔服務費(111/12) 總計$109,000元</t>
        </is>
      </c>
      <c r="C662" t="n">
        <v>109000</v>
      </c>
      <c r="D662" t="inlineStr">
        <is>
          <t>清潔服務費</t>
        </is>
      </c>
      <c r="E662" t="inlineStr">
        <is>
          <t>固定</t>
        </is>
      </c>
    </row>
    <row r="663" ht="16.5" customHeight="1" s="84">
      <c r="A663" t="inlineStr">
        <is>
          <t>2022-12</t>
        </is>
      </c>
      <c r="B663" t="inlineStr">
        <is>
          <t>崇友電梯(111/12)電梯保養 總計$100,000元</t>
        </is>
      </c>
      <c r="C663" t="n">
        <v>100000</v>
      </c>
      <c r="D663" t="inlineStr">
        <is>
          <t>電梯保養與修繕</t>
        </is>
      </c>
      <c r="E663" t="inlineStr">
        <is>
          <t>固定</t>
        </is>
      </c>
    </row>
    <row r="664" ht="16.5" customHeight="1" s="84">
      <c r="A664" t="inlineStr">
        <is>
          <t>2022-12</t>
        </is>
      </c>
      <c r="B664" t="inlineStr">
        <is>
          <t>AED(112/01)租賃費 總計$1,500元</t>
        </is>
      </c>
      <c r="C664" t="n">
        <v>1500</v>
      </c>
      <c r="D664" t="inlineStr">
        <is>
          <t>機電/消防/弱電/AED</t>
        </is>
      </c>
      <c r="E664" t="inlineStr">
        <is>
          <t>固定</t>
        </is>
      </c>
    </row>
    <row r="665" ht="16.5" customHeight="1" s="84">
      <c r="A665" t="inlineStr">
        <is>
          <t>2022-12</t>
        </is>
      </c>
      <c r="B665" t="inlineStr">
        <is>
          <t>御品寬頻(111/12)網路服務租賃 總計$9,450元</t>
        </is>
      </c>
      <c r="C665" t="n">
        <v>9450</v>
      </c>
      <c r="D665" t="inlineStr">
        <is>
          <t>機電/消防/弱電/AED</t>
        </is>
      </c>
      <c r="E665" t="inlineStr">
        <is>
          <t>固定</t>
        </is>
      </c>
    </row>
    <row r="666" ht="16.5" customHeight="1" s="84">
      <c r="A666" t="inlineStr">
        <is>
          <t>2022-12</t>
        </is>
      </c>
      <c r="B666" t="inlineStr">
        <is>
          <t>新鑫堯(111/12) 廢棄物清除$27,000元 清潔費$5,000元 總計$32,000元</t>
        </is>
      </c>
      <c r="C666" t="n">
        <v>32000</v>
      </c>
      <c r="D666" t="inlineStr">
        <is>
          <t>垃圾廢棄物/園藝</t>
        </is>
      </c>
      <c r="E666" t="inlineStr">
        <is>
          <t>固定</t>
        </is>
      </c>
    </row>
    <row r="667" ht="16.5" customHeight="1" s="84">
      <c r="A667" t="inlineStr">
        <is>
          <t>2022-12</t>
        </is>
      </c>
      <c r="B667" t="inlineStr">
        <is>
          <t>太古意門禁維護檢點費(111/12) 總計$10,000元</t>
        </is>
      </c>
      <c r="C667" t="n">
        <v>10000</v>
      </c>
      <c r="D667" t="inlineStr">
        <is>
          <t>機電/消防/弱電/AED</t>
        </is>
      </c>
      <c r="E667" t="inlineStr">
        <is>
          <t>固定</t>
        </is>
      </c>
    </row>
    <row r="668" ht="16.5" customHeight="1" s="84">
      <c r="A668" t="inlineStr">
        <is>
          <t>2022-12</t>
        </is>
      </c>
      <c r="B668" t="inlineStr">
        <is>
          <t>鑫禾機電保養費(111/12) 總計$28,000元</t>
        </is>
      </c>
      <c r="C668" t="n">
        <v>28000</v>
      </c>
      <c r="D668" t="inlineStr">
        <is>
          <t>機電/消防/弱電/AED</t>
        </is>
      </c>
      <c r="E668" t="inlineStr">
        <is>
          <t>固定</t>
        </is>
      </c>
    </row>
    <row r="669" ht="16.5" customHeight="1" s="84">
      <c r="A669" t="inlineStr">
        <is>
          <t>2022-12</t>
        </is>
      </c>
      <c r="B669" t="inlineStr">
        <is>
          <t>新鑫堯11月增桶 101增桶$600*9.5=$5,700元 總計$5,700元</t>
        </is>
      </c>
      <c r="C669" t="n">
        <v>5700</v>
      </c>
      <c r="D669" t="inlineStr">
        <is>
          <t>垃圾廢棄物/園藝</t>
        </is>
      </c>
      <c r="E669" t="inlineStr">
        <is>
          <t>非固定</t>
        </is>
      </c>
    </row>
    <row r="670" ht="15" customHeight="1" s="84">
      <c r="A670" t="inlineStr">
        <is>
          <t>2022-12</t>
        </is>
      </c>
      <c r="B670" t="inlineStr">
        <is>
          <t>鑫禾設備修繕 1.電燈感應器$650元 2.泡沫原液桶檢測$10,000元 3.LED層板燈$300*2=$600元 4.LED杯燈$350*3=$1,050元 5.噴灌配管$600元 6.汙水水質採樣檢測$14,350元 總計$27,250元</t>
        </is>
      </c>
      <c r="C670" t="n">
        <v>27250</v>
      </c>
      <c r="D670" t="inlineStr">
        <is>
          <t>工程維修/購置</t>
        </is>
      </c>
      <c r="E670" t="inlineStr">
        <is>
          <t>非固定</t>
        </is>
      </c>
    </row>
    <row r="671" ht="15" customHeight="1" s="84">
      <c r="A671" t="inlineStr">
        <is>
          <t>2022-12</t>
        </is>
      </c>
      <c r="B671" t="inlineStr">
        <is>
          <t>崇友電梯設備維修 丁棟無障礙電梯(#8) CCU基板$6,667元 5%稅金$333元 總計$7,000元</t>
        </is>
      </c>
      <c r="C671" t="n">
        <v>7000</v>
      </c>
      <c r="D671" t="inlineStr">
        <is>
          <t>電梯保養與修繕</t>
        </is>
      </c>
      <c r="E671" t="inlineStr">
        <is>
          <t>非固定</t>
        </is>
      </c>
      <c r="F671" t="inlineStr">
        <is>
          <t>電梯</t>
        </is>
      </c>
    </row>
    <row r="672" ht="16.5" customHeight="1" s="84">
      <c r="A672" t="inlineStr">
        <is>
          <t>2022-12</t>
        </is>
      </c>
      <c r="B672" t="inlineStr">
        <is>
          <t>崇友電梯設備維修 丁棟貨梯(#7) CCU基板$6,667元 5%稅金$333元 總計$7,000元</t>
        </is>
      </c>
      <c r="C672" t="n">
        <v>7000</v>
      </c>
      <c r="D672" t="inlineStr">
        <is>
          <t>電梯保養與修繕</t>
        </is>
      </c>
      <c r="E672" t="inlineStr">
        <is>
          <t>非固定</t>
        </is>
      </c>
      <c r="F672" t="inlineStr">
        <is>
          <t>電梯</t>
        </is>
      </c>
    </row>
    <row r="673" ht="16.5" customHeight="1" s="84">
      <c r="A673" t="inlineStr">
        <is>
          <t>2022-12</t>
        </is>
      </c>
      <c r="B673" t="inlineStr">
        <is>
          <t>鋐隆清潔用品 111.12.13 1.抽取衛生紙五月花$630元 2.芳柔環保擦手紙$480*2=$960元 3.小捲衛生紙芙蓉$480*2=$960元 4.5%稅金$128元 總計$2,678元</t>
        </is>
      </c>
      <c r="C673" t="n">
        <v>2678</v>
      </c>
      <c r="D673" t="inlineStr">
        <is>
          <t>清潔服務費</t>
        </is>
      </c>
      <c r="E673" t="inlineStr">
        <is>
          <t>非固定</t>
        </is>
      </c>
    </row>
    <row r="674" ht="16.5" customHeight="1" s="84">
      <c r="A674" t="inlineStr">
        <is>
          <t>2022-12</t>
        </is>
      </c>
      <c r="B674" t="inlineStr">
        <is>
          <t>社區電話費(5630533)</t>
        </is>
      </c>
      <c r="C674" t="n">
        <v>1029</v>
      </c>
      <c r="D674" t="inlineStr">
        <is>
          <t>電話/網路費</t>
        </is>
      </c>
      <c r="E674" t="inlineStr">
        <is>
          <t>非固定</t>
        </is>
      </c>
    </row>
    <row r="675" ht="16.5" customHeight="1" s="84">
      <c r="A675" t="inlineStr">
        <is>
          <t>2022-12</t>
        </is>
      </c>
      <c r="B675" t="inlineStr">
        <is>
          <t>社區網路費(Y123617)</t>
        </is>
      </c>
      <c r="C675" t="n">
        <v>2199</v>
      </c>
      <c r="D675" t="inlineStr">
        <is>
          <t>電話/網路費</t>
        </is>
      </c>
      <c r="E675" t="inlineStr">
        <is>
          <t>非固定</t>
        </is>
      </c>
    </row>
    <row r="676" ht="16.5" customHeight="1" s="84">
      <c r="A676" t="inlineStr">
        <is>
          <t>2022-12</t>
        </is>
      </c>
      <c r="B676" t="inlineStr">
        <is>
          <t>社區網路費(Y174790)</t>
        </is>
      </c>
      <c r="C676" t="n">
        <v>1899</v>
      </c>
      <c r="D676" t="inlineStr">
        <is>
          <t>電話/網路費</t>
        </is>
      </c>
      <c r="E676" t="inlineStr">
        <is>
          <t>非固定</t>
        </is>
      </c>
    </row>
    <row r="677" ht="16.5" customHeight="1" s="84">
      <c r="A677" t="inlineStr">
        <is>
          <t>2022-12</t>
        </is>
      </c>
      <c r="B677" t="inlineStr">
        <is>
          <t>公共電費</t>
        </is>
      </c>
      <c r="C677" t="n">
        <v>85193</v>
      </c>
      <c r="D677" t="inlineStr">
        <is>
          <t>公共水電瓦斯</t>
        </is>
      </c>
      <c r="E677" t="inlineStr">
        <is>
          <t>非固定</t>
        </is>
      </c>
    </row>
    <row r="678" ht="16.5" customHeight="1" s="84">
      <c r="A678" t="inlineStr">
        <is>
          <t>2022-12</t>
        </is>
      </c>
      <c r="B678" t="inlineStr">
        <is>
          <t>自來水費</t>
        </is>
      </c>
      <c r="C678" t="n">
        <v>33684</v>
      </c>
      <c r="D678" t="inlineStr">
        <is>
          <t>公共水電瓦斯</t>
        </is>
      </c>
      <c r="E678" t="inlineStr">
        <is>
          <t>非固定</t>
        </is>
      </c>
    </row>
    <row r="679" ht="16.5" customHeight="1" s="84">
      <c r="A679" t="inlineStr">
        <is>
          <t>2023-01</t>
        </is>
      </c>
      <c r="B679" t="inlineStr">
        <is>
          <t>零用金撥補(112/01) 總計$10,710元</t>
        </is>
      </c>
      <c r="C679" t="n">
        <v>10710</v>
      </c>
      <c r="D679" t="inlineStr">
        <is>
          <t>內部轉帳</t>
        </is>
      </c>
      <c r="E679" t="inlineStr">
        <is>
          <t>非固定</t>
        </is>
      </c>
    </row>
    <row r="680" ht="16.5" customHeight="1" s="84">
      <c r="A680" t="inlineStr">
        <is>
          <t>2023-01</t>
        </is>
      </c>
      <c r="B680" t="inlineStr">
        <is>
          <t>管委會出席費用(預領) 總計$8,000元</t>
        </is>
      </c>
      <c r="C680" t="n">
        <v>8000</v>
      </c>
      <c r="D680" t="inlineStr">
        <is>
          <t>內部轉帳</t>
        </is>
      </c>
      <c r="E680" t="inlineStr">
        <is>
          <t>非固定</t>
        </is>
      </c>
    </row>
    <row r="681" ht="16.5" customHeight="1" s="84">
      <c r="A681" t="inlineStr">
        <is>
          <t>2023-01</t>
        </is>
      </c>
      <c r="B681" t="inlineStr">
        <is>
          <t>電梯專用款撥補(112/01) 總計$50,000元</t>
        </is>
      </c>
      <c r="C681" t="n">
        <v>50000</v>
      </c>
      <c r="D681" t="inlineStr">
        <is>
          <t>內部轉帳</t>
        </is>
      </c>
      <c r="E681" t="inlineStr">
        <is>
          <t>非固定</t>
        </is>
      </c>
    </row>
    <row r="682" ht="16.5" customHeight="1" s="84">
      <c r="A682" t="inlineStr">
        <is>
          <t>2023-01</t>
        </is>
      </c>
      <c r="B682" t="inlineStr">
        <is>
          <t>德懋物業公司(112/01)管理服務費：社區經理乙員，社區秘書乙員，警衛服務人員兩哨。總計$389,550元</t>
        </is>
      </c>
      <c r="C682" t="n">
        <v>389550</v>
      </c>
      <c r="D682" t="inlineStr">
        <is>
          <t>其他支出</t>
        </is>
      </c>
      <c r="E682" t="inlineStr">
        <is>
          <t>固定</t>
        </is>
      </c>
    </row>
    <row r="683" ht="16.5" customHeight="1" s="84">
      <c r="A683" t="inlineStr">
        <is>
          <t>2023-01</t>
        </is>
      </c>
      <c r="B683" t="inlineStr">
        <is>
          <t>順達清潔服務費(112/01) 總計$109,000元</t>
        </is>
      </c>
      <c r="C683" t="n">
        <v>109000</v>
      </c>
      <c r="D683" t="inlineStr">
        <is>
          <t>清潔服務費</t>
        </is>
      </c>
      <c r="E683" t="inlineStr">
        <is>
          <t>固定</t>
        </is>
      </c>
    </row>
    <row r="684" ht="16.5" customHeight="1" s="84">
      <c r="A684" t="inlineStr">
        <is>
          <t>2023-01</t>
        </is>
      </c>
      <c r="B684" t="inlineStr">
        <is>
          <t>義明清潔服務費(112/01) 總計$109,000元</t>
        </is>
      </c>
      <c r="C684" t="n">
        <v>109000</v>
      </c>
      <c r="D684" t="inlineStr">
        <is>
          <t>清潔服務費</t>
        </is>
      </c>
      <c r="E684" t="inlineStr">
        <is>
          <t>固定</t>
        </is>
      </c>
    </row>
    <row r="685" ht="16.5" customHeight="1" s="84">
      <c r="A685" t="inlineStr">
        <is>
          <t>2023-01</t>
        </is>
      </c>
      <c r="B685" t="inlineStr">
        <is>
          <t>崇友電梯(112/01)電梯保養 總計$100,000元</t>
        </is>
      </c>
      <c r="C685" t="n">
        <v>100000</v>
      </c>
      <c r="D685" t="inlineStr">
        <is>
          <t>電梯保養與修繕</t>
        </is>
      </c>
      <c r="E685" t="inlineStr">
        <is>
          <t>固定</t>
        </is>
      </c>
    </row>
    <row r="686" ht="16.5" customHeight="1" s="84">
      <c r="A686" t="inlineStr">
        <is>
          <t>2023-01</t>
        </is>
      </c>
      <c r="B686" t="inlineStr">
        <is>
          <t>AED(112/02)租賃費 總計$1,500元</t>
        </is>
      </c>
      <c r="C686" t="n">
        <v>1500</v>
      </c>
      <c r="D686" t="inlineStr">
        <is>
          <t>機電/消防/弱電/AED</t>
        </is>
      </c>
      <c r="E686" t="inlineStr">
        <is>
          <t>固定</t>
        </is>
      </c>
    </row>
    <row r="687" ht="16.5" customHeight="1" s="84">
      <c r="A687" t="inlineStr">
        <is>
          <t>2023-01</t>
        </is>
      </c>
      <c r="B687" t="inlineStr">
        <is>
          <t>御品寬頻(112/01)網路服務租賃 總計$9,450元</t>
        </is>
      </c>
      <c r="C687" t="n">
        <v>9450</v>
      </c>
      <c r="D687" t="inlineStr">
        <is>
          <t>機電/消防/弱電/AED</t>
        </is>
      </c>
      <c r="E687" t="inlineStr">
        <is>
          <t>固定</t>
        </is>
      </c>
    </row>
    <row r="688" ht="16.5" customHeight="1" s="84">
      <c r="A688" t="inlineStr">
        <is>
          <t>2023-01</t>
        </is>
      </c>
      <c r="B688" t="inlineStr">
        <is>
          <t>新鑫堯(112/01) 廢棄物清除$27,000元 清潔費$5,000元 總計$32,000元</t>
        </is>
      </c>
      <c r="C688" t="n">
        <v>32000</v>
      </c>
      <c r="D688" t="inlineStr">
        <is>
          <t>垃圾廢棄物/園藝</t>
        </is>
      </c>
      <c r="E688" t="inlineStr">
        <is>
          <t>固定</t>
        </is>
      </c>
    </row>
    <row r="689" ht="16.5" customHeight="1" s="84">
      <c r="A689" t="inlineStr">
        <is>
          <t>2023-01</t>
        </is>
      </c>
      <c r="B689" t="inlineStr">
        <is>
          <t>太古意門禁維護檢點費(112/01) 總計$10,000元</t>
        </is>
      </c>
      <c r="C689" t="n">
        <v>10000</v>
      </c>
      <c r="D689" t="inlineStr">
        <is>
          <t>機電/消防/弱電/AED</t>
        </is>
      </c>
      <c r="E689" t="inlineStr">
        <is>
          <t>固定</t>
        </is>
      </c>
    </row>
    <row r="690" ht="16.5" customHeight="1" s="84">
      <c r="A690" t="inlineStr">
        <is>
          <t>2023-01</t>
        </is>
      </c>
      <c r="B690" t="inlineStr">
        <is>
          <t>鑫禾機電保養費(112/01) 總計$28,000元</t>
        </is>
      </c>
      <c r="C690" t="n">
        <v>28000</v>
      </c>
      <c r="D690" t="inlineStr">
        <is>
          <t>機電/消防/弱電/AED</t>
        </is>
      </c>
      <c r="E690" t="inlineStr">
        <is>
          <t>固定</t>
        </is>
      </c>
    </row>
    <row r="691" ht="16.5" customHeight="1" s="84">
      <c r="A691" t="inlineStr">
        <is>
          <t>2023-01</t>
        </is>
      </c>
      <c r="B691" t="inlineStr">
        <is>
          <t>景輝-園藝定期保養(112/01) 總計$28,000元</t>
        </is>
      </c>
      <c r="C691" t="n">
        <v>28000</v>
      </c>
      <c r="D691" t="inlineStr">
        <is>
          <t>垃圾廢棄物/園藝</t>
        </is>
      </c>
      <c r="E691" t="inlineStr">
        <is>
          <t>固定</t>
        </is>
      </c>
    </row>
    <row r="692" ht="16.5" customHeight="1" s="84">
      <c r="A692" t="inlineStr">
        <is>
          <t>2023-01</t>
        </is>
      </c>
      <c r="B692" t="inlineStr">
        <is>
          <t>新鑫堯12月增桶 12增桶$600*9=$5,400元 總計$5,400元</t>
        </is>
      </c>
      <c r="C692" t="n">
        <v>5400</v>
      </c>
      <c r="D692" t="inlineStr">
        <is>
          <t>垃圾廢棄物/園藝</t>
        </is>
      </c>
      <c r="E692" t="inlineStr">
        <is>
          <t>非固定</t>
        </is>
      </c>
    </row>
    <row r="693" ht="16.5" customHeight="1" s="84">
      <c r="A693" t="inlineStr">
        <is>
          <t>2023-01</t>
        </is>
      </c>
      <c r="B693" t="inlineStr">
        <is>
          <t>鑫禾設備修繕 1.LED杯燈$350*7=$2,450元 2.LED球泡燈$110*3=$330元 3.電燈感應器$650*2=$1,300元 4.LED層板燈$300*1=$300元 5.景觀燈查修$1,200元 6.電燈開關(4開)$950元 7.進水浮球$1,200元 總計$7,730元</t>
        </is>
      </c>
      <c r="C693" t="n">
        <v>7730</v>
      </c>
      <c r="D693" t="inlineStr">
        <is>
          <t>垃圾廢棄物/園藝</t>
        </is>
      </c>
      <c r="E693" t="inlineStr">
        <is>
          <t>非固定</t>
        </is>
      </c>
    </row>
    <row r="694" ht="16.5" customHeight="1" s="84">
      <c r="A694" t="inlineStr">
        <is>
          <t>2023-01</t>
        </is>
      </c>
      <c r="B694" t="inlineStr">
        <is>
          <t>崇友電梯設備維修 甲棟貨梯(#2) 馬達主機更換工程$180,952元 5%稅金$9,048元 總計$190,000元</t>
        </is>
      </c>
      <c r="C694" t="n">
        <v>190000</v>
      </c>
      <c r="D694" t="inlineStr">
        <is>
          <t>電梯保養與修繕</t>
        </is>
      </c>
      <c r="E694" t="inlineStr">
        <is>
          <t>非固定</t>
        </is>
      </c>
      <c r="F694" t="inlineStr">
        <is>
          <t>電梯</t>
        </is>
      </c>
    </row>
    <row r="695" ht="16.5" customHeight="1" s="84">
      <c r="A695" t="inlineStr">
        <is>
          <t>2023-01</t>
        </is>
      </c>
      <c r="B695" t="inlineStr">
        <is>
          <t>崇友電梯設備維修 丁棟貨梯(#7) CCU基板$6,667元 5%稅金$333元 總計$7,000元</t>
        </is>
      </c>
      <c r="C695" t="n">
        <v>7000</v>
      </c>
      <c r="D695" t="inlineStr">
        <is>
          <t>電梯保養與修繕</t>
        </is>
      </c>
      <c r="E695" t="inlineStr">
        <is>
          <t>非固定</t>
        </is>
      </c>
      <c r="F695" t="inlineStr">
        <is>
          <t>電梯</t>
        </is>
      </c>
    </row>
    <row r="696" ht="16.5" customHeight="1" s="84">
      <c r="A696" t="inlineStr">
        <is>
          <t>2023-01</t>
        </is>
      </c>
      <c r="B696" t="inlineStr">
        <is>
          <t>崇友電梯設備維修 乙棟無障礙電梯(#3) HCD顯示器$3,048元 5%稅金$152元 總計$3,200元</t>
        </is>
      </c>
      <c r="C696" t="n">
        <v>3200</v>
      </c>
      <c r="D696" t="inlineStr">
        <is>
          <t>電梯保養與修繕</t>
        </is>
      </c>
      <c r="E696" t="inlineStr">
        <is>
          <t>非固定</t>
        </is>
      </c>
      <c r="F696" t="inlineStr">
        <is>
          <t>電梯</t>
        </is>
      </c>
    </row>
    <row r="697" ht="15" customHeight="1" s="84">
      <c r="A697" t="inlineStr">
        <is>
          <t>2023-01</t>
        </is>
      </c>
      <c r="B697" t="inlineStr">
        <is>
          <t>崇友電梯設備維修 丙棟無障礙電梯(#5) HCD顯示器$3,048元 5%稅金$152元 總計$3,200元</t>
        </is>
      </c>
      <c r="C697" t="n">
        <v>3200</v>
      </c>
      <c r="D697" t="inlineStr">
        <is>
          <t>電梯保養與修繕</t>
        </is>
      </c>
      <c r="E697" t="inlineStr">
        <is>
          <t>非固定</t>
        </is>
      </c>
      <c r="F697" t="inlineStr">
        <is>
          <t>電梯</t>
        </is>
      </c>
    </row>
    <row r="698" ht="15" customHeight="1" s="84">
      <c r="A698" t="inlineStr">
        <is>
          <t>2023-01</t>
        </is>
      </c>
      <c r="B698" t="inlineStr">
        <is>
          <t>崇友電梯設備維修 丙棟貨梯(#6) HCD顯示器$3,048元 5%稅金$152元 總計$3,200元</t>
        </is>
      </c>
      <c r="C698" t="n">
        <v>3200</v>
      </c>
      <c r="D698" t="inlineStr">
        <is>
          <t>電梯保養與修繕</t>
        </is>
      </c>
      <c r="E698" t="inlineStr">
        <is>
          <t>非固定</t>
        </is>
      </c>
      <c r="F698" t="inlineStr">
        <is>
          <t>電梯</t>
        </is>
      </c>
    </row>
    <row r="699" ht="16.5" customHeight="1" s="84">
      <c r="A699" t="inlineStr">
        <is>
          <t>2023-01</t>
        </is>
      </c>
      <c r="B699" t="inlineStr">
        <is>
          <t>浩源-22支汙廢水管清洗 S10文具王(乙棟)8支，S3-1葉子餐廳(丙棟)1支，S2 KLS(丙棟)5支，M層甲棟4支，M層乙棟4支，總共22支 總計$84,000元</t>
        </is>
      </c>
      <c r="C699" t="n">
        <v>84000</v>
      </c>
      <c r="D699" t="inlineStr">
        <is>
          <t>工程維修/購置</t>
        </is>
      </c>
      <c r="E699" t="inlineStr">
        <is>
          <t>非固定</t>
        </is>
      </c>
    </row>
    <row r="700" ht="16.5" customHeight="1" s="84">
      <c r="A700" t="inlineStr">
        <is>
          <t>2023-01</t>
        </is>
      </c>
      <c r="B700" t="inlineStr">
        <is>
          <t>服務人員春節獎金 1.社區經理$6,600元 2.社區秘書$3,600元 3.日夜保全每班2員，每員$500元(除夕-初三)共計8班，計$8,000元 4.清潔人員$600*6位共$3,600元 5.新鑫堯環保加收人員紅包$200*4位共$800元 總計$22,600元</t>
        </is>
      </c>
      <c r="C700" t="n">
        <v>22600</v>
      </c>
      <c r="D700" t="inlineStr">
        <is>
          <t>垃圾廢棄物/園藝</t>
        </is>
      </c>
      <c r="E700" t="inlineStr">
        <is>
          <t>非固定</t>
        </is>
      </c>
    </row>
    <row r="701" ht="16.5" customHeight="1" s="84">
      <c r="A701" t="inlineStr">
        <is>
          <t>2023-01</t>
        </is>
      </c>
      <c r="B701" t="inlineStr">
        <is>
          <t>社區電話費(5630533)因過年期間出帳日列二月出帳</t>
        </is>
      </c>
      <c r="C701" t="n">
        <v>0</v>
      </c>
      <c r="D701" t="inlineStr">
        <is>
          <t>電話/網路費</t>
        </is>
      </c>
      <c r="E701" t="inlineStr">
        <is>
          <t>非固定</t>
        </is>
      </c>
    </row>
    <row r="702" ht="16.5" customHeight="1" s="84">
      <c r="A702" t="inlineStr">
        <is>
          <t>2023-01</t>
        </is>
      </c>
      <c r="B702" t="inlineStr">
        <is>
          <t>社區網路費(Y123617)因過年期間出帳日列二月出帳</t>
        </is>
      </c>
      <c r="C702" t="n">
        <v>0</v>
      </c>
      <c r="D702" t="inlineStr">
        <is>
          <t>電話/網路費</t>
        </is>
      </c>
      <c r="E702" t="inlineStr">
        <is>
          <t>非固定</t>
        </is>
      </c>
    </row>
    <row r="703" ht="16.5" customHeight="1" s="84">
      <c r="A703" t="inlineStr">
        <is>
          <t>2023-01</t>
        </is>
      </c>
      <c r="B703" t="inlineStr">
        <is>
          <t>社區網路費(Y174790)因過年期間出帳日列二月出帳</t>
        </is>
      </c>
      <c r="C703" t="n">
        <v>0</v>
      </c>
      <c r="D703" t="inlineStr">
        <is>
          <t>電話/網路費</t>
        </is>
      </c>
      <c r="E703" t="inlineStr">
        <is>
          <t>非固定</t>
        </is>
      </c>
    </row>
    <row r="704" ht="16.5" customHeight="1" s="84">
      <c r="A704" t="inlineStr">
        <is>
          <t>2023-01</t>
        </is>
      </c>
      <c r="B704" t="inlineStr">
        <is>
          <t>公共電費</t>
        </is>
      </c>
      <c r="C704" t="n">
        <v>90116</v>
      </c>
      <c r="D704" t="inlineStr">
        <is>
          <t>公共水電瓦斯</t>
        </is>
      </c>
      <c r="E704" t="inlineStr">
        <is>
          <t>非固定</t>
        </is>
      </c>
    </row>
    <row r="705" ht="16.5" customHeight="1" s="84">
      <c r="A705" t="inlineStr">
        <is>
          <t>2023-01</t>
        </is>
      </c>
      <c r="B705" t="inlineStr">
        <is>
          <t>自來水費</t>
        </is>
      </c>
      <c r="C705" t="n">
        <v>0</v>
      </c>
      <c r="D705" t="inlineStr">
        <is>
          <t>公共水電瓦斯</t>
        </is>
      </c>
      <c r="E705" t="inlineStr">
        <is>
          <t>非固定</t>
        </is>
      </c>
    </row>
    <row r="706" ht="16.5" customHeight="1" s="84">
      <c r="A706" t="inlineStr">
        <is>
          <t>2023-02</t>
        </is>
      </c>
      <c r="B706" t="inlineStr">
        <is>
          <t>零用金撥補(112/02) 總計$4,149元</t>
        </is>
      </c>
      <c r="C706" t="n">
        <v>4149</v>
      </c>
      <c r="D706" t="inlineStr">
        <is>
          <t>內部轉帳</t>
        </is>
      </c>
      <c r="E706" t="inlineStr">
        <is>
          <t>非固定</t>
        </is>
      </c>
    </row>
    <row r="707" ht="16.5" customHeight="1" s="84">
      <c r="A707" t="inlineStr">
        <is>
          <t>2023-02</t>
        </is>
      </c>
      <c r="B707" t="inlineStr">
        <is>
          <t>管委會出席費用(預領) 總計$8,000元</t>
        </is>
      </c>
      <c r="C707" t="n">
        <v>8000</v>
      </c>
      <c r="D707" t="inlineStr">
        <is>
          <t>內部轉帳</t>
        </is>
      </c>
      <c r="E707" t="inlineStr">
        <is>
          <t>非固定</t>
        </is>
      </c>
    </row>
    <row r="708" ht="16.5" customHeight="1" s="84">
      <c r="A708" t="inlineStr">
        <is>
          <t>2023-02</t>
        </is>
      </c>
      <c r="B708" t="inlineStr">
        <is>
          <t>電梯專用款撥補(112/02) 總計$50,000元</t>
        </is>
      </c>
      <c r="C708" t="n">
        <v>50000</v>
      </c>
      <c r="D708" t="inlineStr">
        <is>
          <t>內部轉帳</t>
        </is>
      </c>
      <c r="E708" t="inlineStr">
        <is>
          <t>非固定</t>
        </is>
      </c>
    </row>
    <row r="709" ht="16.5" customHeight="1" s="84">
      <c r="A709" t="inlineStr">
        <is>
          <t>2023-02</t>
        </is>
      </c>
      <c r="B709" t="inlineStr">
        <is>
          <t>德懋物業公司(112/02)管理服務費：社區經理乙員，社區秘書乙員，警衛服務人員兩哨。 活動贊助金$3,000元(折讓單) 總計$386,550元</t>
        </is>
      </c>
      <c r="C709" t="n">
        <v>386550</v>
      </c>
      <c r="D709" t="inlineStr">
        <is>
          <t>其他支出</t>
        </is>
      </c>
      <c r="E709" t="inlineStr">
        <is>
          <t>固定</t>
        </is>
      </c>
    </row>
    <row r="710" ht="16.5" customHeight="1" s="84">
      <c r="A710" t="inlineStr">
        <is>
          <t>2023-02</t>
        </is>
      </c>
      <c r="B710" t="inlineStr">
        <is>
          <t>順達清潔服務費(112/02) 總計$109,000元</t>
        </is>
      </c>
      <c r="C710" t="n">
        <v>109000</v>
      </c>
      <c r="D710" t="inlineStr">
        <is>
          <t>清潔服務費</t>
        </is>
      </c>
      <c r="E710" t="inlineStr">
        <is>
          <t>固定</t>
        </is>
      </c>
    </row>
    <row r="711" ht="16.5" customHeight="1" s="84">
      <c r="A711" t="inlineStr">
        <is>
          <t>2023-02</t>
        </is>
      </c>
      <c r="B711" t="inlineStr">
        <is>
          <t>義明清潔服務費(112/02) 總計$109,000元</t>
        </is>
      </c>
      <c r="C711" t="n">
        <v>109000</v>
      </c>
      <c r="D711" t="inlineStr">
        <is>
          <t>清潔服務費</t>
        </is>
      </c>
      <c r="E711" t="inlineStr">
        <is>
          <t>固定</t>
        </is>
      </c>
    </row>
    <row r="712" ht="16.5" customHeight="1" s="84">
      <c r="A712" t="inlineStr">
        <is>
          <t>2023-02</t>
        </is>
      </c>
      <c r="B712" t="inlineStr">
        <is>
          <t>崇友電梯(112/02)電梯保養 總計$100,000元</t>
        </is>
      </c>
      <c r="C712" t="n">
        <v>100000</v>
      </c>
      <c r="D712" t="inlineStr">
        <is>
          <t>電梯保養與修繕</t>
        </is>
      </c>
      <c r="E712" t="inlineStr">
        <is>
          <t>固定</t>
        </is>
      </c>
    </row>
    <row r="713" ht="16.5" customHeight="1" s="84">
      <c r="A713" t="inlineStr">
        <is>
          <t>2023-02</t>
        </is>
      </c>
      <c r="B713" t="inlineStr">
        <is>
          <t>AED(112/03)租賃費 總計$1,500元</t>
        </is>
      </c>
      <c r="C713" t="n">
        <v>1500</v>
      </c>
      <c r="D713" t="inlineStr">
        <is>
          <t>機電/消防/弱電/AED</t>
        </is>
      </c>
      <c r="E713" t="inlineStr">
        <is>
          <t>固定</t>
        </is>
      </c>
    </row>
    <row r="714" ht="16.5" customHeight="1" s="84">
      <c r="A714" t="inlineStr">
        <is>
          <t>2023-02</t>
        </is>
      </c>
      <c r="B714" t="inlineStr">
        <is>
          <t>御品寬頻(112/02)網路服務租賃 總計$9,450元</t>
        </is>
      </c>
      <c r="C714" t="n">
        <v>9450</v>
      </c>
      <c r="D714" t="inlineStr">
        <is>
          <t>機電/消防/弱電/AED</t>
        </is>
      </c>
      <c r="E714" t="inlineStr">
        <is>
          <t>固定</t>
        </is>
      </c>
    </row>
    <row r="715" ht="16.5" customHeight="1" s="84">
      <c r="A715" t="inlineStr">
        <is>
          <t>2023-02</t>
        </is>
      </c>
      <c r="B715" t="inlineStr">
        <is>
          <t>新鑫堯(112/02) 廢棄物清除$27,000元 清潔費$5,000元 總計$32,000元</t>
        </is>
      </c>
      <c r="C715" t="n">
        <v>32000</v>
      </c>
      <c r="D715" t="inlineStr">
        <is>
          <t>垃圾廢棄物/園藝</t>
        </is>
      </c>
      <c r="E715" t="inlineStr">
        <is>
          <t>固定</t>
        </is>
      </c>
    </row>
    <row r="716" ht="16.5" customHeight="1" s="84">
      <c r="A716" t="inlineStr">
        <is>
          <t>2023-02</t>
        </is>
      </c>
      <c r="B716" t="inlineStr">
        <is>
          <t>太古意門禁維護檢點費(112/02) 總計$10,000元</t>
        </is>
      </c>
      <c r="C716" t="n">
        <v>10000</v>
      </c>
      <c r="D716" t="inlineStr">
        <is>
          <t>機電/消防/弱電/AED</t>
        </is>
      </c>
      <c r="E716" t="inlineStr">
        <is>
          <t>固定</t>
        </is>
      </c>
    </row>
    <row r="717" ht="16.5" customHeight="1" s="84">
      <c r="A717" t="inlineStr">
        <is>
          <t>2023-02</t>
        </is>
      </c>
      <c r="B717" t="inlineStr">
        <is>
          <t>鑫禾機電保養費(112/02) 總計$28,000元</t>
        </is>
      </c>
      <c r="C717" t="n">
        <v>28000</v>
      </c>
      <c r="D717" t="inlineStr">
        <is>
          <t>機電/消防/弱電/AED</t>
        </is>
      </c>
      <c r="E717" t="inlineStr">
        <is>
          <t>固定</t>
        </is>
      </c>
    </row>
    <row r="718" ht="16.5" customHeight="1" s="84">
      <c r="A718" t="inlineStr">
        <is>
          <t>2023-02</t>
        </is>
      </c>
      <c r="B718" t="inlineStr">
        <is>
          <t>鑫禾設備修繕 1.LED杯燈$350*26=$9,100元 2.LED層板燈$300*4=$1,200元 3.隱藏式紅外線電燈感應器$700元 4.定址式偵煙感知器$2,500元 5.電燈感應器(501)$650元 6.LED球泡燈$110元 總計$14,260元</t>
        </is>
      </c>
      <c r="C718" t="n">
        <v>14260</v>
      </c>
      <c r="D718" t="inlineStr">
        <is>
          <t>工程維修/購置</t>
        </is>
      </c>
      <c r="E718" t="inlineStr">
        <is>
          <t>非固定</t>
        </is>
      </c>
    </row>
    <row r="719" ht="16.5" customHeight="1" s="84">
      <c r="A719" t="inlineStr">
        <is>
          <t>2023-02</t>
        </is>
      </c>
      <c r="B719" t="inlineStr">
        <is>
          <t>鑫禾汙水申報 111年度汙水檢測申報 總計$22,000元</t>
        </is>
      </c>
      <c r="C719" t="n">
        <v>22000</v>
      </c>
      <c r="D719" t="inlineStr">
        <is>
          <t>工程維修/購置</t>
        </is>
      </c>
      <c r="E719" t="inlineStr">
        <is>
          <t>非固定</t>
        </is>
      </c>
    </row>
    <row r="720" ht="16.5" customHeight="1" s="84">
      <c r="A720" t="inlineStr">
        <is>
          <t>2023-02</t>
        </is>
      </c>
      <c r="B720" t="inlineStr">
        <is>
          <t>鑫禾-消防限期改善 1.消防限期改善$169,150元 2.泡沫原液桶更換$275,000元 3.消防迴路查修$7,500元 4.消防限期改善$55,000元 總計$506,650元</t>
        </is>
      </c>
      <c r="C720" t="n">
        <v>506650</v>
      </c>
      <c r="D720" t="inlineStr">
        <is>
          <t>機電/消防/弱電/AED</t>
        </is>
      </c>
      <c r="E720" t="inlineStr">
        <is>
          <t>非固定</t>
        </is>
      </c>
    </row>
    <row r="721" ht="16.5" customHeight="1" s="84">
      <c r="A721" t="inlineStr">
        <is>
          <t>2023-02</t>
        </is>
      </c>
      <c r="B721" t="inlineStr">
        <is>
          <t>崇友電梯設備維修 甲棟無障礙梯(#1) 微壓按鈕(上)橙光$500元 5%稅金$25元 總計$525元</t>
        </is>
      </c>
      <c r="C721" t="n">
        <v>525</v>
      </c>
      <c r="D721" t="inlineStr">
        <is>
          <t>電梯保養與修繕</t>
        </is>
      </c>
      <c r="E721" t="inlineStr">
        <is>
          <t>非固定</t>
        </is>
      </c>
      <c r="F721" t="inlineStr">
        <is>
          <t>電梯</t>
        </is>
      </c>
    </row>
    <row r="722" ht="16.5" customHeight="1" s="84">
      <c r="A722" t="inlineStr">
        <is>
          <t>2023-02</t>
        </is>
      </c>
      <c r="B722" t="inlineStr">
        <is>
          <t>崇友電梯設備維修 丁棟無障礙梯(#8) CCU基板$7,000*2=$14,000元 5%稅金$700元 總計$14,700元</t>
        </is>
      </c>
      <c r="C722" t="n">
        <v>14700</v>
      </c>
      <c r="D722" t="inlineStr">
        <is>
          <t>電梯保養與修繕</t>
        </is>
      </c>
      <c r="E722" t="inlineStr">
        <is>
          <t>非固定</t>
        </is>
      </c>
      <c r="F722" t="inlineStr">
        <is>
          <t>電梯</t>
        </is>
      </c>
    </row>
    <row r="723" ht="16.5" customHeight="1" s="84">
      <c r="A723" t="inlineStr">
        <is>
          <t>2023-02</t>
        </is>
      </c>
      <c r="B723" t="inlineStr">
        <is>
          <t>太古意設備維修費 1.甲棟貨梯(#2)卡機線路損壞更新$6,000元 2.鏡頭訊號查測$5,000元 3.五金料件貓耳耗材$2,000元 4.拉線安裝技術工資$5,000元 5.5%稅金$900元 總計$18,900元 經議價$18,000元</t>
        </is>
      </c>
      <c r="C723" t="n">
        <v>18000</v>
      </c>
      <c r="D723" t="inlineStr">
        <is>
          <t>機電/消防/弱電/AED</t>
        </is>
      </c>
      <c r="E723" t="inlineStr">
        <is>
          <t>非固定</t>
        </is>
      </c>
    </row>
    <row r="724" ht="16.5" customHeight="1" s="84">
      <c r="A724" t="inlineStr">
        <is>
          <t>2023-02</t>
        </is>
      </c>
      <c r="B724" t="inlineStr">
        <is>
          <t>太古意設備維修 戊棟B1梯廳卡機更新 1.TW-589-MS卡機$5,000元 2.更換工資$600元 5%稅金$280元 總計$5,880元</t>
        </is>
      </c>
      <c r="C724" t="n">
        <v>5880</v>
      </c>
      <c r="D724" t="inlineStr">
        <is>
          <t>機電/消防/弱電/AED</t>
        </is>
      </c>
      <c r="E724" t="inlineStr">
        <is>
          <t>非固定</t>
        </is>
      </c>
    </row>
    <row r="725" ht="16.5" customHeight="1" s="84">
      <c r="A725" t="inlineStr">
        <is>
          <t>2023-02</t>
        </is>
      </c>
      <c r="B725" t="inlineStr">
        <is>
          <t>太古意設備維修 B3紅綠燈紅外線更新 1.反射式紅外線一組$3,200元 2.更換工資$600元 5%稅金$190元 總計$3,990元</t>
        </is>
      </c>
      <c r="C725" t="n">
        <v>3990</v>
      </c>
      <c r="D725" t="inlineStr">
        <is>
          <t>機電/消防/弱電/AED</t>
        </is>
      </c>
      <c r="E725" t="inlineStr">
        <is>
          <t>非固定</t>
        </is>
      </c>
    </row>
    <row r="726" ht="15" customHeight="1" s="84">
      <c r="A726" t="inlineStr">
        <is>
          <t>2023-02</t>
        </is>
      </c>
      <c r="B726" t="inlineStr">
        <is>
          <t>一九衛生工程行 水刀清洗管路$68,000元 總計$68,000元</t>
        </is>
      </c>
      <c r="C726" t="n">
        <v>68000</v>
      </c>
      <c r="D726" t="inlineStr">
        <is>
          <t>垃圾廢棄物/園藝</t>
        </is>
      </c>
      <c r="E726" t="inlineStr">
        <is>
          <t>非固定</t>
        </is>
      </c>
    </row>
    <row r="727" ht="15" customHeight="1" s="84">
      <c r="A727" t="inlineStr">
        <is>
          <t>2023-02</t>
        </is>
      </c>
      <c r="B727" t="inlineStr">
        <is>
          <t>鋐隆清潔用品 112.02.17 1.抽取衛生紙五月花$630元 2.芳柔環保擦手紙$480元 3.小捲衛生紙芙蓉$480*2=$960元 4.5%稅金$104元 總計$2,174元</t>
        </is>
      </c>
      <c r="C727" t="n">
        <v>2174</v>
      </c>
      <c r="D727" t="inlineStr">
        <is>
          <t>清潔服務費</t>
        </is>
      </c>
      <c r="E727" t="inlineStr">
        <is>
          <t>非固定</t>
        </is>
      </c>
    </row>
    <row r="728" ht="16.5" customHeight="1" s="84">
      <c r="A728" t="inlineStr">
        <is>
          <t>2023-02</t>
        </is>
      </c>
      <c r="B728" t="inlineStr">
        <is>
          <t>喬山健康科技 健身房2號跑步機升降馬達更換 總計$5,200元</t>
        </is>
      </c>
      <c r="C728" t="n">
        <v>5200</v>
      </c>
      <c r="D728" t="inlineStr">
        <is>
          <t>工程維修/購置</t>
        </is>
      </c>
      <c r="E728" t="inlineStr">
        <is>
          <t>非固定</t>
        </is>
      </c>
    </row>
    <row r="729" ht="16.5" customHeight="1" s="84">
      <c r="A729" t="inlineStr">
        <is>
          <t>2023-02</t>
        </is>
      </c>
      <c r="B729" t="inlineStr">
        <is>
          <t>佳和企業 112.02.16 回收室大門更新$57,800元 總計$57,800元</t>
        </is>
      </c>
      <c r="C729" t="n">
        <v>57800</v>
      </c>
      <c r="D729" t="inlineStr">
        <is>
          <t>其他支出</t>
        </is>
      </c>
      <c r="E729" t="inlineStr">
        <is>
          <t>非固定</t>
        </is>
      </c>
    </row>
    <row r="730" ht="16.5" customHeight="1" s="84">
      <c r="A730" t="inlineStr">
        <is>
          <t>2023-02</t>
        </is>
      </c>
      <c r="B730" t="inlineStr">
        <is>
          <t>社區電話費(5630533)</t>
        </is>
      </c>
      <c r="C730" t="n">
        <v>598</v>
      </c>
      <c r="D730" t="inlineStr">
        <is>
          <t>電話/網路費</t>
        </is>
      </c>
      <c r="E730" t="inlineStr">
        <is>
          <t>非固定</t>
        </is>
      </c>
    </row>
    <row r="731" ht="16.5" customHeight="1" s="84">
      <c r="A731" t="inlineStr">
        <is>
          <t>2023-02</t>
        </is>
      </c>
      <c r="B731" t="inlineStr">
        <is>
          <t>社區網路費(Y123617)</t>
        </is>
      </c>
      <c r="C731" t="n">
        <v>2199</v>
      </c>
      <c r="D731" t="inlineStr">
        <is>
          <t>電話/網路費</t>
        </is>
      </c>
      <c r="E731" t="inlineStr">
        <is>
          <t>非固定</t>
        </is>
      </c>
    </row>
    <row r="732" ht="16.5" customHeight="1" s="84">
      <c r="A732" t="inlineStr">
        <is>
          <t>2023-02</t>
        </is>
      </c>
      <c r="B732" t="inlineStr">
        <is>
          <t>社區網路費(Y174790)</t>
        </is>
      </c>
      <c r="C732" t="n">
        <v>1899</v>
      </c>
      <c r="D732" t="inlineStr">
        <is>
          <t>電話/網路費</t>
        </is>
      </c>
      <c r="E732" t="inlineStr">
        <is>
          <t>非固定</t>
        </is>
      </c>
    </row>
    <row r="733" ht="16.5" customHeight="1" s="84">
      <c r="A733" t="inlineStr">
        <is>
          <t>2023-02</t>
        </is>
      </c>
      <c r="B733" t="inlineStr">
        <is>
          <t>公共電費</t>
        </is>
      </c>
      <c r="C733" t="n">
        <v>84405</v>
      </c>
      <c r="D733" t="inlineStr">
        <is>
          <t>公共水電瓦斯</t>
        </is>
      </c>
      <c r="E733" t="inlineStr">
        <is>
          <t>非固定</t>
        </is>
      </c>
    </row>
    <row r="734" ht="16.5" customHeight="1" s="84">
      <c r="A734" t="inlineStr">
        <is>
          <t>2023-02</t>
        </is>
      </c>
      <c r="B734" t="inlineStr">
        <is>
          <t>自來水費</t>
        </is>
      </c>
      <c r="C734" t="n">
        <v>10737</v>
      </c>
      <c r="D734" t="inlineStr">
        <is>
          <t>公共水電瓦斯</t>
        </is>
      </c>
      <c r="E734" t="inlineStr">
        <is>
          <t>非固定</t>
        </is>
      </c>
    </row>
    <row r="735" ht="16.5" customHeight="1" s="84">
      <c r="A735" t="inlineStr">
        <is>
          <t>2023-03</t>
        </is>
      </c>
      <c r="B735" t="inlineStr">
        <is>
          <t>零用金撥補(112/03) 總計$9,769元</t>
        </is>
      </c>
      <c r="C735" t="n">
        <v>9769</v>
      </c>
      <c r="D735" t="inlineStr">
        <is>
          <t>內部轉帳</t>
        </is>
      </c>
      <c r="E735" t="inlineStr">
        <is>
          <t>非固定</t>
        </is>
      </c>
    </row>
    <row r="736" ht="16.5" customHeight="1" s="84">
      <c r="A736" t="inlineStr">
        <is>
          <t>2023-03</t>
        </is>
      </c>
      <c r="B736" t="inlineStr">
        <is>
          <t>管委會出席費用(預領) 總計$8,000元</t>
        </is>
      </c>
      <c r="C736" t="n">
        <v>8000</v>
      </c>
      <c r="D736" t="inlineStr">
        <is>
          <t>內部轉帳</t>
        </is>
      </c>
      <c r="E736" t="inlineStr">
        <is>
          <t>非固定</t>
        </is>
      </c>
    </row>
    <row r="737" ht="16.5" customHeight="1" s="84">
      <c r="A737" t="inlineStr">
        <is>
          <t>2023-03</t>
        </is>
      </c>
      <c r="B737" t="inlineStr">
        <is>
          <t>電梯專用款撥補(112/03) 總計$50,000元</t>
        </is>
      </c>
      <c r="C737" t="n">
        <v>50000</v>
      </c>
      <c r="D737" t="inlineStr">
        <is>
          <t>內部轉帳</t>
        </is>
      </c>
      <c r="E737" t="inlineStr">
        <is>
          <t>非固定</t>
        </is>
      </c>
    </row>
    <row r="738" ht="16.5" customHeight="1" s="84">
      <c r="A738" t="inlineStr">
        <is>
          <t>2023-03</t>
        </is>
      </c>
      <c r="B738" t="inlineStr">
        <is>
          <t>德懋物業公司(112/03)管理服務費：社區經理乙員，社區秘書乙員，警衛服務人員兩哨。 總計$389,550元</t>
        </is>
      </c>
      <c r="C738" t="n">
        <v>389550</v>
      </c>
      <c r="D738" t="inlineStr">
        <is>
          <t>其他支出</t>
        </is>
      </c>
      <c r="E738" t="inlineStr">
        <is>
          <t>固定</t>
        </is>
      </c>
    </row>
    <row r="739" ht="16.5" customHeight="1" s="84">
      <c r="A739" t="inlineStr">
        <is>
          <t>2023-03</t>
        </is>
      </c>
      <c r="B739" t="inlineStr">
        <is>
          <t>順達清潔服務費(112/03) 總計$109,000元</t>
        </is>
      </c>
      <c r="C739" t="n">
        <v>109000</v>
      </c>
      <c r="D739" t="inlineStr">
        <is>
          <t>清潔服務費</t>
        </is>
      </c>
      <c r="E739" t="inlineStr">
        <is>
          <t>固定</t>
        </is>
      </c>
    </row>
    <row r="740" ht="16.5" customHeight="1" s="84">
      <c r="A740" t="inlineStr">
        <is>
          <t>2023-03</t>
        </is>
      </c>
      <c r="B740" t="inlineStr">
        <is>
          <t>義明清潔服務費(112/03) 總計$109,000元</t>
        </is>
      </c>
      <c r="C740" t="n">
        <v>109000</v>
      </c>
      <c r="D740" t="inlineStr">
        <is>
          <t>清潔服務費</t>
        </is>
      </c>
      <c r="E740" t="inlineStr">
        <is>
          <t>固定</t>
        </is>
      </c>
    </row>
    <row r="741" ht="16.5" customHeight="1" s="84">
      <c r="A741" t="inlineStr">
        <is>
          <t>2023-03</t>
        </is>
      </c>
      <c r="B741" t="inlineStr">
        <is>
          <t>崇友電梯(112/03)電梯保養 總計$100,000元</t>
        </is>
      </c>
      <c r="C741" t="n">
        <v>100000</v>
      </c>
      <c r="D741" t="inlineStr">
        <is>
          <t>電梯保養與修繕</t>
        </is>
      </c>
      <c r="E741" t="inlineStr">
        <is>
          <t>固定</t>
        </is>
      </c>
    </row>
    <row r="742" ht="16.5" customHeight="1" s="84">
      <c r="A742" t="inlineStr">
        <is>
          <t>2023-03</t>
        </is>
      </c>
      <c r="B742" t="inlineStr">
        <is>
          <t>AED(112/04)租賃費 總計$1,500元</t>
        </is>
      </c>
      <c r="C742" t="n">
        <v>1500</v>
      </c>
      <c r="D742" t="inlineStr">
        <is>
          <t>機電/消防/弱電/AED</t>
        </is>
      </c>
      <c r="E742" t="inlineStr">
        <is>
          <t>固定</t>
        </is>
      </c>
    </row>
    <row r="743" ht="16.5" customHeight="1" s="84">
      <c r="A743" t="inlineStr">
        <is>
          <t>2023-03</t>
        </is>
      </c>
      <c r="B743" t="inlineStr">
        <is>
          <t>御品寬頻(112/03)網路服務租賃 總計$9,450元</t>
        </is>
      </c>
      <c r="C743" t="n">
        <v>9450</v>
      </c>
      <c r="D743" t="inlineStr">
        <is>
          <t>機電/消防/弱電/AED</t>
        </is>
      </c>
      <c r="E743" t="inlineStr">
        <is>
          <t>固定</t>
        </is>
      </c>
    </row>
    <row r="744" ht="16.5" customHeight="1" s="84">
      <c r="A744" t="inlineStr">
        <is>
          <t>2023-03</t>
        </is>
      </c>
      <c r="B744" t="inlineStr">
        <is>
          <t>新鑫堯(112/03) 廢棄物清除$27,000元 清潔費$5,000元 總計$32,000元</t>
        </is>
      </c>
      <c r="C744" t="n">
        <v>32000</v>
      </c>
      <c r="D744" t="inlineStr">
        <is>
          <t>垃圾廢棄物/園藝</t>
        </is>
      </c>
      <c r="E744" t="inlineStr">
        <is>
          <t>固定</t>
        </is>
      </c>
    </row>
    <row r="745" ht="16.5" customHeight="1" s="84">
      <c r="A745" t="inlineStr">
        <is>
          <t>2023-03</t>
        </is>
      </c>
      <c r="B745" t="inlineStr">
        <is>
          <t>太古意門禁維護檢點費(112/03) 總計$10,000元</t>
        </is>
      </c>
      <c r="C745" t="n">
        <v>10000</v>
      </c>
      <c r="D745" t="inlineStr">
        <is>
          <t>機電/消防/弱電/AED</t>
        </is>
      </c>
      <c r="E745" t="inlineStr">
        <is>
          <t>固定</t>
        </is>
      </c>
    </row>
    <row r="746" ht="16.5" customHeight="1" s="84">
      <c r="A746" t="inlineStr">
        <is>
          <t>2023-03</t>
        </is>
      </c>
      <c r="B746" t="inlineStr">
        <is>
          <t>鑫禾機電保養費(112/03) 總計$28,000元</t>
        </is>
      </c>
      <c r="C746" t="n">
        <v>28000</v>
      </c>
      <c r="D746" t="inlineStr">
        <is>
          <t>機電/消防/弱電/AED</t>
        </is>
      </c>
      <c r="E746" t="inlineStr">
        <is>
          <t>固定</t>
        </is>
      </c>
    </row>
    <row r="747" ht="16.5" customHeight="1" s="84">
      <c r="A747" t="inlineStr">
        <is>
          <t>2023-03</t>
        </is>
      </c>
      <c r="B747" t="inlineStr">
        <is>
          <t>鑫禾設備修繕 1.LED杯燈$350*7=$2,450元 2.LED層板燈$300*12=$3,600元 3.噴灌電磁閥(1吋半24Vac)$4,800元 4.配管$5,000元 總計$15,850元</t>
        </is>
      </c>
      <c r="C747" t="n">
        <v>15850</v>
      </c>
      <c r="D747" t="inlineStr">
        <is>
          <t>工程維修/購置</t>
        </is>
      </c>
      <c r="E747" t="inlineStr">
        <is>
          <t>非固定</t>
        </is>
      </c>
    </row>
    <row r="748" ht="16.5" customHeight="1" s="84">
      <c r="A748" t="inlineStr">
        <is>
          <t>2023-03</t>
        </is>
      </c>
      <c r="B748" t="inlineStr">
        <is>
          <t>崇友電梯設備維修 丁棟無障礙梯(#8) HCD顯示器$3,048元 5%稅金$152元 總計$3,200元</t>
        </is>
      </c>
      <c r="C748" t="n">
        <v>3200</v>
      </c>
      <c r="D748" t="inlineStr">
        <is>
          <t>電梯保養與修繕</t>
        </is>
      </c>
      <c r="E748" t="inlineStr">
        <is>
          <t>非固定</t>
        </is>
      </c>
      <c r="F748" t="inlineStr">
        <is>
          <t>電梯</t>
        </is>
      </c>
    </row>
    <row r="749" ht="16.5" customHeight="1" s="84">
      <c r="A749" t="inlineStr">
        <is>
          <t>2023-03</t>
        </is>
      </c>
      <c r="B749" t="inlineStr">
        <is>
          <t>崇友電梯設備維修 丁棟無障礙梯(#8) HCD顯示器$3,048元 5%稅金$152元 總計$3,200元</t>
        </is>
      </c>
      <c r="C749" t="n">
        <v>3200</v>
      </c>
      <c r="D749" t="inlineStr">
        <is>
          <t>電梯保養與修繕</t>
        </is>
      </c>
      <c r="E749" t="inlineStr">
        <is>
          <t>非固定</t>
        </is>
      </c>
      <c r="F749" t="inlineStr">
        <is>
          <t>電梯</t>
        </is>
      </c>
    </row>
    <row r="750" ht="16.5" customHeight="1" s="84">
      <c r="A750" t="inlineStr">
        <is>
          <t>2023-03</t>
        </is>
      </c>
      <c r="B750" t="inlineStr">
        <is>
          <t>崇友電梯設備維修 乙棟無障礙梯(#3) 微壓按鈕(上)橙光$476元 5%稅金$24元 總計$500元</t>
        </is>
      </c>
      <c r="C750" t="n">
        <v>500</v>
      </c>
      <c r="D750" t="inlineStr">
        <is>
          <t>電梯保養與修繕</t>
        </is>
      </c>
      <c r="E750" t="inlineStr">
        <is>
          <t>非固定</t>
        </is>
      </c>
      <c r="F750" t="inlineStr">
        <is>
          <t>電梯</t>
        </is>
      </c>
    </row>
    <row r="751" ht="16.5" customHeight="1" s="84">
      <c r="A751" t="inlineStr">
        <is>
          <t>2023-03</t>
        </is>
      </c>
      <c r="B751" t="inlineStr">
        <is>
          <t>崇友電梯設備維修 甲棟貨梯(#2) 配合更換監視器門禁線$1,714元 5%稅金$86元 總計$1,800元</t>
        </is>
      </c>
      <c r="C751" t="n">
        <v>1800</v>
      </c>
      <c r="D751" t="inlineStr">
        <is>
          <t>電梯保養與修繕</t>
        </is>
      </c>
      <c r="E751" t="inlineStr">
        <is>
          <t>非固定</t>
        </is>
      </c>
      <c r="F751" t="inlineStr">
        <is>
          <t>電梯</t>
        </is>
      </c>
    </row>
    <row r="752" ht="16.5" customHeight="1" s="84">
      <c r="A752" t="inlineStr">
        <is>
          <t>2023-03</t>
        </is>
      </c>
      <c r="B752" t="inlineStr">
        <is>
          <t>新鑫堯2月增桶 2月增桶$600*10=$6,000元 總計$6,000元</t>
        </is>
      </c>
      <c r="C752" t="n">
        <v>6000</v>
      </c>
      <c r="D752" t="inlineStr">
        <is>
          <t>垃圾廢棄物/園藝</t>
        </is>
      </c>
      <c r="E752" t="inlineStr">
        <is>
          <t>非固定</t>
        </is>
      </c>
    </row>
    <row r="753" ht="16.5" customHeight="1" s="84">
      <c r="A753" t="inlineStr">
        <is>
          <t>2023-03</t>
        </is>
      </c>
      <c r="B753" t="inlineStr">
        <is>
          <t>新鑫堯春節加收 春節加收$4,000元 總計$4,000元</t>
        </is>
      </c>
      <c r="C753" t="n">
        <v>4000</v>
      </c>
      <c r="D753" t="inlineStr">
        <is>
          <t>垃圾廢棄物/園藝</t>
        </is>
      </c>
      <c r="E753" t="inlineStr">
        <is>
          <t>非固定</t>
        </is>
      </c>
    </row>
    <row r="754" ht="16.5" customHeight="1" s="84">
      <c r="A754" t="inlineStr">
        <is>
          <t>2023-03</t>
        </is>
      </c>
      <c r="B754" t="inlineStr">
        <is>
          <t>一九衛生工程行 抽水肥$1,500*24.81噸=$37,215元 總計$37,215元</t>
        </is>
      </c>
      <c r="C754" t="n">
        <v>37215</v>
      </c>
      <c r="D754" t="inlineStr">
        <is>
          <t>垃圾廢棄物/園藝</t>
        </is>
      </c>
      <c r="E754" t="inlineStr">
        <is>
          <t>非固定</t>
        </is>
      </c>
    </row>
    <row r="755" ht="16.5" customHeight="1" s="84">
      <c r="A755" t="inlineStr">
        <is>
          <t>2023-03</t>
        </is>
      </c>
      <c r="B755" t="inlineStr">
        <is>
          <t>景輝-花園美化補種植栽 補種杜鵑花500株$28,000元 總計$28,000元</t>
        </is>
      </c>
      <c r="C755" t="n">
        <v>28000</v>
      </c>
      <c r="D755" t="inlineStr">
        <is>
          <t>其他支出</t>
        </is>
      </c>
      <c r="E755" t="inlineStr">
        <is>
          <t>非固定</t>
        </is>
      </c>
    </row>
    <row r="756" ht="15" customHeight="1" s="84">
      <c r="A756" t="inlineStr">
        <is>
          <t>2023-03</t>
        </is>
      </c>
      <c r="B756" t="inlineStr">
        <is>
          <t>景輝-花園美化補種植栽 閱覽室前補種紫葳樹$20,000元 總計$20,000元</t>
        </is>
      </c>
      <c r="C756" t="n">
        <v>20000</v>
      </c>
      <c r="D756" t="inlineStr">
        <is>
          <t>其他支出</t>
        </is>
      </c>
      <c r="E756" t="inlineStr">
        <is>
          <t>非固定</t>
        </is>
      </c>
    </row>
    <row r="757" ht="15" customHeight="1" s="84">
      <c r="A757" t="inlineStr">
        <is>
          <t>2023-03</t>
        </is>
      </c>
      <c r="B757" t="inlineStr">
        <is>
          <t>合億工程行-樹屋支撐工程 樹屋平台加強支撐工程$35,500元 總計$35,500元</t>
        </is>
      </c>
      <c r="C757" t="n">
        <v>35500</v>
      </c>
      <c r="D757" t="inlineStr">
        <is>
          <t>工程維修/購置</t>
        </is>
      </c>
      <c r="E757" t="inlineStr">
        <is>
          <t>非固定</t>
        </is>
      </c>
    </row>
    <row r="758" ht="16.5" customHeight="1" s="84">
      <c r="A758" t="inlineStr">
        <is>
          <t>2023-03</t>
        </is>
      </c>
      <c r="B758" t="inlineStr">
        <is>
          <t>112年第八屆區權會出席費發放200元 112年03月18日區權會出席會議發放200元 出席人數239人 $200*239=$47,800元</t>
        </is>
      </c>
      <c r="C758" t="n">
        <v>47800</v>
      </c>
      <c r="D758" t="inlineStr">
        <is>
          <t>行政/會議/律師</t>
        </is>
      </c>
      <c r="E758" t="inlineStr">
        <is>
          <t>非固定</t>
        </is>
      </c>
    </row>
    <row r="759" ht="16.5" customHeight="1" s="84">
      <c r="A759" t="inlineStr">
        <is>
          <t>2023-03</t>
        </is>
      </c>
      <c r="B759" t="inlineStr">
        <is>
          <t>晴揚氯錠 氯錠(3吋90%20KG)$110*300KG=$33,000元</t>
        </is>
      </c>
      <c r="C759" t="n">
        <v>33000</v>
      </c>
      <c r="D759" t="inlineStr">
        <is>
          <t>工程維修/購置</t>
        </is>
      </c>
      <c r="E759" t="inlineStr">
        <is>
          <t>非固定</t>
        </is>
      </c>
    </row>
    <row r="760" ht="16.5" customHeight="1" s="84">
      <c r="A760" t="inlineStr">
        <is>
          <t>2023-03</t>
        </is>
      </c>
      <c r="B760" t="inlineStr">
        <is>
          <t>社區電話費(5630533)2月$588元、3月$779元</t>
        </is>
      </c>
      <c r="C760" t="n">
        <v>1367</v>
      </c>
      <c r="D760" t="inlineStr">
        <is>
          <t>電話/網路費</t>
        </is>
      </c>
      <c r="E760" t="inlineStr">
        <is>
          <t>非固定</t>
        </is>
      </c>
    </row>
    <row r="761" ht="16.5" customHeight="1" s="84">
      <c r="A761" t="inlineStr">
        <is>
          <t>2023-03</t>
        </is>
      </c>
      <c r="B761" t="inlineStr">
        <is>
          <t>社區網路費(Y123617)2月$1899元、3月$1932元</t>
        </is>
      </c>
      <c r="C761" t="n">
        <v>3831</v>
      </c>
      <c r="D761" t="inlineStr">
        <is>
          <t>電話/網路費</t>
        </is>
      </c>
      <c r="E761" t="inlineStr">
        <is>
          <t>非固定</t>
        </is>
      </c>
    </row>
    <row r="762" ht="16.5" customHeight="1" s="84">
      <c r="A762" t="inlineStr">
        <is>
          <t>2023-03</t>
        </is>
      </c>
      <c r="B762" t="inlineStr">
        <is>
          <t>社區網路費(Y174790)2月$1899元、3月$1899元</t>
        </is>
      </c>
      <c r="C762" t="n">
        <v>3798</v>
      </c>
      <c r="D762" t="inlineStr">
        <is>
          <t>電話/網路費</t>
        </is>
      </c>
      <c r="E762" t="inlineStr">
        <is>
          <t>非固定</t>
        </is>
      </c>
    </row>
    <row r="763" ht="16.5" customHeight="1" s="84">
      <c r="A763" t="inlineStr">
        <is>
          <t>2023-03</t>
        </is>
      </c>
      <c r="B763" t="inlineStr">
        <is>
          <t>公共電費</t>
        </is>
      </c>
      <c r="C763" t="n">
        <v>90833</v>
      </c>
      <c r="D763" t="inlineStr">
        <is>
          <t>公共水電瓦斯</t>
        </is>
      </c>
      <c r="E763" t="inlineStr">
        <is>
          <t>非固定</t>
        </is>
      </c>
    </row>
    <row r="764" ht="16.5" customHeight="1" s="84">
      <c r="A764" t="inlineStr">
        <is>
          <t>2023-03</t>
        </is>
      </c>
      <c r="B764" t="inlineStr">
        <is>
          <t>自來水費</t>
        </is>
      </c>
      <c r="C764" t="n">
        <v>0</v>
      </c>
      <c r="D764" t="inlineStr">
        <is>
          <t>公共水電瓦斯</t>
        </is>
      </c>
      <c r="E764" t="inlineStr">
        <is>
          <t>非固定</t>
        </is>
      </c>
    </row>
    <row r="765" ht="16.5" customHeight="1" s="84">
      <c r="A765" t="inlineStr">
        <is>
          <t>2023-04</t>
        </is>
      </c>
      <c r="B765" t="inlineStr">
        <is>
          <t>零用金撥補(112/04) 總計$8,523元</t>
        </is>
      </c>
      <c r="C765" t="n">
        <v>8523</v>
      </c>
      <c r="D765" t="inlineStr">
        <is>
          <t>內部轉帳</t>
        </is>
      </c>
      <c r="E765" t="inlineStr">
        <is>
          <t>非固定</t>
        </is>
      </c>
    </row>
    <row r="766" ht="16.5" customHeight="1" s="84">
      <c r="A766" t="inlineStr">
        <is>
          <t>2023-04</t>
        </is>
      </c>
      <c r="B766" t="inlineStr">
        <is>
          <t>管委會出席費用(預領) 總計$8,000元</t>
        </is>
      </c>
      <c r="C766" t="n">
        <v>8000</v>
      </c>
      <c r="D766" t="inlineStr">
        <is>
          <t>內部轉帳</t>
        </is>
      </c>
      <c r="E766" t="inlineStr">
        <is>
          <t>非固定</t>
        </is>
      </c>
    </row>
    <row r="767" ht="16.5" customHeight="1" s="84">
      <c r="A767" t="inlineStr">
        <is>
          <t>2023-04</t>
        </is>
      </c>
      <c r="B767" t="inlineStr">
        <is>
          <t>電梯專用款撥補(112/04) 總計$50,000元</t>
        </is>
      </c>
      <c r="C767" t="n">
        <v>50000</v>
      </c>
      <c r="D767" t="inlineStr">
        <is>
          <t>內部轉帳</t>
        </is>
      </c>
      <c r="E767" t="inlineStr">
        <is>
          <t>非固定</t>
        </is>
      </c>
    </row>
    <row r="768" ht="16.5" customHeight="1" s="84">
      <c r="A768" t="inlineStr">
        <is>
          <t>2023-04</t>
        </is>
      </c>
      <c r="B768" t="inlineStr">
        <is>
          <t>德懋物業公司(112/04)管理服務費：社區經理乙員，社區秘書乙員，警衛服務人員兩哨。 總計$389,550元</t>
        </is>
      </c>
      <c r="C768" t="n">
        <v>389550</v>
      </c>
      <c r="D768" t="inlineStr">
        <is>
          <t>其他支出</t>
        </is>
      </c>
      <c r="E768" t="inlineStr">
        <is>
          <t>固定</t>
        </is>
      </c>
    </row>
    <row r="769" ht="16.5" customHeight="1" s="84">
      <c r="A769" t="inlineStr">
        <is>
          <t>2023-04</t>
        </is>
      </c>
      <c r="B769" t="inlineStr">
        <is>
          <t>順達清潔服務費(112/04) 總計$109,000元</t>
        </is>
      </c>
      <c r="C769" t="n">
        <v>109000</v>
      </c>
      <c r="D769" t="inlineStr">
        <is>
          <t>清潔服務費</t>
        </is>
      </c>
      <c r="E769" t="inlineStr">
        <is>
          <t>固定</t>
        </is>
      </c>
    </row>
    <row r="770" ht="16.5" customHeight="1" s="84">
      <c r="A770" t="inlineStr">
        <is>
          <t>2023-04</t>
        </is>
      </c>
      <c r="B770" t="inlineStr">
        <is>
          <t>義明清潔服務費(112/04) 總計$109,000元</t>
        </is>
      </c>
      <c r="C770" t="n">
        <v>109000</v>
      </c>
      <c r="D770" t="inlineStr">
        <is>
          <t>清潔服務費</t>
        </is>
      </c>
      <c r="E770" t="inlineStr">
        <is>
          <t>固定</t>
        </is>
      </c>
    </row>
    <row r="771" ht="16.5" customHeight="1" s="84">
      <c r="A771" t="inlineStr">
        <is>
          <t>2023-04</t>
        </is>
      </c>
      <c r="B771" t="inlineStr">
        <is>
          <t>崇友電梯(112/04)電梯保養 總計$100,000元</t>
        </is>
      </c>
      <c r="C771" t="n">
        <v>100000</v>
      </c>
      <c r="D771" t="inlineStr">
        <is>
          <t>電梯保養與修繕</t>
        </is>
      </c>
      <c r="E771" t="inlineStr">
        <is>
          <t>固定</t>
        </is>
      </c>
    </row>
    <row r="772" ht="16.5" customHeight="1" s="84">
      <c r="A772" t="inlineStr">
        <is>
          <t>2023-04</t>
        </is>
      </c>
      <c r="B772" t="inlineStr">
        <is>
          <t>AED(112/05)租賃費 總計$1,500元</t>
        </is>
      </c>
      <c r="C772" t="n">
        <v>1500</v>
      </c>
      <c r="D772" t="inlineStr">
        <is>
          <t>機電/消防/弱電/AED</t>
        </is>
      </c>
      <c r="E772" t="inlineStr">
        <is>
          <t>固定</t>
        </is>
      </c>
    </row>
    <row r="773" ht="16.5" customHeight="1" s="84">
      <c r="A773" t="inlineStr">
        <is>
          <t>2023-04</t>
        </is>
      </c>
      <c r="B773" t="inlineStr">
        <is>
          <t>御品寬頻(112/04)網路服務租賃 總計$9,450元</t>
        </is>
      </c>
      <c r="C773" t="n">
        <v>9450</v>
      </c>
      <c r="D773" t="inlineStr">
        <is>
          <t>機電/消防/弱電/AED</t>
        </is>
      </c>
      <c r="E773" t="inlineStr">
        <is>
          <t>固定</t>
        </is>
      </c>
    </row>
    <row r="774" ht="16.5" customHeight="1" s="84">
      <c r="A774" t="inlineStr">
        <is>
          <t>2023-04</t>
        </is>
      </c>
      <c r="B774" t="inlineStr">
        <is>
          <t>新鑫堯(112/04) 廢棄物清除$32,500元 清潔費$3,500元 總計$36,000元</t>
        </is>
      </c>
      <c r="C774" t="n">
        <v>36000</v>
      </c>
      <c r="D774" t="inlineStr">
        <is>
          <t>垃圾廢棄物/園藝</t>
        </is>
      </c>
      <c r="E774" t="inlineStr">
        <is>
          <t>固定</t>
        </is>
      </c>
    </row>
    <row r="775" ht="16.5" customHeight="1" s="84">
      <c r="A775" t="inlineStr">
        <is>
          <t>2023-04</t>
        </is>
      </c>
      <c r="B775" t="inlineStr">
        <is>
          <t>太古意門禁維護檢點費(112/04) 總計$10,000元</t>
        </is>
      </c>
      <c r="C775" t="n">
        <v>10000</v>
      </c>
      <c r="D775" t="inlineStr">
        <is>
          <t>機電/消防/弱電/AED</t>
        </is>
      </c>
      <c r="E775" t="inlineStr">
        <is>
          <t>固定</t>
        </is>
      </c>
    </row>
    <row r="776" ht="16.5" customHeight="1" s="84">
      <c r="A776" t="inlineStr">
        <is>
          <t>2023-04</t>
        </is>
      </c>
      <c r="B776" t="inlineStr">
        <is>
          <t>鑫禾機電保養費(112/04) 總計$28,000元</t>
        </is>
      </c>
      <c r="C776" t="n">
        <v>28000</v>
      </c>
      <c r="D776" t="inlineStr">
        <is>
          <t>機電/消防/弱電/AED</t>
        </is>
      </c>
      <c r="E776" t="inlineStr">
        <is>
          <t>固定</t>
        </is>
      </c>
    </row>
    <row r="777" ht="16.5" customHeight="1" s="84">
      <c r="A777" t="inlineStr">
        <is>
          <t>2023-04</t>
        </is>
      </c>
      <c r="B777" t="inlineStr">
        <is>
          <t>景輝-園藝定期保養(112/04) 總計$28,000元</t>
        </is>
      </c>
      <c r="C777" t="n">
        <v>28000</v>
      </c>
      <c r="D777" t="inlineStr">
        <is>
          <t>垃圾廢棄物/園藝</t>
        </is>
      </c>
      <c r="E777" t="inlineStr">
        <is>
          <t>固定</t>
        </is>
      </c>
    </row>
    <row r="778" ht="16.5" customHeight="1" s="84">
      <c r="A778" t="inlineStr">
        <is>
          <t>2023-04</t>
        </is>
      </c>
      <c r="B778" t="inlineStr">
        <is>
          <t>鑫禾設備修繕 1.LED杯燈$350*11=$3,850元 2.配管$800*2=$1,600元 3.景觀馬達$23,000元 4.LED層板燈$300元 5.路燈新增$28,000元 6.LED緊急照明燈(壁掛)$400元 7.隱藏式電燈感應器$700元 總計$57,850元</t>
        </is>
      </c>
      <c r="C778" t="n">
        <v>57850</v>
      </c>
      <c r="D778" t="inlineStr">
        <is>
          <t>垃圾廢棄物/園藝</t>
        </is>
      </c>
      <c r="E778" t="inlineStr">
        <is>
          <t>非固定</t>
        </is>
      </c>
    </row>
    <row r="779" ht="16.5" customHeight="1" s="84">
      <c r="A779" t="inlineStr">
        <is>
          <t>2023-04</t>
        </is>
      </c>
      <c r="B779" t="inlineStr">
        <is>
          <t>崇友電梯設備維修 丁棟無障礙梯(#8) CCU基板$13,333元 5%稅金$667元 總計$14,000元</t>
        </is>
      </c>
      <c r="C779" t="n">
        <v>14000</v>
      </c>
      <c r="D779" t="inlineStr">
        <is>
          <t>電梯保養與修繕</t>
        </is>
      </c>
      <c r="E779" t="inlineStr">
        <is>
          <t>非固定</t>
        </is>
      </c>
      <c r="F779" t="inlineStr">
        <is>
          <t>電梯</t>
        </is>
      </c>
    </row>
    <row r="780" ht="16.5" customHeight="1" s="84">
      <c r="A780" t="inlineStr">
        <is>
          <t>2023-04</t>
        </is>
      </c>
      <c r="B780" t="inlineStr">
        <is>
          <t>崇友電梯設備維修 戊棟B3(梯廳) 微壓按鈕(上)橙光$476元 5%稅金$24元 總計$500元</t>
        </is>
      </c>
      <c r="C780" t="n">
        <v>500</v>
      </c>
      <c r="D780" t="inlineStr">
        <is>
          <t>電梯保養與修繕</t>
        </is>
      </c>
      <c r="E780" t="inlineStr">
        <is>
          <t>非固定</t>
        </is>
      </c>
      <c r="F780" t="inlineStr">
        <is>
          <t>電梯</t>
        </is>
      </c>
    </row>
    <row r="781" ht="16.5" customHeight="1" s="84">
      <c r="A781" t="inlineStr">
        <is>
          <t>2023-04</t>
        </is>
      </c>
      <c r="B781" t="inlineStr">
        <is>
          <t>崇友電梯載重測試 CT-011531-001(#1、3、5、8、10) 安檢費$1,200*5=$6,000元 載重測試費$1,500*5=$7,500元 5%稅金$675元 總計$14,175元</t>
        </is>
      </c>
      <c r="C781" t="n">
        <v>14175</v>
      </c>
      <c r="D781" t="inlineStr">
        <is>
          <t>電梯保養與修繕</t>
        </is>
      </c>
      <c r="E781" t="inlineStr">
        <is>
          <t>非固定</t>
        </is>
      </c>
      <c r="F781" t="inlineStr">
        <is>
          <t>電梯</t>
        </is>
      </c>
    </row>
    <row r="782" ht="16.5" customHeight="1" s="84">
      <c r="A782" t="inlineStr">
        <is>
          <t>2023-04</t>
        </is>
      </c>
      <c r="B782" t="inlineStr">
        <is>
          <t>新鑫堯3月增桶 3月增桶$600*10=$6,000元 總計$6,000元</t>
        </is>
      </c>
      <c r="C782" t="n">
        <v>6000</v>
      </c>
      <c r="D782" t="inlineStr">
        <is>
          <t>垃圾廢棄物/園藝</t>
        </is>
      </c>
      <c r="E782" t="inlineStr">
        <is>
          <t>非固定</t>
        </is>
      </c>
    </row>
    <row r="783" ht="15" customHeight="1" s="84">
      <c r="A783" t="inlineStr">
        <is>
          <t>2023-04</t>
        </is>
      </c>
      <c r="B783" t="inlineStr">
        <is>
          <t>太古意設備維修 戊棟B1陽極鎖更新 1.TW定位型陽極鎖$3,000元 2.更換工資$800元 5%稅金$190元 總計$3,990元</t>
        </is>
      </c>
      <c r="C783" t="n">
        <v>3990</v>
      </c>
      <c r="D783" t="inlineStr">
        <is>
          <t>機電/消防/弱電/AED</t>
        </is>
      </c>
      <c r="E783" t="inlineStr">
        <is>
          <t>非固定</t>
        </is>
      </c>
    </row>
    <row r="784" ht="15" customHeight="1" s="84">
      <c r="A784" t="inlineStr">
        <is>
          <t>2023-04</t>
        </is>
      </c>
      <c r="B784" t="inlineStr">
        <is>
          <t>喬山健康科技 健身房跑步機保養共4台 $800*4=$3,200元 5%稅金$160元 總計$3,360元</t>
        </is>
      </c>
      <c r="C784" t="n">
        <v>3360</v>
      </c>
      <c r="D784" t="inlineStr">
        <is>
          <t>工程維修/購置</t>
        </is>
      </c>
      <c r="E784" t="inlineStr">
        <is>
          <t>非固定</t>
        </is>
      </c>
    </row>
    <row r="785" ht="16.5" customHeight="1" s="84">
      <c r="A785" t="inlineStr">
        <is>
          <t>2023-04</t>
        </is>
      </c>
      <c r="B785" t="inlineStr">
        <is>
          <t>喬山健康科技 重訓機鋼索更換 $1,714元 5%稅金$86元 總計$1,800元</t>
        </is>
      </c>
      <c r="C785" t="n">
        <v>1800</v>
      </c>
      <c r="D785" t="inlineStr">
        <is>
          <t>工程維修/購置</t>
        </is>
      </c>
      <c r="E785" t="inlineStr">
        <is>
          <t>非固定</t>
        </is>
      </c>
    </row>
    <row r="786" ht="16.5" customHeight="1" s="84">
      <c r="A786" t="inlineStr">
        <is>
          <t>2023-04</t>
        </is>
      </c>
      <c r="B786" t="inlineStr">
        <is>
          <t>一盞燈 111年7月搶修店11廢水回冒 1.疏通管路切割流理台及排水管$16,000元 2.訴訟費$1,000元 3.利息$316元 總計$17,316元</t>
        </is>
      </c>
      <c r="C786" t="n">
        <v>17316</v>
      </c>
      <c r="D786" t="inlineStr">
        <is>
          <t>工程維修/購置</t>
        </is>
      </c>
      <c r="E786" t="inlineStr">
        <is>
          <t>非固定</t>
        </is>
      </c>
    </row>
    <row r="787" ht="16.5" customHeight="1" s="84">
      <c r="A787" t="inlineStr">
        <is>
          <t>2023-04</t>
        </is>
      </c>
      <c r="B787" t="inlineStr">
        <is>
          <t>社區電話費(5630533)</t>
        </is>
      </c>
      <c r="C787" t="n">
        <v>1150</v>
      </c>
      <c r="D787" t="inlineStr">
        <is>
          <t>電話/網路費</t>
        </is>
      </c>
      <c r="E787" t="inlineStr">
        <is>
          <t>非固定</t>
        </is>
      </c>
    </row>
    <row r="788" ht="16.5" customHeight="1" s="84">
      <c r="A788" t="inlineStr">
        <is>
          <t>2023-04</t>
        </is>
      </c>
      <c r="B788" t="inlineStr">
        <is>
          <t>社區網路費(Y123617)</t>
        </is>
      </c>
      <c r="C788" t="n">
        <v>1899</v>
      </c>
      <c r="D788" t="inlineStr">
        <is>
          <t>電話/網路費</t>
        </is>
      </c>
      <c r="E788" t="inlineStr">
        <is>
          <t>非固定</t>
        </is>
      </c>
    </row>
    <row r="789" ht="16.5" customHeight="1" s="84">
      <c r="A789" t="inlineStr">
        <is>
          <t>2023-04</t>
        </is>
      </c>
      <c r="B789" t="inlineStr">
        <is>
          <t>社區網路費(Y174790)</t>
        </is>
      </c>
      <c r="C789" t="n">
        <v>1899</v>
      </c>
      <c r="D789" t="inlineStr">
        <is>
          <t>電話/網路費</t>
        </is>
      </c>
      <c r="E789" t="inlineStr">
        <is>
          <t>非固定</t>
        </is>
      </c>
    </row>
    <row r="790" ht="16.5" customHeight="1" s="84">
      <c r="A790" t="inlineStr">
        <is>
          <t>2023-04</t>
        </is>
      </c>
      <c r="B790" t="inlineStr">
        <is>
          <t>公共電費</t>
        </is>
      </c>
      <c r="C790" t="n">
        <v>83049</v>
      </c>
      <c r="D790" t="inlineStr">
        <is>
          <t>公共水電瓦斯</t>
        </is>
      </c>
      <c r="E790" t="inlineStr">
        <is>
          <t>非固定</t>
        </is>
      </c>
    </row>
    <row r="791" ht="16.5" customHeight="1" s="84">
      <c r="A791" t="inlineStr">
        <is>
          <t>2023-04</t>
        </is>
      </c>
      <c r="B791" t="inlineStr">
        <is>
          <t>自來水費</t>
        </is>
      </c>
      <c r="C791" t="n">
        <v>4324</v>
      </c>
      <c r="D791" t="inlineStr">
        <is>
          <t>公共水電瓦斯</t>
        </is>
      </c>
      <c r="E791" t="inlineStr">
        <is>
          <t>非固定</t>
        </is>
      </c>
    </row>
    <row r="792" ht="16.5" customHeight="1" s="84">
      <c r="A792" t="inlineStr">
        <is>
          <t>2023-05</t>
        </is>
      </c>
      <c r="B792" t="inlineStr">
        <is>
          <t>零用金撥補(112/05) 總計$2,580元</t>
        </is>
      </c>
      <c r="C792" t="n">
        <v>2580</v>
      </c>
      <c r="D792" t="inlineStr">
        <is>
          <t>內部轉帳</t>
        </is>
      </c>
      <c r="E792" t="inlineStr">
        <is>
          <t>非固定</t>
        </is>
      </c>
    </row>
    <row r="793" ht="16.5" customHeight="1" s="84">
      <c r="A793" t="inlineStr">
        <is>
          <t>2023-05</t>
        </is>
      </c>
      <c r="B793" t="inlineStr">
        <is>
          <t>管委會出席費用(預領) 總計$8,000元</t>
        </is>
      </c>
      <c r="C793" t="n">
        <v>8000</v>
      </c>
      <c r="D793" t="inlineStr">
        <is>
          <t>內部轉帳</t>
        </is>
      </c>
      <c r="E793" t="inlineStr">
        <is>
          <t>非固定</t>
        </is>
      </c>
    </row>
    <row r="794" ht="16.5" customHeight="1" s="84">
      <c r="A794" t="inlineStr">
        <is>
          <t>2023-05</t>
        </is>
      </c>
      <c r="B794" t="inlineStr">
        <is>
          <t>電梯專用款撥補(112/05) 總計$50,000元</t>
        </is>
      </c>
      <c r="C794" t="n">
        <v>50000</v>
      </c>
      <c r="D794" t="inlineStr">
        <is>
          <t>內部轉帳</t>
        </is>
      </c>
      <c r="E794" t="inlineStr">
        <is>
          <t>非固定</t>
        </is>
      </c>
    </row>
    <row r="795" ht="16.5" customHeight="1" s="84">
      <c r="A795" t="inlineStr">
        <is>
          <t>2023-05</t>
        </is>
      </c>
      <c r="B795" t="inlineStr">
        <is>
          <t>德懋物業公司(112/05)管理服務費：社區經理乙員，社區秘書乙員，警衛服務人員兩哨。 總計$389,550元</t>
        </is>
      </c>
      <c r="C795" t="n">
        <v>389550</v>
      </c>
      <c r="D795" t="inlineStr">
        <is>
          <t>其他支出</t>
        </is>
      </c>
      <c r="E795" t="inlineStr">
        <is>
          <t>固定</t>
        </is>
      </c>
    </row>
    <row r="796" ht="16.5" customHeight="1" s="84">
      <c r="A796" t="inlineStr">
        <is>
          <t>2023-05</t>
        </is>
      </c>
      <c r="B796" t="inlineStr">
        <is>
          <t>順達清潔服務費(112/05) 總計$109,000元</t>
        </is>
      </c>
      <c r="C796" t="n">
        <v>109000</v>
      </c>
      <c r="D796" t="inlineStr">
        <is>
          <t>清潔服務費</t>
        </is>
      </c>
      <c r="E796" t="inlineStr">
        <is>
          <t>固定</t>
        </is>
      </c>
    </row>
    <row r="797" ht="16.5" customHeight="1" s="84">
      <c r="A797" t="inlineStr">
        <is>
          <t>2023-05</t>
        </is>
      </c>
      <c r="B797" t="inlineStr">
        <is>
          <t>義明清潔服務費(112/05) 總計$109,000元</t>
        </is>
      </c>
      <c r="C797" t="n">
        <v>109000</v>
      </c>
      <c r="D797" t="inlineStr">
        <is>
          <t>清潔服務費</t>
        </is>
      </c>
      <c r="E797" t="inlineStr">
        <is>
          <t>固定</t>
        </is>
      </c>
    </row>
    <row r="798" ht="16.5" customHeight="1" s="84">
      <c r="A798" t="inlineStr">
        <is>
          <t>2023-05</t>
        </is>
      </c>
      <c r="B798" t="inlineStr">
        <is>
          <t>崇友電梯(112/05)電梯保養 總計$100,000元</t>
        </is>
      </c>
      <c r="C798" t="n">
        <v>100000</v>
      </c>
      <c r="D798" t="inlineStr">
        <is>
          <t>電梯保養與修繕</t>
        </is>
      </c>
      <c r="E798" t="inlineStr">
        <is>
          <t>固定</t>
        </is>
      </c>
    </row>
    <row r="799" ht="16.5" customHeight="1" s="84">
      <c r="A799" t="inlineStr">
        <is>
          <t>2023-05</t>
        </is>
      </c>
      <c r="B799" t="inlineStr">
        <is>
          <t>AED(112/06)租賃費 總計$1,500元</t>
        </is>
      </c>
      <c r="C799" t="n">
        <v>1500</v>
      </c>
      <c r="D799" t="inlineStr">
        <is>
          <t>機電/消防/弱電/AED</t>
        </is>
      </c>
      <c r="E799" t="inlineStr">
        <is>
          <t>固定</t>
        </is>
      </c>
    </row>
    <row r="800" ht="16.5" customHeight="1" s="84">
      <c r="A800" t="inlineStr">
        <is>
          <t>2023-05</t>
        </is>
      </c>
      <c r="B800" t="inlineStr">
        <is>
          <t>御品寬頻(112/05)網路服務租賃 總計$9,450元</t>
        </is>
      </c>
      <c r="C800" t="n">
        <v>9450</v>
      </c>
      <c r="D800" t="inlineStr">
        <is>
          <t>機電/消防/弱電/AED</t>
        </is>
      </c>
      <c r="E800" t="inlineStr">
        <is>
          <t>固定</t>
        </is>
      </c>
    </row>
    <row r="801" ht="16.5" customHeight="1" s="84">
      <c r="A801" t="inlineStr">
        <is>
          <t>2023-05</t>
        </is>
      </c>
      <c r="B801" t="inlineStr">
        <is>
          <t>新鑫堯(112/05) 廢棄物清除$32,500元 清潔費$3,500元 總計$36,000元</t>
        </is>
      </c>
      <c r="C801" t="n">
        <v>36000</v>
      </c>
      <c r="D801" t="inlineStr">
        <is>
          <t>垃圾廢棄物/園藝</t>
        </is>
      </c>
      <c r="E801" t="inlineStr">
        <is>
          <t>固定</t>
        </is>
      </c>
    </row>
    <row r="802" ht="16.5" customHeight="1" s="84">
      <c r="A802" t="inlineStr">
        <is>
          <t>2023-05</t>
        </is>
      </c>
      <c r="B802" t="inlineStr">
        <is>
          <t>太古意門禁維護檢點費(112/05) 總計$10,000元</t>
        </is>
      </c>
      <c r="C802" t="n">
        <v>10000</v>
      </c>
      <c r="D802" t="inlineStr">
        <is>
          <t>機電/消防/弱電/AED</t>
        </is>
      </c>
      <c r="E802" t="inlineStr">
        <is>
          <t>固定</t>
        </is>
      </c>
    </row>
    <row r="803" ht="16.5" customHeight="1" s="84">
      <c r="A803" t="inlineStr">
        <is>
          <t>2023-05</t>
        </is>
      </c>
      <c r="B803" t="inlineStr">
        <is>
          <t>鑫禾機電保養費(112/05) 總計$28,000元</t>
        </is>
      </c>
      <c r="C803" t="n">
        <v>28000</v>
      </c>
      <c r="D803" t="inlineStr">
        <is>
          <t>機電/消防/弱電/AED</t>
        </is>
      </c>
      <c r="E803" t="inlineStr">
        <is>
          <t>固定</t>
        </is>
      </c>
    </row>
    <row r="804" ht="16.5" customHeight="1" s="84">
      <c r="A804" t="inlineStr">
        <is>
          <t>2023-05</t>
        </is>
      </c>
      <c r="B804" t="inlineStr">
        <is>
          <t>景輝-園藝定期保養(112/05) 總計$28,000元</t>
        </is>
      </c>
      <c r="C804" t="n">
        <v>28000</v>
      </c>
      <c r="D804" t="inlineStr">
        <is>
          <t>垃圾廢棄物/園藝</t>
        </is>
      </c>
      <c r="E804" t="inlineStr">
        <is>
          <t>固定</t>
        </is>
      </c>
    </row>
    <row r="805" ht="16.5" customHeight="1" s="84">
      <c r="A805" t="inlineStr">
        <is>
          <t>2023-05</t>
        </is>
      </c>
      <c r="B805" t="inlineStr">
        <is>
          <t>鑫禾設備修繕 1.LED杯燈$350*22=$7,700元 2.LED層板燈$300*11=$3,300元 3.LED燈條$5,000元 4.LED球泡燈$300*7=$770元 總計$16,770元</t>
        </is>
      </c>
      <c r="C805" t="n">
        <v>16770</v>
      </c>
      <c r="D805" t="inlineStr">
        <is>
          <t>工程維修/購置</t>
        </is>
      </c>
      <c r="E805" t="inlineStr">
        <is>
          <t>非固定</t>
        </is>
      </c>
    </row>
    <row r="806" ht="16.5" customHeight="1" s="84">
      <c r="A806" t="inlineStr">
        <is>
          <t>2023-05</t>
        </is>
      </c>
      <c r="B806" t="inlineStr">
        <is>
          <t>崇友電梯設備維修 丙棟無障礙梯(#5) 滾輪$21,486元 5%稅金$1,074元 總計$22,560元</t>
        </is>
      </c>
      <c r="C806" t="n">
        <v>22560</v>
      </c>
      <c r="D806" t="inlineStr">
        <is>
          <t>電梯保養與修繕</t>
        </is>
      </c>
      <c r="E806" t="inlineStr">
        <is>
          <t>非固定</t>
        </is>
      </c>
      <c r="F806" t="inlineStr">
        <is>
          <t>電梯</t>
        </is>
      </c>
    </row>
    <row r="807" ht="15" customHeight="1" s="84">
      <c r="A807" t="inlineStr">
        <is>
          <t>2023-05</t>
        </is>
      </c>
      <c r="B807" t="inlineStr">
        <is>
          <t>崇友電梯設備維修 丙棟無障礙梯(#5) 變頻器改造更換工程$95,238元 5%稅金$4,762元 總計$100,000元</t>
        </is>
      </c>
      <c r="C807" t="n">
        <v>100000</v>
      </c>
      <c r="D807" t="inlineStr">
        <is>
          <t>電梯保養與修繕</t>
        </is>
      </c>
      <c r="E807" t="inlineStr">
        <is>
          <t>非固定</t>
        </is>
      </c>
      <c r="F807" t="inlineStr">
        <is>
          <t>電梯</t>
        </is>
      </c>
    </row>
    <row r="808" ht="15" customHeight="1" s="84">
      <c r="A808" t="inlineStr">
        <is>
          <t>2023-05</t>
        </is>
      </c>
      <c r="B808" t="inlineStr">
        <is>
          <t>新鑫堯4月增桶 4月增桶$600*8=$4,800元 總計$4,8000元</t>
        </is>
      </c>
      <c r="C808" t="n">
        <v>4800</v>
      </c>
      <c r="D808" t="inlineStr">
        <is>
          <t>垃圾廢棄物/園藝</t>
        </is>
      </c>
      <c r="E808" t="inlineStr">
        <is>
          <t>非固定</t>
        </is>
      </c>
    </row>
    <row r="809" ht="16.5" customHeight="1" s="84">
      <c r="A809" t="inlineStr">
        <is>
          <t>2023-05</t>
        </is>
      </c>
      <c r="B809" t="inlineStr">
        <is>
          <t>好鵬興業 111年5月5日維修 入口處機車道 捲門維修更換主機板及變壓器$6,500元 5%稅金$325元 總計$6,825元</t>
        </is>
      </c>
      <c r="C809" t="n">
        <v>6825</v>
      </c>
      <c r="D809" t="inlineStr">
        <is>
          <t>工程維修/購置</t>
        </is>
      </c>
      <c r="E809" t="inlineStr">
        <is>
          <t>非固定</t>
        </is>
      </c>
    </row>
    <row r="810" ht="16.5" customHeight="1" s="84">
      <c r="A810" t="inlineStr">
        <is>
          <t>2023-05</t>
        </is>
      </c>
      <c r="B810" t="inlineStr">
        <is>
          <t>采縈-遮陽傘 泳池遮陽傘$2,240元 匯款手續費$30元 總計$2,270元</t>
        </is>
      </c>
      <c r="C810" t="n">
        <v>2270</v>
      </c>
      <c r="D810" t="inlineStr">
        <is>
          <t>其他支出</t>
        </is>
      </c>
      <c r="E810" t="inlineStr">
        <is>
          <t>非固定</t>
        </is>
      </c>
      <c r="F810" t="inlineStr">
        <is>
          <t>游泳池</t>
        </is>
      </c>
    </row>
    <row r="811" ht="16.5" customHeight="1" s="84">
      <c r="A811" t="inlineStr">
        <is>
          <t>2023-05</t>
        </is>
      </c>
      <c r="B811" t="inlineStr">
        <is>
          <t>社區電話費(5630533)</t>
        </is>
      </c>
      <c r="C811" t="n">
        <v>760</v>
      </c>
      <c r="D811" t="inlineStr">
        <is>
          <t>電話/網路費</t>
        </is>
      </c>
      <c r="E811" t="inlineStr">
        <is>
          <t>非固定</t>
        </is>
      </c>
    </row>
    <row r="812" ht="16.5" customHeight="1" s="84">
      <c r="A812" t="inlineStr">
        <is>
          <t>2023-05</t>
        </is>
      </c>
      <c r="B812" t="inlineStr">
        <is>
          <t>社區網路費(Y123617)</t>
        </is>
      </c>
      <c r="C812" t="n">
        <v>1899</v>
      </c>
      <c r="D812" t="inlineStr">
        <is>
          <t>電話/網路費</t>
        </is>
      </c>
      <c r="E812" t="inlineStr">
        <is>
          <t>非固定</t>
        </is>
      </c>
    </row>
    <row r="813" ht="16.5" customHeight="1" s="84">
      <c r="A813" t="inlineStr">
        <is>
          <t>2023-05</t>
        </is>
      </c>
      <c r="B813" t="inlineStr">
        <is>
          <t>社區網路費(Y174790)</t>
        </is>
      </c>
      <c r="C813" t="n">
        <v>1899</v>
      </c>
      <c r="D813" t="inlineStr">
        <is>
          <t>電話/網路費</t>
        </is>
      </c>
      <c r="E813" t="inlineStr">
        <is>
          <t>非固定</t>
        </is>
      </c>
    </row>
    <row r="814" ht="16.5" customHeight="1" s="84">
      <c r="A814" t="inlineStr">
        <is>
          <t>2023-05</t>
        </is>
      </c>
      <c r="B814" t="inlineStr">
        <is>
          <t>公共電費</t>
        </is>
      </c>
      <c r="C814" t="n">
        <v>93029</v>
      </c>
      <c r="D814" t="inlineStr">
        <is>
          <t>公共水電瓦斯</t>
        </is>
      </c>
      <c r="E814" t="inlineStr">
        <is>
          <t>非固定</t>
        </is>
      </c>
    </row>
    <row r="815" ht="16.5" customHeight="1" s="84">
      <c r="A815" t="inlineStr">
        <is>
          <t>2023-05</t>
        </is>
      </c>
      <c r="B815" t="inlineStr">
        <is>
          <t>自來水費</t>
        </is>
      </c>
      <c r="C815" t="n">
        <v>0</v>
      </c>
      <c r="D815" t="inlineStr">
        <is>
          <t>公共水電瓦斯</t>
        </is>
      </c>
      <c r="E815" t="inlineStr">
        <is>
          <t>非固定</t>
        </is>
      </c>
    </row>
    <row r="816" ht="16.5" customHeight="1" s="84">
      <c r="A816" t="inlineStr">
        <is>
          <t>2023-06</t>
        </is>
      </c>
      <c r="B816" t="inlineStr">
        <is>
          <t>零用金撥補(112/06) 總計$14,178元</t>
        </is>
      </c>
      <c r="C816" t="n">
        <v>14178</v>
      </c>
      <c r="D816" t="inlineStr">
        <is>
          <t>內部轉帳</t>
        </is>
      </c>
      <c r="E816" t="inlineStr">
        <is>
          <t>非固定</t>
        </is>
      </c>
    </row>
    <row r="817" ht="16.5" customHeight="1" s="84">
      <c r="A817" t="inlineStr">
        <is>
          <t>2023-06</t>
        </is>
      </c>
      <c r="B817" t="inlineStr">
        <is>
          <t>管委會出席費用(預領) 總計$8,000元</t>
        </is>
      </c>
      <c r="C817" t="n">
        <v>8000</v>
      </c>
      <c r="D817" t="inlineStr">
        <is>
          <t>內部轉帳</t>
        </is>
      </c>
      <c r="E817" t="inlineStr">
        <is>
          <t>非固定</t>
        </is>
      </c>
    </row>
    <row r="818" ht="16.5" customHeight="1" s="84">
      <c r="A818" t="inlineStr">
        <is>
          <t>2023-06</t>
        </is>
      </c>
      <c r="B818" t="inlineStr">
        <is>
          <t>電梯專用款撥補(112/06) 總計$50,000元</t>
        </is>
      </c>
      <c r="C818" t="n">
        <v>50000</v>
      </c>
      <c r="D818" t="inlineStr">
        <is>
          <t>內部轉帳</t>
        </is>
      </c>
      <c r="E818" t="inlineStr">
        <is>
          <t>非固定</t>
        </is>
      </c>
    </row>
    <row r="819" ht="16.5" customHeight="1" s="84">
      <c r="A819" t="inlineStr">
        <is>
          <t>2023-06</t>
        </is>
      </c>
      <c r="B819" t="inlineStr">
        <is>
          <t>德懋物業公司(112/06)管理服務費：社區經理乙員，社區秘書乙員，警衛服務人員兩哨。 總計$389,550元</t>
        </is>
      </c>
      <c r="C819" t="n">
        <v>389550</v>
      </c>
      <c r="D819" t="inlineStr">
        <is>
          <t>其他支出</t>
        </is>
      </c>
      <c r="E819" t="inlineStr">
        <is>
          <t>固定</t>
        </is>
      </c>
    </row>
    <row r="820" ht="16.5" customHeight="1" s="84">
      <c r="A820" t="inlineStr">
        <is>
          <t>2023-06</t>
        </is>
      </c>
      <c r="B820" t="inlineStr">
        <is>
          <t>順達清潔服務費(112/06) 總計$109,000元</t>
        </is>
      </c>
      <c r="C820" t="n">
        <v>109000</v>
      </c>
      <c r="D820" t="inlineStr">
        <is>
          <t>清潔服務費</t>
        </is>
      </c>
      <c r="E820" t="inlineStr">
        <is>
          <t>固定</t>
        </is>
      </c>
    </row>
    <row r="821" ht="16.5" customHeight="1" s="84">
      <c r="A821" t="inlineStr">
        <is>
          <t>2023-06</t>
        </is>
      </c>
      <c r="B821" t="inlineStr">
        <is>
          <t>義明清潔服務費(112/06) 總計$109,000元</t>
        </is>
      </c>
      <c r="C821" t="n">
        <v>109000</v>
      </c>
      <c r="D821" t="inlineStr">
        <is>
          <t>清潔服務費</t>
        </is>
      </c>
      <c r="E821" t="inlineStr">
        <is>
          <t>固定</t>
        </is>
      </c>
    </row>
    <row r="822" ht="16.5" customHeight="1" s="84">
      <c r="A822" t="inlineStr">
        <is>
          <t>2023-06</t>
        </is>
      </c>
      <c r="B822" t="inlineStr">
        <is>
          <t>崇友電梯(112/06)電梯保養 總計$100,000元</t>
        </is>
      </c>
      <c r="C822" t="n">
        <v>100000</v>
      </c>
      <c r="D822" t="inlineStr">
        <is>
          <t>電梯保養與修繕</t>
        </is>
      </c>
      <c r="E822" t="inlineStr">
        <is>
          <t>固定</t>
        </is>
      </c>
    </row>
    <row r="823" ht="16.5" customHeight="1" s="84">
      <c r="A823" t="inlineStr">
        <is>
          <t>2023-06</t>
        </is>
      </c>
      <c r="B823" t="inlineStr">
        <is>
          <t>AED(112/07)租賃費 總計$1,500元</t>
        </is>
      </c>
      <c r="C823" t="n">
        <v>1500</v>
      </c>
      <c r="D823" t="inlineStr">
        <is>
          <t>機電/消防/弱電/AED</t>
        </is>
      </c>
      <c r="E823" t="inlineStr">
        <is>
          <t>固定</t>
        </is>
      </c>
    </row>
    <row r="824" ht="16.5" customHeight="1" s="84">
      <c r="A824" t="inlineStr">
        <is>
          <t>2023-06</t>
        </is>
      </c>
      <c r="B824" t="inlineStr">
        <is>
          <t>御品寬頻(112/06)網路服務租賃 總計$9,450元</t>
        </is>
      </c>
      <c r="C824" t="n">
        <v>9450</v>
      </c>
      <c r="D824" t="inlineStr">
        <is>
          <t>機電/消防/弱電/AED</t>
        </is>
      </c>
      <c r="E824" t="inlineStr">
        <is>
          <t>固定</t>
        </is>
      </c>
    </row>
    <row r="825" ht="16.5" customHeight="1" s="84">
      <c r="A825" t="inlineStr">
        <is>
          <t>2023-06</t>
        </is>
      </c>
      <c r="B825" t="inlineStr">
        <is>
          <t>新鑫堯(112/06) 廢棄物清除$32,500元 清潔費$3,500元 總計$36,000元</t>
        </is>
      </c>
      <c r="C825" t="n">
        <v>36000</v>
      </c>
      <c r="D825" t="inlineStr">
        <is>
          <t>垃圾廢棄物/園藝</t>
        </is>
      </c>
      <c r="E825" t="inlineStr">
        <is>
          <t>固定</t>
        </is>
      </c>
    </row>
    <row r="826" ht="16.5" customHeight="1" s="84">
      <c r="A826" t="inlineStr">
        <is>
          <t>2023-06</t>
        </is>
      </c>
      <c r="B826" t="inlineStr">
        <is>
          <t>太古意門禁維護檢點費(112/06) 總計$10,000元</t>
        </is>
      </c>
      <c r="C826" t="n">
        <v>10000</v>
      </c>
      <c r="D826" t="inlineStr">
        <is>
          <t>機電/消防/弱電/AED</t>
        </is>
      </c>
      <c r="E826" t="inlineStr">
        <is>
          <t>固定</t>
        </is>
      </c>
    </row>
    <row r="827" ht="16.5" customHeight="1" s="84">
      <c r="A827" t="inlineStr">
        <is>
          <t>2023-06</t>
        </is>
      </c>
      <c r="B827" t="inlineStr">
        <is>
          <t>鑫禾機電保養費(112/06) 總計$28,000元</t>
        </is>
      </c>
      <c r="C827" t="n">
        <v>28000</v>
      </c>
      <c r="D827" t="inlineStr">
        <is>
          <t>機電/消防/弱電/AED</t>
        </is>
      </c>
      <c r="E827" t="inlineStr">
        <is>
          <t>固定</t>
        </is>
      </c>
    </row>
    <row r="828" ht="16.5" customHeight="1" s="84">
      <c r="A828" t="inlineStr">
        <is>
          <t>2023-06</t>
        </is>
      </c>
      <c r="B828" t="inlineStr">
        <is>
          <t>景輝-園藝定期保養(112/06) 總計$28,000元</t>
        </is>
      </c>
      <c r="C828" t="n">
        <v>28000</v>
      </c>
      <c r="D828" t="inlineStr">
        <is>
          <t>垃圾廢棄物/園藝</t>
        </is>
      </c>
      <c r="E828" t="inlineStr">
        <is>
          <t>固定</t>
        </is>
      </c>
    </row>
    <row r="829" ht="16.5" customHeight="1" s="84">
      <c r="A829" t="inlineStr">
        <is>
          <t>2023-06</t>
        </is>
      </c>
      <c r="B829" t="inlineStr">
        <is>
          <t>鑫禾設備修繕 1.LED杯燈$350*15=$5,250元 2.LED求泡燈$110元 3.回收室水龍頭更換$800元 4.LED層板燈$300*9=$2,700元 5.隱藏式電燈感應器$700*8=$5,600元 6.受信總機功能新增$37,000元 7.紅外線電燈感應器$650*13=$8,450元 8.放流水錶轉只更換$6,000元 9.消防泵浦啟動變壓器$4,500元 10.B1廁所面盆水龍頭更換$3,000元 11.甲棟3F排煙窗機板及變壓器更換$5,000元 12.噴灌給水管配管$5,000元 總計$83,410元</t>
        </is>
      </c>
      <c r="C829" t="n">
        <v>83410</v>
      </c>
      <c r="D829" t="inlineStr">
        <is>
          <t>機電/消防/弱電/AED</t>
        </is>
      </c>
      <c r="E829" t="inlineStr">
        <is>
          <t>非固定</t>
        </is>
      </c>
    </row>
    <row r="830" ht="16.5" customHeight="1" s="84">
      <c r="A830" t="inlineStr">
        <is>
          <t>2023-06</t>
        </is>
      </c>
      <c r="B830" t="inlineStr">
        <is>
          <t>崇友電梯設備維修 甲棟無障礙電梯#1 微壓按鍵光衰更換 B3、1F、2F、MF、關、上$2,857元 5%稅金$143元 總計$3,000元</t>
        </is>
      </c>
      <c r="C830" t="n">
        <v>3000</v>
      </c>
      <c r="D830" t="inlineStr">
        <is>
          <t>電梯保養與修繕</t>
        </is>
      </c>
      <c r="E830" t="inlineStr">
        <is>
          <t>非固定</t>
        </is>
      </c>
      <c r="F830" t="inlineStr">
        <is>
          <t>電梯</t>
        </is>
      </c>
    </row>
    <row r="831" ht="16.5" customHeight="1" s="84">
      <c r="A831" t="inlineStr">
        <is>
          <t>2023-06</t>
        </is>
      </c>
      <c r="B831" t="inlineStr">
        <is>
          <t>崇友電梯設備維修 丙棟無障礙梯(#5) HCD顯示器更換工程$3,048元 5%稅金$152元 總計$3,200元</t>
        </is>
      </c>
      <c r="C831" t="n">
        <v>3200</v>
      </c>
      <c r="D831" t="inlineStr">
        <is>
          <t>電梯保養與修繕</t>
        </is>
      </c>
      <c r="E831" t="inlineStr">
        <is>
          <t>非固定</t>
        </is>
      </c>
      <c r="F831" t="inlineStr">
        <is>
          <t>電梯</t>
        </is>
      </c>
    </row>
    <row r="832" ht="16.5" customHeight="1" s="84">
      <c r="A832" t="inlineStr">
        <is>
          <t>2023-06</t>
        </is>
      </c>
      <c r="B832" t="inlineStr">
        <is>
          <t>新鑫堯垃圾增桶 5月增桶$600*10=$6,000元 總計$6,000元</t>
        </is>
      </c>
      <c r="C832" t="n">
        <v>6000</v>
      </c>
      <c r="D832" t="inlineStr">
        <is>
          <t>垃圾廢棄物/園藝</t>
        </is>
      </c>
      <c r="E832" t="inlineStr">
        <is>
          <t>非固定</t>
        </is>
      </c>
    </row>
    <row r="833" ht="15" customHeight="1" s="84">
      <c r="A833" t="inlineStr">
        <is>
          <t>2023-06</t>
        </is>
      </c>
      <c r="B833" t="inlineStr">
        <is>
          <t>好鵬興業 112.05.19維修 入口處機車道 更換極限開關$2,000元 5%稅金100元， 計$2,100元 112.06.03維修 60A鍍鋅防火捲門傾斜復歸、極限調整$3,000元 5%稅金$150元 計$3,150元 總計$5,250元</t>
        </is>
      </c>
      <c r="C833" t="n">
        <v>5250</v>
      </c>
      <c r="D833" t="inlineStr">
        <is>
          <t>工程維修/購置</t>
        </is>
      </c>
      <c r="E833" t="inlineStr">
        <is>
          <t>非固定</t>
        </is>
      </c>
    </row>
    <row r="834" ht="15" customHeight="1" s="84">
      <c r="A834" t="inlineStr">
        <is>
          <t>2023-06</t>
        </is>
      </c>
      <c r="B834" t="inlineStr">
        <is>
          <t>鋐隆清潔用品 112.05.22 1.抽取衛生紙五月花$630元 2.芳柔環保擦手紙$480元 3.小捲衛生紙芙蓉$480*2=$960元 4.5%稅金$104元 計$2,174元 112.06.13 1.芳柔環保擦手紙$480元 2.小捲衛生紙芙蓉$480*2=$960元 4.5%稅金$72元 計$1,512元 總計$3,686元</t>
        </is>
      </c>
      <c r="C834" t="n">
        <v>3686</v>
      </c>
      <c r="D834" t="inlineStr">
        <is>
          <t>清潔服務費</t>
        </is>
      </c>
      <c r="E834" t="inlineStr">
        <is>
          <t>非固定</t>
        </is>
      </c>
    </row>
    <row r="835" ht="16.5" customHeight="1" s="84">
      <c r="A835" t="inlineStr">
        <is>
          <t>2023-06</t>
        </is>
      </c>
      <c r="B835" t="inlineStr">
        <is>
          <t>佳和企業 112.06.17 丁棟地腳鍊更換$16,000元 5%稅金$800元 總計$16,800元</t>
        </is>
      </c>
      <c r="C835" t="n">
        <v>16800</v>
      </c>
      <c r="D835" t="inlineStr">
        <is>
          <t>其他支出</t>
        </is>
      </c>
      <c r="E835" t="inlineStr">
        <is>
          <t>非固定</t>
        </is>
      </c>
    </row>
    <row r="836" ht="16.5" customHeight="1" s="84">
      <c r="A836" t="inlineStr">
        <is>
          <t>2023-06</t>
        </is>
      </c>
      <c r="B836" t="inlineStr">
        <is>
          <t>富邦產險 商業火災險(112.06.29~113.06.29) 總計$8,000元 (取現金至便利商店繳費)</t>
        </is>
      </c>
      <c r="C836" t="n">
        <v>8000</v>
      </c>
      <c r="D836" t="inlineStr">
        <is>
          <t>其他支出</t>
        </is>
      </c>
      <c r="E836" t="inlineStr">
        <is>
          <t>非固定</t>
        </is>
      </c>
    </row>
    <row r="837" ht="16.5" customHeight="1" s="84">
      <c r="A837" t="inlineStr">
        <is>
          <t>2023-06</t>
        </is>
      </c>
      <c r="B837" t="inlineStr">
        <is>
          <t>社區電話費(5630533)</t>
        </is>
      </c>
      <c r="C837" t="n">
        <v>567</v>
      </c>
      <c r="D837" t="inlineStr">
        <is>
          <t>電話/網路費</t>
        </is>
      </c>
      <c r="E837" t="inlineStr">
        <is>
          <t>非固定</t>
        </is>
      </c>
    </row>
    <row r="838" ht="16.5" customHeight="1" s="84">
      <c r="A838" t="inlineStr">
        <is>
          <t>2023-06</t>
        </is>
      </c>
      <c r="B838" t="inlineStr">
        <is>
          <t>社區網路費(Y123617)</t>
        </is>
      </c>
      <c r="C838" t="n">
        <v>1899</v>
      </c>
      <c r="D838" t="inlineStr">
        <is>
          <t>電話/網路費</t>
        </is>
      </c>
      <c r="E838" t="inlineStr">
        <is>
          <t>非固定</t>
        </is>
      </c>
    </row>
    <row r="839" ht="16.5" customHeight="1" s="84">
      <c r="A839" t="inlineStr">
        <is>
          <t>2023-06</t>
        </is>
      </c>
      <c r="B839" t="inlineStr">
        <is>
          <t>社區網路費(Y174790)</t>
        </is>
      </c>
      <c r="C839" t="n">
        <v>1899</v>
      </c>
      <c r="D839" t="inlineStr">
        <is>
          <t>電話/網路費</t>
        </is>
      </c>
      <c r="E839" t="inlineStr">
        <is>
          <t>非固定</t>
        </is>
      </c>
    </row>
    <row r="840" ht="16.5" customHeight="1" s="84">
      <c r="A840" t="inlineStr">
        <is>
          <t>2023-06</t>
        </is>
      </c>
      <c r="B840" t="inlineStr">
        <is>
          <t>公共電費</t>
        </is>
      </c>
      <c r="C840" t="n">
        <v>86333</v>
      </c>
      <c r="D840" t="inlineStr">
        <is>
          <t>公共水電瓦斯</t>
        </is>
      </c>
      <c r="E840" t="inlineStr">
        <is>
          <t>非固定</t>
        </is>
      </c>
    </row>
    <row r="841" ht="16.5" customHeight="1" s="84">
      <c r="A841" t="inlineStr">
        <is>
          <t>2023-06</t>
        </is>
      </c>
      <c r="B841" t="inlineStr">
        <is>
          <t>自來水費</t>
        </is>
      </c>
      <c r="C841" t="n">
        <v>4007</v>
      </c>
      <c r="D841" t="inlineStr">
        <is>
          <t>公共水電瓦斯</t>
        </is>
      </c>
      <c r="E841" t="inlineStr">
        <is>
          <t>非固定</t>
        </is>
      </c>
    </row>
    <row r="842" ht="16.5" customHeight="1" s="84">
      <c r="A842" t="inlineStr">
        <is>
          <t>2023-07</t>
        </is>
      </c>
      <c r="B842" t="inlineStr">
        <is>
          <t>零用金撥補(112/07) 總計$5,518元</t>
        </is>
      </c>
      <c r="C842" t="n">
        <v>5518</v>
      </c>
      <c r="D842" t="inlineStr">
        <is>
          <t>內部轉帳</t>
        </is>
      </c>
      <c r="E842" t="inlineStr">
        <is>
          <t>非固定</t>
        </is>
      </c>
    </row>
    <row r="843" ht="16.5" customHeight="1" s="84">
      <c r="A843" t="inlineStr">
        <is>
          <t>2023-07</t>
        </is>
      </c>
      <c r="B843" t="inlineStr">
        <is>
          <t>管委會出席費用(預領) 總計$8,000元</t>
        </is>
      </c>
      <c r="C843" t="n">
        <v>8000</v>
      </c>
      <c r="D843" t="inlineStr">
        <is>
          <t>內部轉帳</t>
        </is>
      </c>
      <c r="E843" t="inlineStr">
        <is>
          <t>非固定</t>
        </is>
      </c>
    </row>
    <row r="844" ht="16.5" customHeight="1" s="84">
      <c r="A844" t="inlineStr">
        <is>
          <t>2023-07</t>
        </is>
      </c>
      <c r="B844" t="inlineStr">
        <is>
          <t>電梯專用款撥補(112/07) 總計$50,000元</t>
        </is>
      </c>
      <c r="C844" t="n">
        <v>50000</v>
      </c>
      <c r="D844" t="inlineStr">
        <is>
          <t>內部轉帳</t>
        </is>
      </c>
      <c r="E844" t="inlineStr">
        <is>
          <t>非固定</t>
        </is>
      </c>
    </row>
    <row r="845" ht="16.5" customHeight="1" s="84">
      <c r="A845" t="inlineStr">
        <is>
          <t>2023-07</t>
        </is>
      </c>
      <c r="B845" t="inlineStr">
        <is>
          <t>德懋物業公司(112/07)管理服務費：社區經理乙員，社區秘書乙員，警衛服務人員兩哨。 總計$389,550元</t>
        </is>
      </c>
      <c r="C845" t="n">
        <v>389550</v>
      </c>
      <c r="D845" t="inlineStr">
        <is>
          <t>其他支出</t>
        </is>
      </c>
      <c r="E845" t="inlineStr">
        <is>
          <t>固定</t>
        </is>
      </c>
    </row>
    <row r="846" ht="16.5" customHeight="1" s="84">
      <c r="A846" t="inlineStr">
        <is>
          <t>2023-07</t>
        </is>
      </c>
      <c r="B846" t="inlineStr">
        <is>
          <t>順達清潔服務費(112/07) 總計$109,000元</t>
        </is>
      </c>
      <c r="C846" t="n">
        <v>109000</v>
      </c>
      <c r="D846" t="inlineStr">
        <is>
          <t>清潔服務費</t>
        </is>
      </c>
      <c r="E846" t="inlineStr">
        <is>
          <t>固定</t>
        </is>
      </c>
    </row>
    <row r="847" ht="16.5" customHeight="1" s="84">
      <c r="A847" t="inlineStr">
        <is>
          <t>2023-07</t>
        </is>
      </c>
      <c r="B847" t="inlineStr">
        <is>
          <t>義明清潔服務費(112/07) 總計$109,000元</t>
        </is>
      </c>
      <c r="C847" t="n">
        <v>109000</v>
      </c>
      <c r="D847" t="inlineStr">
        <is>
          <t>清潔服務費</t>
        </is>
      </c>
      <c r="E847" t="inlineStr">
        <is>
          <t>固定</t>
        </is>
      </c>
    </row>
    <row r="848" ht="16.5" customHeight="1" s="84">
      <c r="A848" t="inlineStr">
        <is>
          <t>2023-07</t>
        </is>
      </c>
      <c r="B848" t="inlineStr">
        <is>
          <t>崇友電梯(112/07)電梯保養 總計$100,000元</t>
        </is>
      </c>
      <c r="C848" t="n">
        <v>100000</v>
      </c>
      <c r="D848" t="inlineStr">
        <is>
          <t>電梯保養與修繕</t>
        </is>
      </c>
      <c r="E848" t="inlineStr">
        <is>
          <t>固定</t>
        </is>
      </c>
    </row>
    <row r="849" ht="16.5" customHeight="1" s="84">
      <c r="A849" t="inlineStr">
        <is>
          <t>2023-07</t>
        </is>
      </c>
      <c r="B849" t="inlineStr">
        <is>
          <t>AED(112/08)租賃費 總計$1,500元</t>
        </is>
      </c>
      <c r="C849" t="n">
        <v>1500</v>
      </c>
      <c r="D849" t="inlineStr">
        <is>
          <t>機電/消防/弱電/AED</t>
        </is>
      </c>
      <c r="E849" t="inlineStr">
        <is>
          <t>固定</t>
        </is>
      </c>
    </row>
    <row r="850" ht="16.5" customHeight="1" s="84">
      <c r="A850" t="inlineStr">
        <is>
          <t>2023-07</t>
        </is>
      </c>
      <c r="B850" t="inlineStr">
        <is>
          <t>御品寬頻(112/07)網路服務租賃 總計$9,450元</t>
        </is>
      </c>
      <c r="C850" t="n">
        <v>9450</v>
      </c>
      <c r="D850" t="inlineStr">
        <is>
          <t>機電/消防/弱電/AED</t>
        </is>
      </c>
      <c r="E850" t="inlineStr">
        <is>
          <t>固定</t>
        </is>
      </c>
    </row>
    <row r="851" ht="16.5" customHeight="1" s="84">
      <c r="A851" t="inlineStr">
        <is>
          <t>2023-07</t>
        </is>
      </c>
      <c r="B851" t="inlineStr">
        <is>
          <t>新鑫堯(112/07) 廢棄物清除$32,500元 清潔費$3,500元 總計$36,000元</t>
        </is>
      </c>
      <c r="C851" t="n">
        <v>36000</v>
      </c>
      <c r="D851" t="inlineStr">
        <is>
          <t>垃圾廢棄物/園藝</t>
        </is>
      </c>
      <c r="E851" t="inlineStr">
        <is>
          <t>固定</t>
        </is>
      </c>
    </row>
    <row r="852" ht="16.5" customHeight="1" s="84">
      <c r="A852" t="inlineStr">
        <is>
          <t>2023-07</t>
        </is>
      </c>
      <c r="B852" t="inlineStr">
        <is>
          <t>太古意門禁維護檢點費(112/07) 總計$10,000元</t>
        </is>
      </c>
      <c r="C852" t="n">
        <v>10000</v>
      </c>
      <c r="D852" t="inlineStr">
        <is>
          <t>機電/消防/弱電/AED</t>
        </is>
      </c>
      <c r="E852" t="inlineStr">
        <is>
          <t>固定</t>
        </is>
      </c>
    </row>
    <row r="853" ht="16.5" customHeight="1" s="84">
      <c r="A853" t="inlineStr">
        <is>
          <t>2023-07</t>
        </is>
      </c>
      <c r="B853" t="inlineStr">
        <is>
          <t>鑫禾機電保養費(112/07) 總計$28,000元</t>
        </is>
      </c>
      <c r="C853" t="n">
        <v>28000</v>
      </c>
      <c r="D853" t="inlineStr">
        <is>
          <t>機電/消防/弱電/AED</t>
        </is>
      </c>
      <c r="E853" t="inlineStr">
        <is>
          <t>固定</t>
        </is>
      </c>
    </row>
    <row r="854" ht="16.5" customHeight="1" s="84">
      <c r="A854" t="inlineStr">
        <is>
          <t>2023-07</t>
        </is>
      </c>
      <c r="B854" t="inlineStr">
        <is>
          <t>景輝-園藝定期保養(112/07) 總計$28,000元</t>
        </is>
      </c>
      <c r="C854" t="n">
        <v>28000</v>
      </c>
      <c r="D854" t="inlineStr">
        <is>
          <t>垃圾廢棄物/園藝</t>
        </is>
      </c>
      <c r="E854" t="inlineStr">
        <is>
          <t>固定</t>
        </is>
      </c>
    </row>
    <row r="855" ht="16.5" customHeight="1" s="84">
      <c r="A855" t="inlineStr">
        <is>
          <t>2023-07</t>
        </is>
      </c>
      <c r="B855" t="inlineStr">
        <is>
          <t>鑫禾設備修繕 1.LED杯燈$350*17=$5,950元 2.電燈感應器(501)$650*5=3,250元 3.隱藏式電燈感應器$700元 4.LED層板燈$300*7=$2,100元 5.偵煙感知器$500*2=$1,000元 6.LED球泡燈$110*4=$440元 7.沉澱C迴路重新拉線$29,000元 8.6月溢請費用$200元 總計$42,240元</t>
        </is>
      </c>
      <c r="C855" t="n">
        <v>42240</v>
      </c>
      <c r="D855" t="inlineStr">
        <is>
          <t>工程維修/購置</t>
        </is>
      </c>
      <c r="E855" t="inlineStr">
        <is>
          <t>非固定</t>
        </is>
      </c>
    </row>
    <row r="856" ht="16.5" customHeight="1" s="84">
      <c r="A856" t="inlineStr">
        <is>
          <t>2023-07</t>
        </is>
      </c>
      <c r="B856" t="inlineStr">
        <is>
          <t>崇友電梯設備維修 甲棟無障礙電梯#1 CCU基板更換 $6,667元 5%稅金$333元 總計$7,000元</t>
        </is>
      </c>
      <c r="C856" t="n">
        <v>7000</v>
      </c>
      <c r="D856" t="inlineStr">
        <is>
          <t>電梯保養與修繕</t>
        </is>
      </c>
      <c r="E856" t="inlineStr">
        <is>
          <t>非固定</t>
        </is>
      </c>
      <c r="F856" t="inlineStr">
        <is>
          <t>電梯</t>
        </is>
      </c>
    </row>
    <row r="857" ht="16.5" customHeight="1" s="84">
      <c r="A857" t="inlineStr">
        <is>
          <t>2023-07</t>
        </is>
      </c>
      <c r="B857" t="inlineStr">
        <is>
          <t>崇友電梯設備維修 丙棟無障礙梯(#5) HCD顯示器更換工程$3,048元 5%稅金$152元 總計$3,200元</t>
        </is>
      </c>
      <c r="C857" t="n">
        <v>3200</v>
      </c>
      <c r="D857" t="inlineStr">
        <is>
          <t>電梯保養與修繕</t>
        </is>
      </c>
      <c r="E857" t="inlineStr">
        <is>
          <t>非固定</t>
        </is>
      </c>
      <c r="F857" t="inlineStr">
        <is>
          <t>電梯</t>
        </is>
      </c>
    </row>
    <row r="858" ht="16.5" customHeight="1" s="84">
      <c r="A858" t="inlineStr">
        <is>
          <t>2023-07</t>
        </is>
      </c>
      <c r="B858" t="inlineStr">
        <is>
          <t>崇友電梯設備維修 丁棟貨梯(#7) 微壓按鈕更換(1)(11)(B1)(下)$1,905元 5%稅金$95元 總計$2,000元</t>
        </is>
      </c>
      <c r="C858" t="n">
        <v>2000</v>
      </c>
      <c r="D858" t="inlineStr">
        <is>
          <t>電梯保養與修繕</t>
        </is>
      </c>
      <c r="E858" t="inlineStr">
        <is>
          <t>非固定</t>
        </is>
      </c>
      <c r="F858" t="inlineStr">
        <is>
          <t>電梯</t>
        </is>
      </c>
    </row>
    <row r="859" ht="16.5" customHeight="1" s="84">
      <c r="A859" t="inlineStr">
        <is>
          <t>2023-07</t>
        </is>
      </c>
      <c r="B859" t="inlineStr">
        <is>
          <t>崇友電梯設備維修 丁棟無障礙電梯(#8) 微壓按鈕更換(下)(上)(8)(13)(22) $4,762元 5%稅金$238元 總計$5,000元</t>
        </is>
      </c>
      <c r="C859" t="n">
        <v>5000</v>
      </c>
      <c r="D859" t="inlineStr">
        <is>
          <t>電梯保養與修繕</t>
        </is>
      </c>
      <c r="E859" t="inlineStr">
        <is>
          <t>非固定</t>
        </is>
      </c>
      <c r="F859" t="inlineStr">
        <is>
          <t>電梯</t>
        </is>
      </c>
    </row>
    <row r="860" ht="16.5" customHeight="1" s="84">
      <c r="A860" t="inlineStr">
        <is>
          <t>2023-07</t>
        </is>
      </c>
      <c r="B860" t="inlineStr">
        <is>
          <t>崇友電梯設備維修 丁棟無障礙電梯(#8) HCD顯示器更換$3,048元 5%稅金$152元 總計$3,200元</t>
        </is>
      </c>
      <c r="C860" t="n">
        <v>3200</v>
      </c>
      <c r="D860" t="inlineStr">
        <is>
          <t>電梯保養與修繕</t>
        </is>
      </c>
      <c r="E860" t="inlineStr">
        <is>
          <t>非固定</t>
        </is>
      </c>
      <c r="F860" t="inlineStr">
        <is>
          <t>電梯</t>
        </is>
      </c>
    </row>
    <row r="861" ht="16.5" customHeight="1" s="84">
      <c r="A861" t="inlineStr">
        <is>
          <t>2023-07</t>
        </is>
      </c>
      <c r="B861" t="inlineStr">
        <is>
          <t>新鑫堯垃圾增桶 6月增桶$600*6=$3,600元 總計$3,600元</t>
        </is>
      </c>
      <c r="C861" t="n">
        <v>3600</v>
      </c>
      <c r="D861" t="inlineStr">
        <is>
          <t>垃圾廢棄物/園藝</t>
        </is>
      </c>
      <c r="E861" t="inlineStr">
        <is>
          <t>非固定</t>
        </is>
      </c>
    </row>
    <row r="862" ht="16.5" customHeight="1" s="84">
      <c r="A862" t="inlineStr">
        <is>
          <t>2023-07</t>
        </is>
      </c>
      <c r="B862" t="inlineStr">
        <is>
          <t>鋐隆清潔用品 112.06.20 1.新科53*63捲粉紅小垃圾袋$950元 5%稅金$48元 總計$998元</t>
        </is>
      </c>
      <c r="C862" t="n">
        <v>998</v>
      </c>
      <c r="D862" t="inlineStr">
        <is>
          <t>清潔服務費</t>
        </is>
      </c>
      <c r="E862" t="inlineStr">
        <is>
          <t>非固定</t>
        </is>
      </c>
    </row>
    <row r="863" ht="16.5" customHeight="1" s="84">
      <c r="A863" t="inlineStr">
        <is>
          <t>2023-07</t>
        </is>
      </c>
      <c r="B863" t="inlineStr">
        <is>
          <t>喬山健康科技 PANEL板組更換 $14,286元 5%稅金$714元 總計$15,000元</t>
        </is>
      </c>
      <c r="C863" t="n">
        <v>15000</v>
      </c>
      <c r="D863" t="inlineStr">
        <is>
          <t>工程維修/購置</t>
        </is>
      </c>
      <c r="E863" t="inlineStr">
        <is>
          <t>非固定</t>
        </is>
      </c>
    </row>
    <row r="864" ht="16.5" customHeight="1" s="84">
      <c r="A864" t="inlineStr">
        <is>
          <t>2023-07</t>
        </is>
      </c>
      <c r="B864" t="inlineStr">
        <is>
          <t>一九衛生工程行 抽水肥$1,500*25.59噸=$38,385元 總計$38,385元</t>
        </is>
      </c>
      <c r="C864" t="n">
        <v>38385</v>
      </c>
      <c r="D864" t="inlineStr">
        <is>
          <t>垃圾廢棄物/園藝</t>
        </is>
      </c>
      <c r="E864" t="inlineStr">
        <is>
          <t>非固定</t>
        </is>
      </c>
    </row>
    <row r="865" ht="16.5" customHeight="1" s="84">
      <c r="A865" t="inlineStr">
        <is>
          <t>2023-07</t>
        </is>
      </c>
      <c r="B865" t="inlineStr">
        <is>
          <t>晴揚氯錠 氯錠(3吋90%20KG)$110*300KG=$33,000元</t>
        </is>
      </c>
      <c r="C865" t="n">
        <v>33000</v>
      </c>
      <c r="D865" t="inlineStr">
        <is>
          <t>工程維修/購置</t>
        </is>
      </c>
      <c r="E865" t="inlineStr">
        <is>
          <t>非固定</t>
        </is>
      </c>
    </row>
    <row r="866" ht="15" customHeight="1" s="84">
      <c r="A866" t="inlineStr">
        <is>
          <t>2023-07</t>
        </is>
      </c>
      <c r="B866" t="inlineStr">
        <is>
          <t>固全空調 KTV室冷媒充填 總計$3,000元</t>
        </is>
      </c>
      <c r="C866" t="n">
        <v>3000</v>
      </c>
      <c r="D866" t="inlineStr">
        <is>
          <t>其他支出</t>
        </is>
      </c>
      <c r="E866" t="inlineStr">
        <is>
          <t>非固定</t>
        </is>
      </c>
    </row>
    <row r="867" ht="15" customHeight="1" s="84">
      <c r="A867" t="inlineStr">
        <is>
          <t>2023-07</t>
        </is>
      </c>
      <c r="B867" t="inlineStr">
        <is>
          <t>義明病媒蚊防治消毒 總計$4,500元</t>
        </is>
      </c>
      <c r="C867" t="n">
        <v>4500</v>
      </c>
      <c r="D867" t="inlineStr">
        <is>
          <t>其他支出</t>
        </is>
      </c>
      <c r="E867" t="inlineStr">
        <is>
          <t>非固定</t>
        </is>
      </c>
    </row>
    <row r="868" ht="16.5" customHeight="1" s="84">
      <c r="A868" t="inlineStr">
        <is>
          <t>2023-07</t>
        </is>
      </c>
      <c r="B868" t="inlineStr">
        <is>
          <t>富邦產險 公共意外險(112.06.29~113.06.29) 總計$9,939元 (取現金至便利商店繳費)</t>
        </is>
      </c>
      <c r="C868" t="n">
        <v>9939</v>
      </c>
      <c r="D868" t="inlineStr">
        <is>
          <t>其他支出</t>
        </is>
      </c>
      <c r="E868" t="inlineStr">
        <is>
          <t>非固定</t>
        </is>
      </c>
    </row>
    <row r="869" ht="16.5" customHeight="1" s="84">
      <c r="A869" t="inlineStr">
        <is>
          <t>2023-07</t>
        </is>
      </c>
      <c r="B869" t="inlineStr">
        <is>
          <t>ETAG住戶第一次免費領取費用回補 $80元(B23) 總計$80元</t>
        </is>
      </c>
      <c r="C869" t="n">
        <v>80</v>
      </c>
      <c r="D869" t="inlineStr">
        <is>
          <t>內部轉帳</t>
        </is>
      </c>
      <c r="E869" t="inlineStr">
        <is>
          <t>非固定</t>
        </is>
      </c>
    </row>
    <row r="870" ht="16.5" customHeight="1" s="84">
      <c r="A870" t="inlineStr">
        <is>
          <t>2023-07</t>
        </is>
      </c>
      <c r="B870" t="inlineStr">
        <is>
          <t>社區電話費(5630533)</t>
        </is>
      </c>
      <c r="C870" t="n">
        <v>619</v>
      </c>
      <c r="D870" t="inlineStr">
        <is>
          <t>電話/網路費</t>
        </is>
      </c>
      <c r="E870" t="inlineStr">
        <is>
          <t>非固定</t>
        </is>
      </c>
    </row>
    <row r="871" ht="16.5" customHeight="1" s="84">
      <c r="A871" t="inlineStr">
        <is>
          <t>2023-07</t>
        </is>
      </c>
      <c r="B871" t="inlineStr">
        <is>
          <t>社區網路費(Y123617)</t>
        </is>
      </c>
      <c r="C871" t="n">
        <v>1899</v>
      </c>
      <c r="D871" t="inlineStr">
        <is>
          <t>電話/網路費</t>
        </is>
      </c>
      <c r="E871" t="inlineStr">
        <is>
          <t>非固定</t>
        </is>
      </c>
    </row>
    <row r="872" ht="16.5" customHeight="1" s="84">
      <c r="A872" t="inlineStr">
        <is>
          <t>2023-07</t>
        </is>
      </c>
      <c r="B872" t="inlineStr">
        <is>
          <t>社區網路費(Y174790)</t>
        </is>
      </c>
      <c r="C872" t="n">
        <v>1899</v>
      </c>
      <c r="D872" t="inlineStr">
        <is>
          <t>電話/網路費</t>
        </is>
      </c>
      <c r="E872" t="inlineStr">
        <is>
          <t>非固定</t>
        </is>
      </c>
    </row>
    <row r="873" ht="16.5" customHeight="1" s="84">
      <c r="A873" t="inlineStr">
        <is>
          <t>2023-07</t>
        </is>
      </c>
      <c r="B873" t="inlineStr">
        <is>
          <t>公共電費</t>
        </is>
      </c>
      <c r="C873" t="n">
        <v>93568</v>
      </c>
      <c r="D873" t="inlineStr">
        <is>
          <t>公共水電瓦斯</t>
        </is>
      </c>
      <c r="E873" t="inlineStr">
        <is>
          <t>非固定</t>
        </is>
      </c>
    </row>
    <row r="874" ht="16.5" customHeight="1" s="84">
      <c r="A874" t="inlineStr">
        <is>
          <t>2023-07</t>
        </is>
      </c>
      <c r="B874" t="inlineStr">
        <is>
          <t>自來水費</t>
        </is>
      </c>
      <c r="C874" t="n">
        <v>0</v>
      </c>
      <c r="D874" t="inlineStr">
        <is>
          <t>公共水電瓦斯</t>
        </is>
      </c>
      <c r="E874" t="inlineStr">
        <is>
          <t>非固定</t>
        </is>
      </c>
    </row>
    <row r="875" ht="16.5" customHeight="1" s="84">
      <c r="A875" t="inlineStr">
        <is>
          <t>2023-08</t>
        </is>
      </c>
      <c r="B875" t="inlineStr">
        <is>
          <t>零用金撥補(112/08) 總計$9,726元</t>
        </is>
      </c>
      <c r="C875" t="n">
        <v>9726</v>
      </c>
      <c r="D875" t="inlineStr">
        <is>
          <t>內部轉帳</t>
        </is>
      </c>
      <c r="E875" t="inlineStr">
        <is>
          <t>非固定</t>
        </is>
      </c>
    </row>
    <row r="876" ht="16.5" customHeight="1" s="84">
      <c r="A876" t="inlineStr">
        <is>
          <t>2023-08</t>
        </is>
      </c>
      <c r="B876" t="inlineStr">
        <is>
          <t>管委會出席費用(預領) 總計$8,000元</t>
        </is>
      </c>
      <c r="C876" t="n">
        <v>8000</v>
      </c>
      <c r="D876" t="inlineStr">
        <is>
          <t>內部轉帳</t>
        </is>
      </c>
      <c r="E876" t="inlineStr">
        <is>
          <t>非固定</t>
        </is>
      </c>
    </row>
    <row r="877" ht="16.5" customHeight="1" s="84">
      <c r="A877" t="inlineStr">
        <is>
          <t>2023-08</t>
        </is>
      </c>
      <c r="B877" t="inlineStr">
        <is>
          <t>電梯專用款撥補(112/08) 總計$50,000元</t>
        </is>
      </c>
      <c r="C877" t="n">
        <v>50000</v>
      </c>
      <c r="D877" t="inlineStr">
        <is>
          <t>內部轉帳</t>
        </is>
      </c>
      <c r="E877" t="inlineStr">
        <is>
          <t>非固定</t>
        </is>
      </c>
    </row>
    <row r="878" ht="16.5" customHeight="1" s="84">
      <c r="A878" t="inlineStr">
        <is>
          <t>2023-08</t>
        </is>
      </c>
      <c r="B878" t="inlineStr">
        <is>
          <t>德懋物業公司(112/08)管理服務費：社區經理乙員，社區秘書乙員，警衛服務人員兩哨。 總計$389,550元</t>
        </is>
      </c>
      <c r="C878" t="n">
        <v>389550</v>
      </c>
      <c r="D878" t="inlineStr">
        <is>
          <t>其他支出</t>
        </is>
      </c>
      <c r="E878" t="inlineStr">
        <is>
          <t>固定</t>
        </is>
      </c>
    </row>
    <row r="879" ht="16.5" customHeight="1" s="84">
      <c r="A879" t="inlineStr">
        <is>
          <t>2023-08</t>
        </is>
      </c>
      <c r="B879" t="inlineStr">
        <is>
          <t>順達清潔服務費(112/08) 總計$109,000元</t>
        </is>
      </c>
      <c r="C879" t="n">
        <v>109000</v>
      </c>
      <c r="D879" t="inlineStr">
        <is>
          <t>清潔服務費</t>
        </is>
      </c>
      <c r="E879" t="inlineStr">
        <is>
          <t>固定</t>
        </is>
      </c>
    </row>
    <row r="880" ht="16.5" customHeight="1" s="84">
      <c r="A880" t="inlineStr">
        <is>
          <t>2023-08</t>
        </is>
      </c>
      <c r="B880" t="inlineStr">
        <is>
          <t>義明清潔服務費(112/08) 總計$109,000元</t>
        </is>
      </c>
      <c r="C880" t="n">
        <v>109000</v>
      </c>
      <c r="D880" t="inlineStr">
        <is>
          <t>清潔服務費</t>
        </is>
      </c>
      <c r="E880" t="inlineStr">
        <is>
          <t>固定</t>
        </is>
      </c>
    </row>
    <row r="881" ht="16.5" customHeight="1" s="84">
      <c r="A881" t="inlineStr">
        <is>
          <t>2023-08</t>
        </is>
      </c>
      <c r="B881" t="inlineStr">
        <is>
          <t>崇友電梯(112/08)電梯保養 總計$100,000元</t>
        </is>
      </c>
      <c r="C881" t="n">
        <v>100000</v>
      </c>
      <c r="D881" t="inlineStr">
        <is>
          <t>電梯保養與修繕</t>
        </is>
      </c>
      <c r="E881" t="inlineStr">
        <is>
          <t>固定</t>
        </is>
      </c>
    </row>
    <row r="882" ht="16.5" customHeight="1" s="84">
      <c r="A882" t="inlineStr">
        <is>
          <t>2023-08</t>
        </is>
      </c>
      <c r="B882" t="inlineStr">
        <is>
          <t>AED(112/09)租賃費 總計$1,500元</t>
        </is>
      </c>
      <c r="C882" t="n">
        <v>1500</v>
      </c>
      <c r="D882" t="inlineStr">
        <is>
          <t>機電/消防/弱電/AED</t>
        </is>
      </c>
      <c r="E882" t="inlineStr">
        <is>
          <t>固定</t>
        </is>
      </c>
    </row>
    <row r="883" ht="16.5" customHeight="1" s="84">
      <c r="A883" t="inlineStr">
        <is>
          <t>2023-08</t>
        </is>
      </c>
      <c r="B883" t="inlineStr">
        <is>
          <t>御品寬頻(112/08)網路服務租賃 總計$9,450元</t>
        </is>
      </c>
      <c r="C883" t="n">
        <v>9450</v>
      </c>
      <c r="D883" t="inlineStr">
        <is>
          <t>機電/消防/弱電/AED</t>
        </is>
      </c>
      <c r="E883" t="inlineStr">
        <is>
          <t>固定</t>
        </is>
      </c>
    </row>
    <row r="884" ht="16.5" customHeight="1" s="84">
      <c r="A884" t="inlineStr">
        <is>
          <t>2023-08</t>
        </is>
      </c>
      <c r="B884" t="inlineStr">
        <is>
          <t>新鑫堯(112/08) 廢棄物清除$32,500元 清潔費$3,500元 總計$36,000元</t>
        </is>
      </c>
      <c r="C884" t="n">
        <v>36000</v>
      </c>
      <c r="D884" t="inlineStr">
        <is>
          <t>垃圾廢棄物/園藝</t>
        </is>
      </c>
      <c r="E884" t="inlineStr">
        <is>
          <t>固定</t>
        </is>
      </c>
    </row>
    <row r="885" ht="16.5" customHeight="1" s="84">
      <c r="A885" t="inlineStr">
        <is>
          <t>2023-08</t>
        </is>
      </c>
      <c r="B885" t="inlineStr">
        <is>
          <t>太古意門禁維護檢點費(112/08) 總計$10,000元</t>
        </is>
      </c>
      <c r="C885" t="n">
        <v>10000</v>
      </c>
      <c r="D885" t="inlineStr">
        <is>
          <t>機電/消防/弱電/AED</t>
        </is>
      </c>
      <c r="E885" t="inlineStr">
        <is>
          <t>固定</t>
        </is>
      </c>
    </row>
    <row r="886" ht="16.5" customHeight="1" s="84">
      <c r="A886" t="inlineStr">
        <is>
          <t>2023-08</t>
        </is>
      </c>
      <c r="B886" t="inlineStr">
        <is>
          <t>鑫禾機電保養費(112/08) 總計$28,000元</t>
        </is>
      </c>
      <c r="C886" t="n">
        <v>28000</v>
      </c>
      <c r="D886" t="inlineStr">
        <is>
          <t>機電/消防/弱電/AED</t>
        </is>
      </c>
      <c r="E886" t="inlineStr">
        <is>
          <t>固定</t>
        </is>
      </c>
    </row>
    <row r="887" ht="16.5" customHeight="1" s="84">
      <c r="A887" t="inlineStr">
        <is>
          <t>2023-08</t>
        </is>
      </c>
      <c r="B887" t="inlineStr">
        <is>
          <t>景輝-園藝定期保養(112/08) 總計$28,000元</t>
        </is>
      </c>
      <c r="C887" t="n">
        <v>28000</v>
      </c>
      <c r="D887" t="inlineStr">
        <is>
          <t>垃圾廢棄物/園藝</t>
        </is>
      </c>
      <c r="E887" t="inlineStr">
        <is>
          <t>固定</t>
        </is>
      </c>
    </row>
    <row r="888" ht="16.5" customHeight="1" s="84">
      <c r="A888" t="inlineStr">
        <is>
          <t>2023-08</t>
        </is>
      </c>
      <c r="B888" t="inlineStr">
        <is>
          <t>宜力亞 6月泳池保養費$2,500元 7月泳池保養費$10,000元 8月泳池保養費$10,000元 總計$22,500元</t>
        </is>
      </c>
      <c r="C888" t="n">
        <v>22500</v>
      </c>
      <c r="D888" t="inlineStr">
        <is>
          <t>其他支出</t>
        </is>
      </c>
      <c r="E888" t="inlineStr">
        <is>
          <t>非固定</t>
        </is>
      </c>
      <c r="F888" t="inlineStr">
        <is>
          <t>游泳池</t>
        </is>
      </c>
    </row>
    <row r="889" ht="16.5" customHeight="1" s="84">
      <c r="A889" t="inlineStr">
        <is>
          <t>2023-08</t>
        </is>
      </c>
      <c r="B889" t="inlineStr">
        <is>
          <t>鑫禾設備修繕 1.LED杯燈$350*33=$11,550元 2.電燈感應器$650*2=1,300元 3.LED層板燈$300*5=$1,500元 4.排煙窗機板$3,600元 5.變壓器$2,000元 6.噴灌頭$500元 總計$20,450元</t>
        </is>
      </c>
      <c r="C889" t="n">
        <v>20450</v>
      </c>
      <c r="D889" t="inlineStr">
        <is>
          <t>工程維修/購置</t>
        </is>
      </c>
      <c r="E889" t="inlineStr">
        <is>
          <t>非固定</t>
        </is>
      </c>
    </row>
    <row r="890" ht="16.5" customHeight="1" s="84">
      <c r="A890" t="inlineStr">
        <is>
          <t>2023-08</t>
        </is>
      </c>
      <c r="B890" t="inlineStr">
        <is>
          <t>新鑫堯垃圾增桶 7月增桶$600*5=$3,000元 總計$3,000元</t>
        </is>
      </c>
      <c r="C890" t="n">
        <v>3000</v>
      </c>
      <c r="D890" t="inlineStr">
        <is>
          <t>垃圾廢棄物/園藝</t>
        </is>
      </c>
      <c r="E890" t="inlineStr">
        <is>
          <t>非固定</t>
        </is>
      </c>
    </row>
    <row r="891" ht="16.5" customHeight="1" s="84">
      <c r="A891" t="inlineStr">
        <is>
          <t>2023-08</t>
        </is>
      </c>
      <c r="B891" t="inlineStr">
        <is>
          <t>宜力亞 6月救生員$280*35H=$9,800元 7月救生員$280*191H=$53,480元 8月救生員$280*206H=$57,680元 總計$120,960元</t>
        </is>
      </c>
      <c r="C891" t="n">
        <v>120960</v>
      </c>
      <c r="D891" t="inlineStr">
        <is>
          <t>其他支出</t>
        </is>
      </c>
      <c r="E891" t="inlineStr">
        <is>
          <t>非固定</t>
        </is>
      </c>
      <c r="F891" t="inlineStr">
        <is>
          <t>游泳池</t>
        </is>
      </c>
    </row>
    <row r="892" ht="16.5" customHeight="1" s="84">
      <c r="A892" t="inlineStr">
        <is>
          <t>2023-08</t>
        </is>
      </c>
      <c r="B892" t="inlineStr">
        <is>
          <t>好鵬興業 112.07.09維修 入口處汽車道 更換彈簧及馬達$24,000元 5%稅金$1,200元 總計$25,200元</t>
        </is>
      </c>
      <c r="C892" t="n">
        <v>25200</v>
      </c>
      <c r="D892" t="inlineStr">
        <is>
          <t>工程維修/購置</t>
        </is>
      </c>
      <c r="E892" t="inlineStr">
        <is>
          <t>非固定</t>
        </is>
      </c>
    </row>
    <row r="893" ht="16.5" customHeight="1" s="84">
      <c r="A893" t="inlineStr">
        <is>
          <t>2023-08</t>
        </is>
      </c>
      <c r="B893" t="inlineStr">
        <is>
          <t>合億工程行 1.M層鋁格柵4處開維修孔$38,000元 2.丙棟2樓排煙窗修理、環保室換紗網、 木平台邊條維修$3,000元 總計$41,000元</t>
        </is>
      </c>
      <c r="C893" t="n">
        <v>41000</v>
      </c>
      <c r="D893" t="inlineStr">
        <is>
          <t>工程維修/購置</t>
        </is>
      </c>
      <c r="E893" t="inlineStr">
        <is>
          <t>非固定</t>
        </is>
      </c>
    </row>
    <row r="894" ht="15" customHeight="1" s="84">
      <c r="A894" t="inlineStr">
        <is>
          <t>2023-08</t>
        </is>
      </c>
      <c r="B894" t="inlineStr">
        <is>
          <t>蔡甫欣律師事務所 法律顧問費用(112.8.1~113.7.31) 總計$25,000元</t>
        </is>
      </c>
      <c r="C894" t="n">
        <v>25000</v>
      </c>
      <c r="D894" t="inlineStr">
        <is>
          <t>行政/會議/律師</t>
        </is>
      </c>
      <c r="E894" t="inlineStr">
        <is>
          <t>非固定</t>
        </is>
      </c>
    </row>
    <row r="895" ht="15" customHeight="1" s="84">
      <c r="A895" t="inlineStr">
        <is>
          <t>2023-08</t>
        </is>
      </c>
      <c r="B895" t="inlineStr">
        <is>
          <t>ETAG住戶第一次免費領取費用回補 $80元(M17) 總計$80元</t>
        </is>
      </c>
      <c r="C895" t="n">
        <v>80</v>
      </c>
      <c r="D895" t="inlineStr">
        <is>
          <t>內部轉帳</t>
        </is>
      </c>
      <c r="E895" t="inlineStr">
        <is>
          <t>非固定</t>
        </is>
      </c>
    </row>
    <row r="896" ht="16.5" customHeight="1" s="84">
      <c r="A896" t="inlineStr">
        <is>
          <t>2023-08</t>
        </is>
      </c>
      <c r="B896" t="inlineStr">
        <is>
          <t>崇友電梯設備維修 戊棟貨梯(#9) HCD顯示器更換工程$3,048元 微壓按鈕(上)$476元 5%稅金$176元 總計$3,700元</t>
        </is>
      </c>
      <c r="C896" t="n">
        <v>3700</v>
      </c>
      <c r="D896" t="inlineStr">
        <is>
          <t>電梯保養與修繕</t>
        </is>
      </c>
      <c r="E896" t="inlineStr">
        <is>
          <t>非固定</t>
        </is>
      </c>
      <c r="F896" t="inlineStr">
        <is>
          <t>電梯</t>
        </is>
      </c>
    </row>
    <row r="897" ht="16.5" customHeight="1" s="84">
      <c r="A897" t="inlineStr">
        <is>
          <t>2023-08</t>
        </is>
      </c>
      <c r="B897" t="inlineStr">
        <is>
          <t>崇友電梯設備維修 戊棟無障礙梯(#5) 微壓按鈕(上)$476元 5%稅金$24元 總計$500元</t>
        </is>
      </c>
      <c r="C897" t="n">
        <v>500</v>
      </c>
      <c r="D897" t="inlineStr">
        <is>
          <t>電梯保養與修繕</t>
        </is>
      </c>
      <c r="E897" t="inlineStr">
        <is>
          <t>非固定</t>
        </is>
      </c>
      <c r="F897" t="inlineStr">
        <is>
          <t>電梯</t>
        </is>
      </c>
    </row>
    <row r="898" ht="16.5" customHeight="1" s="84">
      <c r="A898" t="inlineStr">
        <is>
          <t>2023-08</t>
        </is>
      </c>
      <c r="B898" t="inlineStr">
        <is>
          <t>社區電話費(5630533)</t>
        </is>
      </c>
      <c r="C898" t="n">
        <v>572</v>
      </c>
      <c r="D898" t="inlineStr">
        <is>
          <t>電話/網路費</t>
        </is>
      </c>
      <c r="E898" t="inlineStr">
        <is>
          <t>非固定</t>
        </is>
      </c>
    </row>
    <row r="899" ht="16.5" customHeight="1" s="84">
      <c r="A899" t="inlineStr">
        <is>
          <t>2023-08</t>
        </is>
      </c>
      <c r="B899" t="inlineStr">
        <is>
          <t>社區網路費(Y123617)</t>
        </is>
      </c>
      <c r="C899" t="n">
        <v>1899</v>
      </c>
      <c r="D899" t="inlineStr">
        <is>
          <t>電話/網路費</t>
        </is>
      </c>
      <c r="E899" t="inlineStr">
        <is>
          <t>非固定</t>
        </is>
      </c>
    </row>
    <row r="900" ht="16.5" customHeight="1" s="84">
      <c r="A900" t="inlineStr">
        <is>
          <t>2023-08</t>
        </is>
      </c>
      <c r="B900" t="inlineStr">
        <is>
          <t>社區網路費(Y174790)</t>
        </is>
      </c>
      <c r="C900" t="n">
        <v>1899</v>
      </c>
      <c r="D900" t="inlineStr">
        <is>
          <t>電話/網路費</t>
        </is>
      </c>
      <c r="E900" t="inlineStr">
        <is>
          <t>非固定</t>
        </is>
      </c>
    </row>
    <row r="901" ht="16.5" customHeight="1" s="84">
      <c r="A901" t="inlineStr">
        <is>
          <t>2023-08</t>
        </is>
      </c>
      <c r="B901" t="inlineStr">
        <is>
          <t>公共電費</t>
        </is>
      </c>
      <c r="C901" t="n">
        <v>112943</v>
      </c>
      <c r="D901" t="inlineStr">
        <is>
          <t>公共水電瓦斯</t>
        </is>
      </c>
      <c r="E901" t="inlineStr">
        <is>
          <t>非固定</t>
        </is>
      </c>
    </row>
    <row r="902" ht="16.5" customHeight="1" s="84">
      <c r="A902" t="inlineStr">
        <is>
          <t>2023-08</t>
        </is>
      </c>
      <c r="B902" t="inlineStr">
        <is>
          <t>自來水費</t>
        </is>
      </c>
      <c r="C902" t="n">
        <v>8334</v>
      </c>
      <c r="D902" t="inlineStr">
        <is>
          <t>公共水電瓦斯</t>
        </is>
      </c>
      <c r="E902" t="inlineStr">
        <is>
          <t>非固定</t>
        </is>
      </c>
    </row>
    <row r="903" ht="16.5" customHeight="1" s="84">
      <c r="A903" t="inlineStr">
        <is>
          <t>2023-09</t>
        </is>
      </c>
      <c r="B903" t="inlineStr">
        <is>
          <t>零用金撥補(112/09) 總計$3,962元</t>
        </is>
      </c>
      <c r="C903" t="n">
        <v>3962</v>
      </c>
      <c r="D903" t="inlineStr">
        <is>
          <t>內部轉帳</t>
        </is>
      </c>
      <c r="E903" t="inlineStr">
        <is>
          <t>非固定</t>
        </is>
      </c>
    </row>
    <row r="904" ht="16.5" customHeight="1" s="84">
      <c r="A904" t="inlineStr">
        <is>
          <t>2023-09</t>
        </is>
      </c>
      <c r="B904" t="inlineStr">
        <is>
          <t>管委會出席費用(預領) 總計$8,000元</t>
        </is>
      </c>
      <c r="C904" t="n">
        <v>8000</v>
      </c>
      <c r="D904" t="inlineStr">
        <is>
          <t>內部轉帳</t>
        </is>
      </c>
      <c r="E904" t="inlineStr">
        <is>
          <t>非固定</t>
        </is>
      </c>
    </row>
    <row r="905" ht="16.5" customHeight="1" s="84">
      <c r="A905" t="inlineStr">
        <is>
          <t>2023-09</t>
        </is>
      </c>
      <c r="B905" t="inlineStr">
        <is>
          <t>電梯專用款撥補(112/09) 總計$50,000元</t>
        </is>
      </c>
      <c r="C905" t="n">
        <v>50000</v>
      </c>
      <c r="D905" t="inlineStr">
        <is>
          <t>內部轉帳</t>
        </is>
      </c>
      <c r="E905" t="inlineStr">
        <is>
          <t>非固定</t>
        </is>
      </c>
    </row>
    <row r="906" ht="16.5" customHeight="1" s="84">
      <c r="A906" t="inlineStr">
        <is>
          <t>2023-09</t>
        </is>
      </c>
      <c r="B906" t="inlineStr">
        <is>
          <t>德懋物業公司(112/09)管理服務費：社區經理乙員，社區秘書乙員，警衛服務人員兩哨。 總計$389,550元</t>
        </is>
      </c>
      <c r="C906" t="n">
        <v>389550</v>
      </c>
      <c r="D906" t="inlineStr">
        <is>
          <t>其他支出</t>
        </is>
      </c>
      <c r="E906" t="inlineStr">
        <is>
          <t>固定</t>
        </is>
      </c>
    </row>
    <row r="907" ht="16.5" customHeight="1" s="84">
      <c r="A907" t="inlineStr">
        <is>
          <t>2023-09</t>
        </is>
      </c>
      <c r="B907" t="inlineStr">
        <is>
          <t>順達清潔服務費(112/09) 總計$109,000元</t>
        </is>
      </c>
      <c r="C907" t="n">
        <v>109000</v>
      </c>
      <c r="D907" t="inlineStr">
        <is>
          <t>清潔服務費</t>
        </is>
      </c>
      <c r="E907" t="inlineStr">
        <is>
          <t>固定</t>
        </is>
      </c>
    </row>
    <row r="908" ht="16.5" customHeight="1" s="84">
      <c r="A908" t="inlineStr">
        <is>
          <t>2023-09</t>
        </is>
      </c>
      <c r="B908" t="inlineStr">
        <is>
          <t>義明清潔服務費(112/09) 總計$109,000元</t>
        </is>
      </c>
      <c r="C908" t="n">
        <v>109000</v>
      </c>
      <c r="D908" t="inlineStr">
        <is>
          <t>清潔服務費</t>
        </is>
      </c>
      <c r="E908" t="inlineStr">
        <is>
          <t>固定</t>
        </is>
      </c>
    </row>
    <row r="909" ht="16.5" customHeight="1" s="84">
      <c r="A909" t="inlineStr">
        <is>
          <t>2023-09</t>
        </is>
      </c>
      <c r="B909" t="inlineStr">
        <is>
          <t>崇友電梯(112/09)電梯保養 總計$100,000元</t>
        </is>
      </c>
      <c r="C909" t="n">
        <v>100000</v>
      </c>
      <c r="D909" t="inlineStr">
        <is>
          <t>電梯保養與修繕</t>
        </is>
      </c>
      <c r="E909" t="inlineStr">
        <is>
          <t>固定</t>
        </is>
      </c>
    </row>
    <row r="910" ht="16.5" customHeight="1" s="84">
      <c r="A910" t="inlineStr">
        <is>
          <t>2023-09</t>
        </is>
      </c>
      <c r="B910" t="inlineStr">
        <is>
          <t>AED(112/10)租賃費 總計$1,500元</t>
        </is>
      </c>
      <c r="C910" t="n">
        <v>1500</v>
      </c>
      <c r="D910" t="inlineStr">
        <is>
          <t>機電/消防/弱電/AED</t>
        </is>
      </c>
      <c r="E910" t="inlineStr">
        <is>
          <t>固定</t>
        </is>
      </c>
    </row>
    <row r="911" ht="16.5" customHeight="1" s="84">
      <c r="A911" t="inlineStr">
        <is>
          <t>2023-09</t>
        </is>
      </c>
      <c r="B911" t="inlineStr">
        <is>
          <t>御品寬頻(112/09)網路服務租賃 總計$9,450元</t>
        </is>
      </c>
      <c r="C911" t="n">
        <v>9450</v>
      </c>
      <c r="D911" t="inlineStr">
        <is>
          <t>機電/消防/弱電/AED</t>
        </is>
      </c>
      <c r="E911" t="inlineStr">
        <is>
          <t>固定</t>
        </is>
      </c>
    </row>
    <row r="912" ht="16.5" customHeight="1" s="84">
      <c r="A912" t="inlineStr">
        <is>
          <t>2023-09</t>
        </is>
      </c>
      <c r="B912" t="inlineStr">
        <is>
          <t>新鑫堯(112/09) 廢棄物清除$32,500元 清潔費$3,500元 總計$36,000元</t>
        </is>
      </c>
      <c r="C912" t="n">
        <v>36000</v>
      </c>
      <c r="D912" t="inlineStr">
        <is>
          <t>垃圾廢棄物/園藝</t>
        </is>
      </c>
      <c r="E912" t="inlineStr">
        <is>
          <t>固定</t>
        </is>
      </c>
    </row>
    <row r="913" ht="16.5" customHeight="1" s="84">
      <c r="A913" t="inlineStr">
        <is>
          <t>2023-09</t>
        </is>
      </c>
      <c r="B913" t="inlineStr">
        <is>
          <t>太古意門禁維護檢點費(112/09) 總計$10,000元</t>
        </is>
      </c>
      <c r="C913" t="n">
        <v>10000</v>
      </c>
      <c r="D913" t="inlineStr">
        <is>
          <t>機電/消防/弱電/AED</t>
        </is>
      </c>
      <c r="E913" t="inlineStr">
        <is>
          <t>固定</t>
        </is>
      </c>
    </row>
    <row r="914" ht="16.5" customHeight="1" s="84">
      <c r="A914" t="inlineStr">
        <is>
          <t>2023-09</t>
        </is>
      </c>
      <c r="B914" t="inlineStr">
        <is>
          <t>鑫禾機電保養費(112/09) 總計$28,000元</t>
        </is>
      </c>
      <c r="C914" t="n">
        <v>28000</v>
      </c>
      <c r="D914" t="inlineStr">
        <is>
          <t>機電/消防/弱電/AED</t>
        </is>
      </c>
      <c r="E914" t="inlineStr">
        <is>
          <t>固定</t>
        </is>
      </c>
    </row>
    <row r="915" ht="16.5" customHeight="1" s="84">
      <c r="A915" t="inlineStr">
        <is>
          <t>2023-09</t>
        </is>
      </c>
      <c r="B915" t="inlineStr">
        <is>
          <t>鑫禾設備修繕 1.LED層板燈$300*5=$1,500元 2.LED杯燈$350*6=$2,100元 總計$3,600元</t>
        </is>
      </c>
      <c r="C915" t="n">
        <v>3600</v>
      </c>
      <c r="D915" t="inlineStr">
        <is>
          <t>工程維修/購置</t>
        </is>
      </c>
      <c r="E915" t="inlineStr">
        <is>
          <t>非固定</t>
        </is>
      </c>
    </row>
    <row r="916" ht="16.5" customHeight="1" s="84">
      <c r="A916" t="inlineStr">
        <is>
          <t>2023-09</t>
        </is>
      </c>
      <c r="B916" t="inlineStr">
        <is>
          <t>崇友電梯設備維修 丁棟無障礙梯(#8) DD門控制器、PMD1{PG}轉接線$13,810元 5%稅金$690元 總計$14,500元</t>
        </is>
      </c>
      <c r="C916" t="n">
        <v>14500</v>
      </c>
      <c r="D916" t="inlineStr">
        <is>
          <t>電梯保養與修繕</t>
        </is>
      </c>
      <c r="E916" t="inlineStr">
        <is>
          <t>非固定</t>
        </is>
      </c>
      <c r="F916" t="inlineStr">
        <is>
          <t>電梯</t>
        </is>
      </c>
    </row>
    <row r="917" ht="16.5" customHeight="1" s="84">
      <c r="A917" t="inlineStr">
        <is>
          <t>2023-09</t>
        </is>
      </c>
      <c r="B917" t="inlineStr">
        <is>
          <t>崇友電梯設備維修 戊棟無障礙梯(#5) 積體電路(B)$762元 5%稅金$38元 總計$800元</t>
        </is>
      </c>
      <c r="C917" t="n">
        <v>800</v>
      </c>
      <c r="D917" t="inlineStr">
        <is>
          <t>電梯保養與修繕</t>
        </is>
      </c>
      <c r="E917" t="inlineStr">
        <is>
          <t>非固定</t>
        </is>
      </c>
      <c r="F917" t="inlineStr">
        <is>
          <t>電梯</t>
        </is>
      </c>
    </row>
    <row r="918" ht="16.5" customHeight="1" s="84">
      <c r="A918" t="inlineStr">
        <is>
          <t>2023-09</t>
        </is>
      </c>
      <c r="B918" t="inlineStr">
        <is>
          <t>崇友電梯設備維修 丁棟無障礙梯(#7) 制動單元$11,429元 5%稅金$571元 總計$12,000元</t>
        </is>
      </c>
      <c r="C918" t="n">
        <v>12000</v>
      </c>
      <c r="D918" t="inlineStr">
        <is>
          <t>電梯保養與修繕</t>
        </is>
      </c>
      <c r="E918" t="inlineStr">
        <is>
          <t>非固定</t>
        </is>
      </c>
      <c r="F918" t="inlineStr">
        <is>
          <t>電梯</t>
        </is>
      </c>
    </row>
    <row r="919" ht="16.5" customHeight="1" s="84">
      <c r="A919" t="inlineStr">
        <is>
          <t>2023-09</t>
        </is>
      </c>
      <c r="B919" t="inlineStr">
        <is>
          <t>崇友電梯設備維修 丁棟無障礙梯(#7) HCD顯示器(M層)$3,040元 5%稅金$160元 丁棟貨梯(#8) HCD顯示器(M層、6樓)$6,080元 5%稅金$320元 總計$9,600元</t>
        </is>
      </c>
      <c r="C919" t="n">
        <v>9600</v>
      </c>
      <c r="D919" t="inlineStr">
        <is>
          <t>電梯保養與修繕</t>
        </is>
      </c>
      <c r="E919" t="inlineStr">
        <is>
          <t>非固定</t>
        </is>
      </c>
      <c r="F919" t="inlineStr">
        <is>
          <t>電梯</t>
        </is>
      </c>
    </row>
    <row r="920" ht="16.5" customHeight="1" s="84">
      <c r="A920" t="inlineStr">
        <is>
          <t>2023-09</t>
        </is>
      </c>
      <c r="B920" t="inlineStr">
        <is>
          <t>新鑫堯垃圾增桶 8月增桶$600*3=$1,800元 總計$1,800元</t>
        </is>
      </c>
      <c r="C920" t="n">
        <v>1800</v>
      </c>
      <c r="D920" t="inlineStr">
        <is>
          <t>垃圾廢棄物/園藝</t>
        </is>
      </c>
      <c r="E920" t="inlineStr">
        <is>
          <t>非固定</t>
        </is>
      </c>
    </row>
    <row r="921" ht="15" customHeight="1" s="84">
      <c r="A921" t="inlineStr">
        <is>
          <t>2023-09</t>
        </is>
      </c>
      <c r="B921" t="inlineStr">
        <is>
          <t>合億工程行 丁棟大門門軸整修 總計$11,000元</t>
        </is>
      </c>
      <c r="C921" t="n">
        <v>11000</v>
      </c>
      <c r="D921" t="inlineStr">
        <is>
          <t>工程維修/購置</t>
        </is>
      </c>
      <c r="E921" t="inlineStr">
        <is>
          <t>非固定</t>
        </is>
      </c>
    </row>
    <row r="922" ht="15" customHeight="1" s="84">
      <c r="A922" t="inlineStr">
        <is>
          <t>2023-09</t>
        </is>
      </c>
      <c r="B922" t="inlineStr">
        <is>
          <t>一九衛生工程行 抽水肥$1,500*26.05噸=$39,075元 總計$39,075元</t>
        </is>
      </c>
      <c r="C922" t="n">
        <v>39075</v>
      </c>
      <c r="D922" t="inlineStr">
        <is>
          <t>垃圾廢棄物/園藝</t>
        </is>
      </c>
      <c r="E922" t="inlineStr">
        <is>
          <t>非固定</t>
        </is>
      </c>
    </row>
    <row r="923" ht="16.5" customHeight="1" s="84">
      <c r="A923" t="inlineStr">
        <is>
          <t>2023-09</t>
        </is>
      </c>
      <c r="B923" t="inlineStr">
        <is>
          <t>興邦行水電 地下室汙水通管$4,000元 消防水沖灌$4,000元 總計$8,000元</t>
        </is>
      </c>
      <c r="C923" t="n">
        <v>8000</v>
      </c>
      <c r="D923" t="inlineStr">
        <is>
          <t>機電/消防/弱電/AED</t>
        </is>
      </c>
      <c r="E923" t="inlineStr">
        <is>
          <t>非固定</t>
        </is>
      </c>
    </row>
    <row r="924" ht="16.5" customHeight="1" s="84">
      <c r="A924" t="inlineStr">
        <is>
          <t>2023-09</t>
        </is>
      </c>
      <c r="B924" t="inlineStr">
        <is>
          <t>鋐隆清潔用品 112.09.12 1.大白102*115 25KG (大垃圾袋)$46*25=$1,150元 2.芳柔環保擦手紙$480元 3.小捲衛生紙$480元 5%稅金$106元 總計$2,216元</t>
        </is>
      </c>
      <c r="C924" t="n">
        <v>2216</v>
      </c>
      <c r="D924" t="inlineStr">
        <is>
          <t>清潔服務費</t>
        </is>
      </c>
      <c r="E924" t="inlineStr">
        <is>
          <t>非固定</t>
        </is>
      </c>
    </row>
    <row r="925" ht="16.5" customHeight="1" s="84">
      <c r="A925" t="inlineStr">
        <is>
          <t>2023-09</t>
        </is>
      </c>
      <c r="B925" t="inlineStr">
        <is>
          <t>社區電話費(5630533)</t>
        </is>
      </c>
      <c r="C925" t="n">
        <v>674</v>
      </c>
      <c r="D925" t="inlineStr">
        <is>
          <t>電話/網路費</t>
        </is>
      </c>
      <c r="E925" t="inlineStr">
        <is>
          <t>非固定</t>
        </is>
      </c>
    </row>
    <row r="926" ht="16.5" customHeight="1" s="84">
      <c r="A926" t="inlineStr">
        <is>
          <t>2023-09</t>
        </is>
      </c>
      <c r="B926" t="inlineStr">
        <is>
          <t>社區網路費(Y123617)</t>
        </is>
      </c>
      <c r="C926" t="n">
        <v>1899</v>
      </c>
      <c r="D926" t="inlineStr">
        <is>
          <t>電話/網路費</t>
        </is>
      </c>
      <c r="E926" t="inlineStr">
        <is>
          <t>非固定</t>
        </is>
      </c>
    </row>
    <row r="927" ht="16.5" customHeight="1" s="84">
      <c r="A927" t="inlineStr">
        <is>
          <t>2023-09</t>
        </is>
      </c>
      <c r="B927" t="inlineStr">
        <is>
          <t>社區網路費(Y174790)</t>
        </is>
      </c>
      <c r="C927" t="n">
        <v>1899</v>
      </c>
      <c r="D927" t="inlineStr">
        <is>
          <t>電話/網路費</t>
        </is>
      </c>
      <c r="E927" t="inlineStr">
        <is>
          <t>非固定</t>
        </is>
      </c>
    </row>
    <row r="928" ht="16.5" customHeight="1" s="84">
      <c r="A928" t="inlineStr">
        <is>
          <t>2023-09</t>
        </is>
      </c>
      <c r="B928" t="inlineStr">
        <is>
          <t>公共電費</t>
        </is>
      </c>
      <c r="C928" t="n">
        <v>105889</v>
      </c>
      <c r="D928" t="inlineStr">
        <is>
          <t>公共水電瓦斯</t>
        </is>
      </c>
      <c r="E928" t="inlineStr">
        <is>
          <t>非固定</t>
        </is>
      </c>
    </row>
    <row r="929" ht="16.5" customHeight="1" s="84">
      <c r="A929" t="inlineStr">
        <is>
          <t>2023-09</t>
        </is>
      </c>
      <c r="B929" t="inlineStr">
        <is>
          <t>自來水費</t>
        </is>
      </c>
      <c r="C929" t="n">
        <v>0</v>
      </c>
      <c r="D929" t="inlineStr">
        <is>
          <t>公共水電瓦斯</t>
        </is>
      </c>
      <c r="E929" t="inlineStr">
        <is>
          <t>非固定</t>
        </is>
      </c>
    </row>
    <row r="930" ht="16.5" customHeight="1" s="84">
      <c r="A930" t="inlineStr">
        <is>
          <t>2023-10</t>
        </is>
      </c>
      <c r="B930" t="inlineStr">
        <is>
          <t>零用金撥補(112/10) 總計$6,522元</t>
        </is>
      </c>
      <c r="C930" t="n">
        <v>6522</v>
      </c>
      <c r="D930" t="inlineStr">
        <is>
          <t>內部轉帳</t>
        </is>
      </c>
      <c r="E930" t="inlineStr">
        <is>
          <t>非固定</t>
        </is>
      </c>
    </row>
    <row r="931" ht="16.5" customHeight="1" s="84">
      <c r="A931" t="inlineStr">
        <is>
          <t>2023-10</t>
        </is>
      </c>
      <c r="B931" t="inlineStr">
        <is>
          <t>管委會出席費用(預領) 總計$8,000元</t>
        </is>
      </c>
      <c r="C931" t="n">
        <v>8000</v>
      </c>
      <c r="D931" t="inlineStr">
        <is>
          <t>內部轉帳</t>
        </is>
      </c>
      <c r="E931" t="inlineStr">
        <is>
          <t>非固定</t>
        </is>
      </c>
    </row>
    <row r="932" ht="16.5" customHeight="1" s="84">
      <c r="A932" t="inlineStr">
        <is>
          <t>2023-10</t>
        </is>
      </c>
      <c r="B932" t="inlineStr">
        <is>
          <t>電梯專用款撥補(112/10) 總計$50,000元</t>
        </is>
      </c>
      <c r="C932" t="n">
        <v>50000</v>
      </c>
      <c r="D932" t="inlineStr">
        <is>
          <t>內部轉帳</t>
        </is>
      </c>
      <c r="E932" t="inlineStr">
        <is>
          <t>非固定</t>
        </is>
      </c>
    </row>
    <row r="933" ht="16.5" customHeight="1" s="84">
      <c r="A933" t="inlineStr">
        <is>
          <t>2023-10</t>
        </is>
      </c>
      <c r="B933" t="inlineStr">
        <is>
          <t>德懋物業公司(112/10)管理服務費：社區經理乙員，社區秘書乙員，警衛服務人員兩哨。 總計$389,550元</t>
        </is>
      </c>
      <c r="C933" t="n">
        <v>389550</v>
      </c>
      <c r="D933" t="inlineStr">
        <is>
          <t>其他支出</t>
        </is>
      </c>
      <c r="E933" t="inlineStr">
        <is>
          <t>固定</t>
        </is>
      </c>
    </row>
    <row r="934" ht="16.5" customHeight="1" s="84">
      <c r="A934" t="inlineStr">
        <is>
          <t>2023-10</t>
        </is>
      </c>
      <c r="B934" t="inlineStr">
        <is>
          <t>順達清潔服務費(112/10) 總計$109,000元</t>
        </is>
      </c>
      <c r="C934" t="n">
        <v>109000</v>
      </c>
      <c r="D934" t="inlineStr">
        <is>
          <t>清潔服務費</t>
        </is>
      </c>
      <c r="E934" t="inlineStr">
        <is>
          <t>固定</t>
        </is>
      </c>
    </row>
    <row r="935" ht="16.5" customHeight="1" s="84">
      <c r="A935" t="inlineStr">
        <is>
          <t>2023-10</t>
        </is>
      </c>
      <c r="B935" t="inlineStr">
        <is>
          <t>義明清潔服務費(112/10) 總計$109,000元</t>
        </is>
      </c>
      <c r="C935" t="n">
        <v>109000</v>
      </c>
      <c r="D935" t="inlineStr">
        <is>
          <t>清潔服務費</t>
        </is>
      </c>
      <c r="E935" t="inlineStr">
        <is>
          <t>固定</t>
        </is>
      </c>
    </row>
    <row r="936" ht="16.5" customHeight="1" s="84">
      <c r="A936" t="inlineStr">
        <is>
          <t>2023-10</t>
        </is>
      </c>
      <c r="B936" t="inlineStr">
        <is>
          <t>崇友電梯(112/10)電梯保養 總計$100,000元</t>
        </is>
      </c>
      <c r="C936" t="n">
        <v>100000</v>
      </c>
      <c r="D936" t="inlineStr">
        <is>
          <t>電梯保養與修繕</t>
        </is>
      </c>
      <c r="E936" t="inlineStr">
        <is>
          <t>固定</t>
        </is>
      </c>
    </row>
    <row r="937" ht="16.5" customHeight="1" s="84">
      <c r="A937" t="inlineStr">
        <is>
          <t>2023-10</t>
        </is>
      </c>
      <c r="B937" t="inlineStr">
        <is>
          <t>AED(112/11)租賃費 總計$1,500元</t>
        </is>
      </c>
      <c r="C937" t="n">
        <v>1500</v>
      </c>
      <c r="D937" t="inlineStr">
        <is>
          <t>機電/消防/弱電/AED</t>
        </is>
      </c>
      <c r="E937" t="inlineStr">
        <is>
          <t>固定</t>
        </is>
      </c>
    </row>
    <row r="938" ht="16.5" customHeight="1" s="84">
      <c r="A938" t="inlineStr">
        <is>
          <t>2023-10</t>
        </is>
      </c>
      <c r="B938" t="inlineStr">
        <is>
          <t>御品寬頻(112/10)網路服務租賃 總計$9,450元</t>
        </is>
      </c>
      <c r="C938" t="n">
        <v>9450</v>
      </c>
      <c r="D938" t="inlineStr">
        <is>
          <t>機電/消防/弱電/AED</t>
        </is>
      </c>
      <c r="E938" t="inlineStr">
        <is>
          <t>固定</t>
        </is>
      </c>
    </row>
    <row r="939" ht="16.5" customHeight="1" s="84">
      <c r="A939" t="inlineStr">
        <is>
          <t>2023-10</t>
        </is>
      </c>
      <c r="B939" t="inlineStr">
        <is>
          <t>新鑫堯(112/10) 廢棄物清除$32,500元 清潔費$3,500元 總計$36,000元</t>
        </is>
      </c>
      <c r="C939" t="n">
        <v>36000</v>
      </c>
      <c r="D939" t="inlineStr">
        <is>
          <t>垃圾廢棄物/園藝</t>
        </is>
      </c>
      <c r="E939" t="inlineStr">
        <is>
          <t>固定</t>
        </is>
      </c>
    </row>
    <row r="940" ht="16.5" customHeight="1" s="84">
      <c r="A940" t="inlineStr">
        <is>
          <t>2023-10</t>
        </is>
      </c>
      <c r="B940" t="inlineStr">
        <is>
          <t>太古意門禁維護檢點費(112/10) 總計$10,000元</t>
        </is>
      </c>
      <c r="C940" t="n">
        <v>10000</v>
      </c>
      <c r="D940" t="inlineStr">
        <is>
          <t>機電/消防/弱電/AED</t>
        </is>
      </c>
      <c r="E940" t="inlineStr">
        <is>
          <t>固定</t>
        </is>
      </c>
    </row>
    <row r="941" ht="16.5" customHeight="1" s="84">
      <c r="A941" t="inlineStr">
        <is>
          <t>2023-10</t>
        </is>
      </c>
      <c r="B941" t="inlineStr">
        <is>
          <t>鑫禾機電保養費(112/10) 總計$28,000元</t>
        </is>
      </c>
      <c r="C941" t="n">
        <v>28000</v>
      </c>
      <c r="D941" t="inlineStr">
        <is>
          <t>機電/消防/弱電/AED</t>
        </is>
      </c>
      <c r="E941" t="inlineStr">
        <is>
          <t>固定</t>
        </is>
      </c>
    </row>
    <row r="942" ht="16.5" customHeight="1" s="84">
      <c r="A942" t="inlineStr">
        <is>
          <t>2023-10</t>
        </is>
      </c>
      <c r="B942" t="inlineStr">
        <is>
          <t>富賀村-園藝定期保養(112/10) 總計$33,000元</t>
        </is>
      </c>
      <c r="C942" t="n">
        <v>33000</v>
      </c>
      <c r="D942" t="inlineStr">
        <is>
          <t>垃圾廢棄物/園藝</t>
        </is>
      </c>
      <c r="E942" t="inlineStr">
        <is>
          <t>固定</t>
        </is>
      </c>
    </row>
    <row r="943" ht="16.5" customHeight="1" s="84">
      <c r="A943" t="inlineStr">
        <is>
          <t>2023-10</t>
        </is>
      </c>
      <c r="B943" t="inlineStr">
        <is>
          <t>宜力亞 9月泳池保養費$4,000元 總計$4,000元</t>
        </is>
      </c>
      <c r="C943" t="n">
        <v>4000</v>
      </c>
      <c r="D943" t="inlineStr">
        <is>
          <t>其他支出</t>
        </is>
      </c>
      <c r="E943" t="inlineStr">
        <is>
          <t>固定</t>
        </is>
      </c>
      <c r="F943" t="inlineStr">
        <is>
          <t>游泳池</t>
        </is>
      </c>
    </row>
    <row r="944" ht="16.5" customHeight="1" s="84">
      <c r="A944" t="inlineStr">
        <is>
          <t>2023-10</t>
        </is>
      </c>
      <c r="B944" t="inlineStr">
        <is>
          <t>鑫禾設備修繕 1.LED杯燈$350*18=$6,300元 2.LED球泡燈$110*10=$1,100元 3.電燈感應器$650*7=4,550元 4.LED層板燈$300元 5.LED懸吊式燈具$950*3=2,850元 6.LED-T8.4呎燈管$350*3=1,050元 總計$16,150元</t>
        </is>
      </c>
      <c r="C944" t="n">
        <v>16150</v>
      </c>
      <c r="D944" t="inlineStr">
        <is>
          <t>工程維修/購置</t>
        </is>
      </c>
      <c r="E944" t="inlineStr">
        <is>
          <t>非固定</t>
        </is>
      </c>
    </row>
    <row r="945" ht="16.5" customHeight="1" s="84">
      <c r="A945" t="inlineStr">
        <is>
          <t>2023-10</t>
        </is>
      </c>
      <c r="B945" t="inlineStr">
        <is>
          <t>鑫禾消防申報 112年度消防安全設備檢修申報$45,714元 5%稅金$2,286元 總計$48,000元</t>
        </is>
      </c>
      <c r="C945" t="n">
        <v>48000</v>
      </c>
      <c r="D945" t="inlineStr">
        <is>
          <t>機電/消防/弱電/AED</t>
        </is>
      </c>
      <c r="E945" t="inlineStr">
        <is>
          <t>非固定</t>
        </is>
      </c>
    </row>
    <row r="946" ht="16.5" customHeight="1" s="84">
      <c r="A946" t="inlineStr">
        <is>
          <t>2023-10</t>
        </is>
      </c>
      <c r="B946" t="inlineStr">
        <is>
          <t>新鑫堯垃圾增桶 9月增桶$600*2=$1,200元 總計$1,200元</t>
        </is>
      </c>
      <c r="C946" t="n">
        <v>1200</v>
      </c>
      <c r="D946" t="inlineStr">
        <is>
          <t>垃圾廢棄物/園藝</t>
        </is>
      </c>
      <c r="E946" t="inlineStr">
        <is>
          <t>非固定</t>
        </is>
      </c>
    </row>
    <row r="947" ht="15" customHeight="1" s="84">
      <c r="A947" t="inlineStr">
        <is>
          <t>2023-10</t>
        </is>
      </c>
      <c r="B947" t="inlineStr">
        <is>
          <t>太古意設備修繕 甲棟B1F 1.卡機用電源供應器$1,000元 2.更換工資$800元 5%稅金$90元 總計$1,890元</t>
        </is>
      </c>
      <c r="C947" t="n">
        <v>1890</v>
      </c>
      <c r="D947" t="inlineStr">
        <is>
          <t>機電/消防/弱電/AED</t>
        </is>
      </c>
      <c r="E947" t="inlineStr">
        <is>
          <t>非固定</t>
        </is>
      </c>
    </row>
    <row r="948" ht="15" customHeight="1" s="84">
      <c r="A948" t="inlineStr">
        <is>
          <t>2023-10</t>
        </is>
      </c>
      <c r="B948" t="inlineStr">
        <is>
          <t>中信建築物公共安全檢查申報 建築物公共安全檢查申報申報$38,000元 5%稅金$1,900元 總計$39,900元</t>
        </is>
      </c>
      <c r="C948" t="n">
        <v>39900</v>
      </c>
      <c r="D948" t="inlineStr">
        <is>
          <t>其他支出</t>
        </is>
      </c>
      <c r="E948" t="inlineStr">
        <is>
          <t>非固定</t>
        </is>
      </c>
    </row>
    <row r="949" ht="16.5" customHeight="1" s="84">
      <c r="A949" t="inlineStr">
        <is>
          <t>2023-10</t>
        </is>
      </c>
      <c r="B949" t="inlineStr">
        <is>
          <t>E2疏通管路工程 總計$18,000元</t>
        </is>
      </c>
      <c r="C949" t="n">
        <v>18000</v>
      </c>
      <c r="D949" t="inlineStr">
        <is>
          <t>工程維修/購置</t>
        </is>
      </c>
      <c r="E949" t="inlineStr">
        <is>
          <t>非固定</t>
        </is>
      </c>
    </row>
    <row r="950" ht="16.5" customHeight="1" s="84">
      <c r="A950" t="inlineStr">
        <is>
          <t>2023-10</t>
        </is>
      </c>
      <c r="B950" t="inlineStr">
        <is>
          <t>夏洛瓦-窗簾 瑜珈室捲簾維修$9,000元 5%稅金$450元 總計$9,450元</t>
        </is>
      </c>
      <c r="C950" t="n">
        <v>9450</v>
      </c>
      <c r="D950" t="inlineStr">
        <is>
          <t>工程維修/購置</t>
        </is>
      </c>
      <c r="E950" t="inlineStr">
        <is>
          <t>非固定</t>
        </is>
      </c>
    </row>
    <row r="951" ht="16.5" customHeight="1" s="84">
      <c r="A951" t="inlineStr">
        <is>
          <t>2023-10</t>
        </is>
      </c>
      <c r="B951" t="inlineStr">
        <is>
          <t>社區電話費(5630533)</t>
        </is>
      </c>
      <c r="C951" t="n">
        <v>516</v>
      </c>
      <c r="D951" t="inlineStr">
        <is>
          <t>電話/網路費</t>
        </is>
      </c>
      <c r="E951" t="inlineStr">
        <is>
          <t>非固定</t>
        </is>
      </c>
    </row>
    <row r="952" ht="16.5" customHeight="1" s="84">
      <c r="A952" t="inlineStr">
        <is>
          <t>2023-10</t>
        </is>
      </c>
      <c r="B952" t="inlineStr">
        <is>
          <t>社區網路費(Y123617)</t>
        </is>
      </c>
      <c r="C952" t="n">
        <v>1899</v>
      </c>
      <c r="D952" t="inlineStr">
        <is>
          <t>電話/網路費</t>
        </is>
      </c>
      <c r="E952" t="inlineStr">
        <is>
          <t>非固定</t>
        </is>
      </c>
    </row>
    <row r="953" ht="16.5" customHeight="1" s="84">
      <c r="A953" t="inlineStr">
        <is>
          <t>2023-10</t>
        </is>
      </c>
      <c r="B953" t="inlineStr">
        <is>
          <t>社區網路費(Y174790)</t>
        </is>
      </c>
      <c r="C953" t="n">
        <v>1899</v>
      </c>
      <c r="D953" t="inlineStr">
        <is>
          <t>電話/網路費</t>
        </is>
      </c>
      <c r="E953" t="inlineStr">
        <is>
          <t>非固定</t>
        </is>
      </c>
    </row>
    <row r="954" ht="16.5" customHeight="1" s="84">
      <c r="A954" t="inlineStr">
        <is>
          <t>2023-10</t>
        </is>
      </c>
      <c r="B954" t="inlineStr">
        <is>
          <t>公共電費</t>
        </is>
      </c>
      <c r="C954" t="n">
        <v>113031</v>
      </c>
      <c r="D954" t="inlineStr">
        <is>
          <t>公共水電瓦斯</t>
        </is>
      </c>
      <c r="E954" t="inlineStr">
        <is>
          <t>非固定</t>
        </is>
      </c>
    </row>
    <row r="955" ht="16.5" customHeight="1" s="84">
      <c r="A955" t="inlineStr">
        <is>
          <t>2023-10</t>
        </is>
      </c>
      <c r="B955" t="inlineStr">
        <is>
          <t>自來水費</t>
        </is>
      </c>
      <c r="C955" t="n">
        <v>14722</v>
      </c>
      <c r="D955" t="inlineStr">
        <is>
          <t>公共水電瓦斯</t>
        </is>
      </c>
      <c r="E955" t="inlineStr">
        <is>
          <t>非固定</t>
        </is>
      </c>
    </row>
    <row r="956" ht="16.5" customHeight="1" s="84">
      <c r="A956" t="inlineStr">
        <is>
          <t>2023-11</t>
        </is>
      </c>
      <c r="B956" t="inlineStr">
        <is>
          <t>零用金撥補(112/11) 總計$9,185元</t>
        </is>
      </c>
      <c r="C956" t="n">
        <v>9185</v>
      </c>
      <c r="D956" t="inlineStr">
        <is>
          <t>內部轉帳</t>
        </is>
      </c>
      <c r="E956" t="inlineStr">
        <is>
          <t>非固定</t>
        </is>
      </c>
    </row>
    <row r="957" ht="16.5" customHeight="1" s="84">
      <c r="A957" t="inlineStr">
        <is>
          <t>2023-11</t>
        </is>
      </c>
      <c r="B957" t="inlineStr">
        <is>
          <t>管委會出席費用(預領) 總計$8,000元</t>
        </is>
      </c>
      <c r="C957" t="n">
        <v>8000</v>
      </c>
      <c r="D957" t="inlineStr">
        <is>
          <t>內部轉帳</t>
        </is>
      </c>
      <c r="E957" t="inlineStr">
        <is>
          <t>非固定</t>
        </is>
      </c>
    </row>
    <row r="958" ht="16.5" customHeight="1" s="84">
      <c r="A958" t="inlineStr">
        <is>
          <t>2023-11</t>
        </is>
      </c>
      <c r="B958" t="inlineStr">
        <is>
          <t>電梯專用款撥補(112/11) 總計$50,000元</t>
        </is>
      </c>
      <c r="C958" t="n">
        <v>50000</v>
      </c>
      <c r="D958" t="inlineStr">
        <is>
          <t>內部轉帳</t>
        </is>
      </c>
      <c r="E958" t="inlineStr">
        <is>
          <t>非固定</t>
        </is>
      </c>
    </row>
    <row r="959" ht="16.5" customHeight="1" s="84">
      <c r="A959" t="inlineStr">
        <is>
          <t>2023-11</t>
        </is>
      </c>
      <c r="B959" t="inlineStr">
        <is>
          <t>德懋物業公司(112/11)管理服務費：社區經理乙員，社區秘書乙員，警衛服務人員兩哨。 總計$389,550元</t>
        </is>
      </c>
      <c r="C959" t="n">
        <v>389550</v>
      </c>
      <c r="D959" t="inlineStr">
        <is>
          <t>其他支出</t>
        </is>
      </c>
      <c r="E959" t="inlineStr">
        <is>
          <t>固定</t>
        </is>
      </c>
    </row>
    <row r="960" ht="16.5" customHeight="1" s="84">
      <c r="A960" t="inlineStr">
        <is>
          <t>2023-11</t>
        </is>
      </c>
      <c r="B960" t="inlineStr">
        <is>
          <t>順達清潔服務費(112/11) 總計$109,000元</t>
        </is>
      </c>
      <c r="C960" t="n">
        <v>109000</v>
      </c>
      <c r="D960" t="inlineStr">
        <is>
          <t>清潔服務費</t>
        </is>
      </c>
      <c r="E960" t="inlineStr">
        <is>
          <t>固定</t>
        </is>
      </c>
    </row>
    <row r="961" ht="16.5" customHeight="1" s="84">
      <c r="A961" t="inlineStr">
        <is>
          <t>2023-11</t>
        </is>
      </c>
      <c r="B961" t="inlineStr">
        <is>
          <t>義明清潔服務費(112/11) 總計$109,000元</t>
        </is>
      </c>
      <c r="C961" t="n">
        <v>109000</v>
      </c>
      <c r="D961" t="inlineStr">
        <is>
          <t>清潔服務費</t>
        </is>
      </c>
      <c r="E961" t="inlineStr">
        <is>
          <t>固定</t>
        </is>
      </c>
    </row>
    <row r="962" ht="16.5" customHeight="1" s="84">
      <c r="A962" t="inlineStr">
        <is>
          <t>2023-11</t>
        </is>
      </c>
      <c r="B962" t="inlineStr">
        <is>
          <t>崇友電梯(112/11)電梯保養 總計$100,000元</t>
        </is>
      </c>
      <c r="C962" t="n">
        <v>100000</v>
      </c>
      <c r="D962" t="inlineStr">
        <is>
          <t>電梯保養與修繕</t>
        </is>
      </c>
      <c r="E962" t="inlineStr">
        <is>
          <t>固定</t>
        </is>
      </c>
    </row>
    <row r="963" ht="16.5" customHeight="1" s="84">
      <c r="A963" t="inlineStr">
        <is>
          <t>2023-11</t>
        </is>
      </c>
      <c r="B963" t="inlineStr">
        <is>
          <t>AED(112/12)租賃費 總計$1,500元</t>
        </is>
      </c>
      <c r="C963" t="n">
        <v>1500</v>
      </c>
      <c r="D963" t="inlineStr">
        <is>
          <t>機電/消防/弱電/AED</t>
        </is>
      </c>
      <c r="E963" t="inlineStr">
        <is>
          <t>固定</t>
        </is>
      </c>
    </row>
    <row r="964" ht="16.5" customHeight="1" s="84">
      <c r="A964" t="inlineStr">
        <is>
          <t>2023-11</t>
        </is>
      </c>
      <c r="B964" t="inlineStr">
        <is>
          <t>御品寬頻(112/11)網路服務租賃 總計$9,450元</t>
        </is>
      </c>
      <c r="C964" t="n">
        <v>9450</v>
      </c>
      <c r="D964" t="inlineStr">
        <is>
          <t>機電/消防/弱電/AED</t>
        </is>
      </c>
      <c r="E964" t="inlineStr">
        <is>
          <t>固定</t>
        </is>
      </c>
    </row>
    <row r="965" ht="16.5" customHeight="1" s="84">
      <c r="A965" t="inlineStr">
        <is>
          <t>2023-11</t>
        </is>
      </c>
      <c r="B965" t="inlineStr">
        <is>
          <t>新鑫堯(112/11) 廢棄物清除$32,500元 清潔費$3,500元 總計$36,000元</t>
        </is>
      </c>
      <c r="C965" t="n">
        <v>36000</v>
      </c>
      <c r="D965" t="inlineStr">
        <is>
          <t>垃圾廢棄物/園藝</t>
        </is>
      </c>
      <c r="E965" t="inlineStr">
        <is>
          <t>固定</t>
        </is>
      </c>
    </row>
    <row r="966" ht="16.5" customHeight="1" s="84">
      <c r="A966" t="inlineStr">
        <is>
          <t>2023-11</t>
        </is>
      </c>
      <c r="B966" t="inlineStr">
        <is>
          <t>太古意門禁維護檢點費(112/11) 總計$10,000元</t>
        </is>
      </c>
      <c r="C966" t="n">
        <v>10000</v>
      </c>
      <c r="D966" t="inlineStr">
        <is>
          <t>機電/消防/弱電/AED</t>
        </is>
      </c>
      <c r="E966" t="inlineStr">
        <is>
          <t>固定</t>
        </is>
      </c>
    </row>
    <row r="967" ht="16.5" customHeight="1" s="84">
      <c r="A967" t="inlineStr">
        <is>
          <t>2023-11</t>
        </is>
      </c>
      <c r="B967" t="inlineStr">
        <is>
          <t>鑫禾機電保養費(112/11) 總計$28,000元</t>
        </is>
      </c>
      <c r="C967" t="n">
        <v>28000</v>
      </c>
      <c r="D967" t="inlineStr">
        <is>
          <t>機電/消防/弱電/AED</t>
        </is>
      </c>
      <c r="E967" t="inlineStr">
        <is>
          <t>固定</t>
        </is>
      </c>
    </row>
    <row r="968" ht="16.5" customHeight="1" s="84">
      <c r="A968" t="inlineStr">
        <is>
          <t>2023-11</t>
        </is>
      </c>
      <c r="B968" t="inlineStr">
        <is>
          <t>富賀村-園藝定期保養(112/11) 總計$0元(雙月保養)</t>
        </is>
      </c>
      <c r="C968" t="n">
        <v>0</v>
      </c>
      <c r="D968" t="inlineStr">
        <is>
          <t>垃圾廢棄物/園藝</t>
        </is>
      </c>
      <c r="E968" t="inlineStr">
        <is>
          <t>固定</t>
        </is>
      </c>
    </row>
    <row r="969" ht="16.5" customHeight="1" s="84">
      <c r="A969" t="inlineStr">
        <is>
          <t>2023-11</t>
        </is>
      </c>
      <c r="B969" t="inlineStr">
        <is>
          <t>宜力亞 10月泳池保養費$4,000元 11月泳池保養費$4,000元 總計$8,000元</t>
        </is>
      </c>
      <c r="C969" t="n">
        <v>8000</v>
      </c>
      <c r="D969" t="inlineStr">
        <is>
          <t>其他支出</t>
        </is>
      </c>
      <c r="E969" t="inlineStr">
        <is>
          <t>固定</t>
        </is>
      </c>
      <c r="F969" t="inlineStr">
        <is>
          <t>游泳池</t>
        </is>
      </c>
    </row>
    <row r="970" ht="16.5" customHeight="1" s="84">
      <c r="A970" t="inlineStr">
        <is>
          <t>2023-11</t>
        </is>
      </c>
      <c r="B970" t="inlineStr">
        <is>
          <t>鑫禾設備修繕 1.LED杯燈$350*50=$17,500元 2.LED層板燈$300*20=$6,000元 3.自然排煙窗推桿機板及變壓器$5,000元 4.汙水馬達(河見5HP)$30,000元 5.電燈感應器$650*2=$1,300元 6.隱藏式電燈感應器$700*2=$1400元 總計$61,200元</t>
        </is>
      </c>
      <c r="C970" t="n">
        <v>61200</v>
      </c>
      <c r="D970" t="inlineStr">
        <is>
          <t>工程維修/購置</t>
        </is>
      </c>
      <c r="E970" t="inlineStr">
        <is>
          <t>非固定</t>
        </is>
      </c>
    </row>
    <row r="971" ht="16.5" customHeight="1" s="84">
      <c r="A971" t="inlineStr">
        <is>
          <t>2023-11</t>
        </is>
      </c>
      <c r="B971" t="inlineStr">
        <is>
          <t>新鑫堯垃圾增桶 10月增桶$600*2=$1,200元 總計$1,200元</t>
        </is>
      </c>
      <c r="C971" t="n">
        <v>1200</v>
      </c>
      <c r="D971" t="inlineStr">
        <is>
          <t>垃圾廢棄物/園藝</t>
        </is>
      </c>
      <c r="E971" t="inlineStr">
        <is>
          <t>非固定</t>
        </is>
      </c>
    </row>
    <row r="972" ht="16.5" customHeight="1" s="84">
      <c r="A972" t="inlineStr">
        <is>
          <t>2023-11</t>
        </is>
      </c>
      <c r="B972" t="inlineStr">
        <is>
          <t>崇友電梯設備維修 微壓按鈕更換共49處$500*49=$24,500元</t>
        </is>
      </c>
      <c r="C972" t="n">
        <v>24500</v>
      </c>
      <c r="D972" t="inlineStr">
        <is>
          <t>電梯保養與修繕</t>
        </is>
      </c>
      <c r="E972" t="inlineStr">
        <is>
          <t>非固定</t>
        </is>
      </c>
      <c r="F972" t="inlineStr">
        <is>
          <t>電梯</t>
        </is>
      </c>
    </row>
    <row r="973" ht="15" customHeight="1" s="84">
      <c r="A973" t="inlineStr">
        <is>
          <t>2023-11</t>
        </is>
      </c>
      <c r="B973" t="inlineStr">
        <is>
          <t>崇友電梯載重測試 CT-011531-002(#2、4、6、7、9) 安檢費$1,200*5=$6,000元 載重測試費$1,500*5=$7,500元 5%稅金$675元 總計$14,175元</t>
        </is>
      </c>
      <c r="C973" t="n">
        <v>14175</v>
      </c>
      <c r="D973" t="inlineStr">
        <is>
          <t>電梯保養與修繕</t>
        </is>
      </c>
      <c r="E973" t="inlineStr">
        <is>
          <t>非固定</t>
        </is>
      </c>
      <c r="F973" t="inlineStr">
        <is>
          <t>電梯</t>
        </is>
      </c>
    </row>
    <row r="974" ht="15" customHeight="1" s="84">
      <c r="A974" t="inlineStr">
        <is>
          <t>2023-11</t>
        </is>
      </c>
      <c r="B974" t="inlineStr">
        <is>
          <t>鋐隆清潔用品 112.10.17 1.紅龍珍珠洗手乳$180*4=$720元 2.芳柔環保擦手紙$480元 3.小捲衛生紙$480元 4.抽取式衛生紙$630元 5.稅金$116元 計$2,426元 112.11.16-112.11.17 1.小捲衛生紙$480*2=$960元 2.小垃圾袋53*63(粉紅)$950元 3.稅金$96元 計2,006元 總計$4,432元</t>
        </is>
      </c>
      <c r="C974" t="n">
        <v>4432</v>
      </c>
      <c r="D974" t="inlineStr">
        <is>
          <t>清潔服務費</t>
        </is>
      </c>
      <c r="E974" t="inlineStr">
        <is>
          <t>非固定</t>
        </is>
      </c>
    </row>
    <row r="975" ht="16.5" customHeight="1" s="84">
      <c r="A975" t="inlineStr">
        <is>
          <t>2023-11</t>
        </is>
      </c>
      <c r="B975" t="inlineStr">
        <is>
          <t>晴揚氯錠 氯錠(3吋90%20KG)$110*300KG=$33,000元</t>
        </is>
      </c>
      <c r="C975" t="n">
        <v>33000</v>
      </c>
      <c r="D975" t="inlineStr">
        <is>
          <t>工程維修/購置</t>
        </is>
      </c>
      <c r="E975" t="inlineStr">
        <is>
          <t>非固定</t>
        </is>
      </c>
    </row>
    <row r="976" ht="16.5" customHeight="1" s="84">
      <c r="A976" t="inlineStr">
        <is>
          <t>2023-11</t>
        </is>
      </c>
      <c r="B976" t="inlineStr">
        <is>
          <t>浩林-汙水孔蓋 汙水孔蓋$10,000*2=$20,000元 總計$20,000元</t>
        </is>
      </c>
      <c r="C976" t="n">
        <v>20000</v>
      </c>
      <c r="D976" t="inlineStr">
        <is>
          <t>工程維修/購置</t>
        </is>
      </c>
      <c r="E976" t="inlineStr">
        <is>
          <t>非固定</t>
        </is>
      </c>
    </row>
    <row r="977" ht="16.5" customHeight="1" s="84">
      <c r="A977" t="inlineStr">
        <is>
          <t>2023-11</t>
        </is>
      </c>
      <c r="B977" t="inlineStr">
        <is>
          <t>社區電話費(5630533)</t>
        </is>
      </c>
      <c r="C977" t="n">
        <v>833</v>
      </c>
      <c r="D977" t="inlineStr">
        <is>
          <t>電話/網路費</t>
        </is>
      </c>
      <c r="E977" t="inlineStr">
        <is>
          <t>非固定</t>
        </is>
      </c>
    </row>
    <row r="978" ht="16.5" customHeight="1" s="84">
      <c r="A978" t="inlineStr">
        <is>
          <t>2023-11</t>
        </is>
      </c>
      <c r="B978" t="inlineStr">
        <is>
          <t>社區網路費(Y123617)</t>
        </is>
      </c>
      <c r="C978" t="n">
        <v>1899</v>
      </c>
      <c r="D978" t="inlineStr">
        <is>
          <t>電話/網路費</t>
        </is>
      </c>
      <c r="E978" t="inlineStr">
        <is>
          <t>非固定</t>
        </is>
      </c>
    </row>
    <row r="979" ht="16.5" customHeight="1" s="84">
      <c r="A979" t="inlineStr">
        <is>
          <t>2023-11</t>
        </is>
      </c>
      <c r="B979" t="inlineStr">
        <is>
          <t>社區網路費(Y174790)</t>
        </is>
      </c>
      <c r="C979" t="n">
        <v>1899</v>
      </c>
      <c r="D979" t="inlineStr">
        <is>
          <t>電話/網路費</t>
        </is>
      </c>
      <c r="E979" t="inlineStr">
        <is>
          <t>非固定</t>
        </is>
      </c>
    </row>
    <row r="980" ht="16.5" customHeight="1" s="84">
      <c r="A980" t="inlineStr">
        <is>
          <t>2023-11</t>
        </is>
      </c>
      <c r="B980" t="inlineStr">
        <is>
          <t>公共電費</t>
        </is>
      </c>
      <c r="C980" t="n">
        <v>97513</v>
      </c>
      <c r="D980" t="inlineStr">
        <is>
          <t>公共水電瓦斯</t>
        </is>
      </c>
      <c r="E980" t="inlineStr">
        <is>
          <t>非固定</t>
        </is>
      </c>
    </row>
    <row r="981" ht="16.5" customHeight="1" s="84">
      <c r="A981" t="inlineStr">
        <is>
          <t>2023-11</t>
        </is>
      </c>
      <c r="B981" t="inlineStr">
        <is>
          <t>自來水費</t>
        </is>
      </c>
      <c r="C981" t="n">
        <v>0</v>
      </c>
      <c r="D981" t="inlineStr">
        <is>
          <t>公共水電瓦斯</t>
        </is>
      </c>
      <c r="E981" t="inlineStr">
        <is>
          <t>非固定</t>
        </is>
      </c>
    </row>
    <row r="982" ht="16.5" customHeight="1" s="84">
      <c r="A982" t="inlineStr">
        <is>
          <t>2023-12</t>
        </is>
      </c>
      <c r="B982" t="inlineStr">
        <is>
          <t>零用金撥補(112/12) 總計$11,538元</t>
        </is>
      </c>
      <c r="C982" t="n">
        <v>11538</v>
      </c>
      <c r="D982" t="inlineStr">
        <is>
          <t>內部轉帳</t>
        </is>
      </c>
      <c r="E982" t="inlineStr">
        <is>
          <t>非固定</t>
        </is>
      </c>
    </row>
    <row r="983" ht="16.5" customHeight="1" s="84">
      <c r="A983" t="inlineStr">
        <is>
          <t>2023-12</t>
        </is>
      </c>
      <c r="B983" t="inlineStr">
        <is>
          <t>管委會出席費用(預領) 總計$8,000元</t>
        </is>
      </c>
      <c r="C983" t="n">
        <v>8000</v>
      </c>
      <c r="D983" t="inlineStr">
        <is>
          <t>內部轉帳</t>
        </is>
      </c>
      <c r="E983" t="inlineStr">
        <is>
          <t>非固定</t>
        </is>
      </c>
    </row>
    <row r="984" ht="16.5" customHeight="1" s="84">
      <c r="A984" t="inlineStr">
        <is>
          <t>2023-12</t>
        </is>
      </c>
      <c r="B984" t="inlineStr">
        <is>
          <t>電梯專用款撥補(112/12) 總計$50,000元</t>
        </is>
      </c>
      <c r="C984" t="n">
        <v>50000</v>
      </c>
      <c r="D984" t="inlineStr">
        <is>
          <t>內部轉帳</t>
        </is>
      </c>
      <c r="E984" t="inlineStr">
        <is>
          <t>非固定</t>
        </is>
      </c>
    </row>
    <row r="985" ht="16.5" customHeight="1" s="84">
      <c r="A985" t="inlineStr">
        <is>
          <t>2023-12</t>
        </is>
      </c>
      <c r="B985" t="inlineStr">
        <is>
          <t>德懋物業公司(112/12)管理服務費：社區經理乙員，社區秘書乙員，警衛服務人員兩哨。 總計$389,550元</t>
        </is>
      </c>
      <c r="C985" t="n">
        <v>389550</v>
      </c>
      <c r="D985" t="inlineStr">
        <is>
          <t>其他支出</t>
        </is>
      </c>
      <c r="E985" t="inlineStr">
        <is>
          <t>固定</t>
        </is>
      </c>
    </row>
    <row r="986" ht="16.5" customHeight="1" s="84">
      <c r="A986" t="inlineStr">
        <is>
          <t>2023-12</t>
        </is>
      </c>
      <c r="B986" t="inlineStr">
        <is>
          <t>順達清潔服務費(112/12) 總計$114,000元</t>
        </is>
      </c>
      <c r="C986" t="n">
        <v>114000</v>
      </c>
      <c r="D986" t="inlineStr">
        <is>
          <t>清潔服務費</t>
        </is>
      </c>
      <c r="E986" t="inlineStr">
        <is>
          <t>固定</t>
        </is>
      </c>
    </row>
    <row r="987" ht="16.5" customHeight="1" s="84">
      <c r="A987" t="inlineStr">
        <is>
          <t>2023-12</t>
        </is>
      </c>
      <c r="B987" t="inlineStr">
        <is>
          <t>義明清潔服務費(112/12) 總計$114,000元</t>
        </is>
      </c>
      <c r="C987" t="n">
        <v>114000</v>
      </c>
      <c r="D987" t="inlineStr">
        <is>
          <t>清潔服務費</t>
        </is>
      </c>
      <c r="E987" t="inlineStr">
        <is>
          <t>固定</t>
        </is>
      </c>
    </row>
    <row r="988" ht="16.5" customHeight="1" s="84">
      <c r="A988" t="inlineStr">
        <is>
          <t>2023-12</t>
        </is>
      </c>
      <c r="B988" t="inlineStr">
        <is>
          <t>崇友電梯(112/12)電梯保養 總計$100,000元</t>
        </is>
      </c>
      <c r="C988" t="n">
        <v>100000</v>
      </c>
      <c r="D988" t="inlineStr">
        <is>
          <t>電梯保養與修繕</t>
        </is>
      </c>
      <c r="E988" t="inlineStr">
        <is>
          <t>固定</t>
        </is>
      </c>
    </row>
    <row r="989" ht="16.5" customHeight="1" s="84">
      <c r="A989" t="inlineStr">
        <is>
          <t>2023-12</t>
        </is>
      </c>
      <c r="B989" t="inlineStr">
        <is>
          <t>AED(113/01)租賃費 總計$1,500元</t>
        </is>
      </c>
      <c r="C989" t="n">
        <v>1500</v>
      </c>
      <c r="D989" t="inlineStr">
        <is>
          <t>機電/消防/弱電/AED</t>
        </is>
      </c>
      <c r="E989" t="inlineStr">
        <is>
          <t>固定</t>
        </is>
      </c>
    </row>
    <row r="990" ht="16.5" customHeight="1" s="84">
      <c r="A990" t="inlineStr">
        <is>
          <t>2023-12</t>
        </is>
      </c>
      <c r="B990" t="inlineStr">
        <is>
          <t>御品寬頻(112/12)網路服務租賃 總計$9,450元</t>
        </is>
      </c>
      <c r="C990" t="n">
        <v>9450</v>
      </c>
      <c r="D990" t="inlineStr">
        <is>
          <t>機電/消防/弱電/AED</t>
        </is>
      </c>
      <c r="E990" t="inlineStr">
        <is>
          <t>固定</t>
        </is>
      </c>
    </row>
    <row r="991" ht="16.5" customHeight="1" s="84">
      <c r="A991" t="inlineStr">
        <is>
          <t>2023-12</t>
        </is>
      </c>
      <c r="B991" t="inlineStr">
        <is>
          <t>新鑫堯(112/12) 廢棄物清除$32,500元 清潔費$3,500元 總計$36,000元</t>
        </is>
      </c>
      <c r="C991" t="n">
        <v>36000</v>
      </c>
      <c r="D991" t="inlineStr">
        <is>
          <t>垃圾廢棄物/園藝</t>
        </is>
      </c>
      <c r="E991" t="inlineStr">
        <is>
          <t>固定</t>
        </is>
      </c>
    </row>
    <row r="992" ht="16.5" customHeight="1" s="84">
      <c r="A992" t="inlineStr">
        <is>
          <t>2023-12</t>
        </is>
      </c>
      <c r="B992" t="inlineStr">
        <is>
          <t>太古意門禁維護檢點費(112/12) 總計$10,000元</t>
        </is>
      </c>
      <c r="C992" t="n">
        <v>10000</v>
      </c>
      <c r="D992" t="inlineStr">
        <is>
          <t>機電/消防/弱電/AED</t>
        </is>
      </c>
      <c r="E992" t="inlineStr">
        <is>
          <t>固定</t>
        </is>
      </c>
    </row>
    <row r="993" ht="16.5" customHeight="1" s="84">
      <c r="A993" t="inlineStr">
        <is>
          <t>2023-12</t>
        </is>
      </c>
      <c r="B993" t="inlineStr">
        <is>
          <t>鑫禾機電保養費(112/12) 總計$28,000元</t>
        </is>
      </c>
      <c r="C993" t="n">
        <v>28000</v>
      </c>
      <c r="D993" t="inlineStr">
        <is>
          <t>機電/消防/弱電/AED</t>
        </is>
      </c>
      <c r="E993" t="inlineStr">
        <is>
          <t>固定</t>
        </is>
      </c>
    </row>
    <row r="994" ht="16.5" customHeight="1" s="84">
      <c r="A994" t="inlineStr">
        <is>
          <t>2023-12</t>
        </is>
      </c>
      <c r="B994" t="inlineStr">
        <is>
          <t>富賀村-園藝定期保養(112/12) 總計$33,000元</t>
        </is>
      </c>
      <c r="C994" t="n">
        <v>33000</v>
      </c>
      <c r="D994" t="inlineStr">
        <is>
          <t>垃圾廢棄物/園藝</t>
        </is>
      </c>
      <c r="E994" t="inlineStr">
        <is>
          <t>固定</t>
        </is>
      </c>
    </row>
    <row r="995" ht="16.5" customHeight="1" s="84">
      <c r="A995" t="inlineStr">
        <is>
          <t>2023-12</t>
        </is>
      </c>
      <c r="B995" t="inlineStr">
        <is>
          <t>宜力亞 12月泳池保養費$4,000元 總計$4,000元</t>
        </is>
      </c>
      <c r="C995" t="n">
        <v>4000</v>
      </c>
      <c r="D995" t="inlineStr">
        <is>
          <t>其他支出</t>
        </is>
      </c>
      <c r="E995" t="inlineStr">
        <is>
          <t>固定</t>
        </is>
      </c>
      <c r="F995" t="inlineStr">
        <is>
          <t>游泳池</t>
        </is>
      </c>
    </row>
    <row r="996" ht="16.5" customHeight="1" s="84">
      <c r="A996" t="inlineStr">
        <is>
          <t>2023-12</t>
        </is>
      </c>
      <c r="B996" t="inlineStr">
        <is>
          <t>鑫禾設備修繕 1.LED杯燈$350*17=$4,550元 2.電燈感應器$650*7=$4,550元 3.LED層板燈$$300*22=$6,600元 4.配管$800元 5.漏水修繕$300元 6.放流B逆止閥故障更換$10,500元 7.漏電斷路器$1,000元 8.水池燈11顆$36,000元 9.汙水專用滾珠浮球$2,000元 10.自然排煙窗修繕甲16F$5,000元 總計$71,300元</t>
        </is>
      </c>
      <c r="C996" t="n">
        <v>71300</v>
      </c>
      <c r="D996" t="inlineStr">
        <is>
          <t>工程維修/購置</t>
        </is>
      </c>
      <c r="E996" t="inlineStr">
        <is>
          <t>非固定</t>
        </is>
      </c>
    </row>
    <row r="997" ht="16.5" customHeight="1" s="84">
      <c r="A997" t="inlineStr">
        <is>
          <t>2023-12</t>
        </is>
      </c>
      <c r="B997" t="inlineStr">
        <is>
          <t>新鑫堯垃圾增桶 11月增桶$600*6=$3,600元 總計$3,600元</t>
        </is>
      </c>
      <c r="C997" t="n">
        <v>3600</v>
      </c>
      <c r="D997" t="inlineStr">
        <is>
          <t>垃圾廢棄物/園藝</t>
        </is>
      </c>
      <c r="E997" t="inlineStr">
        <is>
          <t>非固定</t>
        </is>
      </c>
    </row>
    <row r="998" ht="16.5" customHeight="1" s="84">
      <c r="A998" t="inlineStr">
        <is>
          <t>2023-12</t>
        </is>
      </c>
      <c r="B998" t="inlineStr">
        <is>
          <t>崇友電梯設備維修 丁棟#8 制動器減震膠墊(KDS)$3,000元</t>
        </is>
      </c>
      <c r="C998" t="n">
        <v>3000</v>
      </c>
      <c r="D998" t="inlineStr">
        <is>
          <t>電梯保養與修繕</t>
        </is>
      </c>
      <c r="E998" t="inlineStr">
        <is>
          <t>非固定</t>
        </is>
      </c>
      <c r="F998" t="inlineStr">
        <is>
          <t>電梯</t>
        </is>
      </c>
    </row>
    <row r="999" ht="16.5" customHeight="1" s="84">
      <c r="A999" t="inlineStr">
        <is>
          <t>2023-12</t>
        </is>
      </c>
      <c r="B999" t="inlineStr">
        <is>
          <t>崇友電梯設備維修 戊棟#9 HCD顯示器$3,200元</t>
        </is>
      </c>
      <c r="C999" t="n">
        <v>3200</v>
      </c>
      <c r="D999" t="inlineStr">
        <is>
          <t>電梯保養與修繕</t>
        </is>
      </c>
      <c r="E999" t="inlineStr">
        <is>
          <t>非固定</t>
        </is>
      </c>
      <c r="F999" t="inlineStr">
        <is>
          <t>電梯</t>
        </is>
      </c>
    </row>
    <row r="1000" ht="16.5" customHeight="1" s="84">
      <c r="A1000" t="inlineStr">
        <is>
          <t>2023-12</t>
        </is>
      </c>
      <c r="B1000" t="inlineStr">
        <is>
          <t>崇友電梯設備維修 丁棟#8 HCD顯示器$3,200元</t>
        </is>
      </c>
      <c r="C1000" t="n">
        <v>3200</v>
      </c>
      <c r="D1000" t="inlineStr">
        <is>
          <t>電梯保養與修繕</t>
        </is>
      </c>
      <c r="E1000" t="inlineStr">
        <is>
          <t>非固定</t>
        </is>
      </c>
      <c r="F1000" t="inlineStr">
        <is>
          <t>電梯</t>
        </is>
      </c>
    </row>
    <row r="1001" ht="16.5" customHeight="1" s="84">
      <c r="A1001" t="inlineStr">
        <is>
          <t>2023-12</t>
        </is>
      </c>
      <c r="B1001" t="inlineStr">
        <is>
          <t>崇友電梯設備維修 丁棟#8 聯動輪D=90mm$1,200元</t>
        </is>
      </c>
      <c r="C1001" t="n">
        <v>1200</v>
      </c>
      <c r="D1001" t="inlineStr">
        <is>
          <t>電梯保養與修繕</t>
        </is>
      </c>
      <c r="E1001" t="inlineStr">
        <is>
          <t>非固定</t>
        </is>
      </c>
      <c r="F1001" t="inlineStr">
        <is>
          <t>電梯</t>
        </is>
      </c>
    </row>
    <row r="1002" ht="15" customHeight="1" s="84">
      <c r="A1002" t="inlineStr">
        <is>
          <t>2023-12</t>
        </is>
      </c>
      <c r="B1002" t="inlineStr">
        <is>
          <t>崇友電梯設備維修 乙棟#4 旋轉式譯碼器(HTR-HB) 光電式著床開關(九大)綠 光電式著床開關(九大)紅 光電式著床開關(九大)黃 總計$14,000元</t>
        </is>
      </c>
      <c r="C1002" t="n">
        <v>14000</v>
      </c>
      <c r="D1002" t="inlineStr">
        <is>
          <t>電梯保養與修繕</t>
        </is>
      </c>
      <c r="E1002" t="inlineStr">
        <is>
          <t>非固定</t>
        </is>
      </c>
      <c r="F1002" t="inlineStr">
        <is>
          <t>電梯</t>
        </is>
      </c>
    </row>
    <row r="1003" ht="16.5" customHeight="1" s="84">
      <c r="A1003" t="inlineStr">
        <is>
          <t>2023-12</t>
        </is>
      </c>
      <c r="B1003" t="inlineStr">
        <is>
          <t>一九衛生工程行 抽水肥$1,500*40.59噸=$60,885元 總計$60,885元</t>
        </is>
      </c>
      <c r="C1003" t="n">
        <v>60885</v>
      </c>
      <c r="D1003" t="inlineStr">
        <is>
          <t>垃圾廢棄物/園藝</t>
        </is>
      </c>
      <c r="E1003" t="inlineStr">
        <is>
          <t>非固定</t>
        </is>
      </c>
    </row>
    <row r="1004" ht="16.5" customHeight="1" s="84">
      <c r="A1004" t="inlineStr">
        <is>
          <t>2023-12</t>
        </is>
      </c>
      <c r="B1004" t="inlineStr">
        <is>
          <t>10P乾粉滅火器性能檢查，數量334個 $150*334=$50,100元</t>
        </is>
      </c>
      <c r="C1004" t="n">
        <v>50100</v>
      </c>
      <c r="D1004" t="inlineStr">
        <is>
          <t>其他支出</t>
        </is>
      </c>
      <c r="E1004" t="inlineStr">
        <is>
          <t>非固定</t>
        </is>
      </c>
    </row>
    <row r="1005" ht="16.5" customHeight="1" s="84">
      <c r="A1005" t="inlineStr">
        <is>
          <t>2023-12</t>
        </is>
      </c>
      <c r="B1005" t="inlineStr">
        <is>
          <t>浩源-地下室34支汙廢水管清洗 總計$66,800元</t>
        </is>
      </c>
      <c r="C1005" t="n">
        <v>66800</v>
      </c>
      <c r="D1005" t="inlineStr">
        <is>
          <t>工程維修/購置</t>
        </is>
      </c>
      <c r="E1005" t="inlineStr">
        <is>
          <t>非固定</t>
        </is>
      </c>
    </row>
    <row r="1006" ht="15" customHeight="1" s="84">
      <c r="A1006" t="inlineStr">
        <is>
          <t>2023-12</t>
        </is>
      </c>
      <c r="B1006" t="inlineStr">
        <is>
          <t>浩源-一樓挑高23支汙廢水管清洗 甲棟CD戶4支、乙棟EF戶4支、乙棟GH戶4支、丙棟IJ戶4支、丙棟KL戶4支、丁棟跟戊棟3支計$92,000元、高空作業車一天$6,000元 總計$98,000元</t>
        </is>
      </c>
      <c r="C1006" t="n">
        <v>98000</v>
      </c>
      <c r="D1006" t="inlineStr">
        <is>
          <t>工程維修/購置</t>
        </is>
      </c>
      <c r="E1006" t="inlineStr">
        <is>
          <t>非固定</t>
        </is>
      </c>
    </row>
    <row r="1007" ht="15" customHeight="1" s="84">
      <c r="A1007" t="inlineStr">
        <is>
          <t>2023-12</t>
        </is>
      </c>
      <c r="B1007" t="inlineStr">
        <is>
          <t>E3疏通管路工程 總計$3,000元</t>
        </is>
      </c>
      <c r="C1007" t="n">
        <v>3000</v>
      </c>
      <c r="D1007" t="inlineStr">
        <is>
          <t>工程維修/購置</t>
        </is>
      </c>
      <c r="E1007" t="inlineStr">
        <is>
          <t>非固定</t>
        </is>
      </c>
    </row>
    <row r="1008" ht="16.5" customHeight="1" s="84">
      <c r="A1008" t="inlineStr">
        <is>
          <t>2023-12</t>
        </is>
      </c>
      <c r="B1008" t="inlineStr">
        <is>
          <t>聖誕節活動餐卷(預領) 住戶418戶、保全日夜共4位、經理、秘書、清潔人員共6位，總計430個，每個200元餐卷 $200*430=$86,000元 總計$86,000元</t>
        </is>
      </c>
      <c r="C1008" t="n">
        <v>86000</v>
      </c>
      <c r="D1008" t="inlineStr">
        <is>
          <t>內部轉帳</t>
        </is>
      </c>
      <c r="E1008" t="inlineStr">
        <is>
          <t>非固定</t>
        </is>
      </c>
    </row>
    <row r="1009" ht="16.5" customHeight="1" s="84">
      <c r="A1009" t="inlineStr">
        <is>
          <t>2023-12</t>
        </is>
      </c>
      <c r="B1009" t="inlineStr">
        <is>
          <t>以下空白</t>
        </is>
      </c>
      <c r="C1009" t="n">
        <v>0</v>
      </c>
      <c r="D1009" t="inlineStr">
        <is>
          <t>其他支出</t>
        </is>
      </c>
      <c r="E1009" t="inlineStr">
        <is>
          <t>非固定</t>
        </is>
      </c>
    </row>
    <row r="1010" ht="16.5" customHeight="1" s="84">
      <c r="A1010" t="inlineStr">
        <is>
          <t>2023-12</t>
        </is>
      </c>
      <c r="B1010" t="inlineStr">
        <is>
          <t>社區電話費(5630533)</t>
        </is>
      </c>
      <c r="C1010" t="n">
        <v>676</v>
      </c>
      <c r="D1010" t="inlineStr">
        <is>
          <t>電話/網路費</t>
        </is>
      </c>
      <c r="E1010" t="inlineStr">
        <is>
          <t>非固定</t>
        </is>
      </c>
    </row>
    <row r="1011" ht="16.5" customHeight="1" s="84">
      <c r="A1011" t="inlineStr">
        <is>
          <t>2023-12</t>
        </is>
      </c>
      <c r="B1011" t="inlineStr">
        <is>
          <t>社區網路費(Y123617)</t>
        </is>
      </c>
      <c r="C1011" t="n">
        <v>1899</v>
      </c>
      <c r="D1011" t="inlineStr">
        <is>
          <t>電話/網路費</t>
        </is>
      </c>
      <c r="E1011" t="inlineStr">
        <is>
          <t>非固定</t>
        </is>
      </c>
    </row>
    <row r="1012" ht="16.5" customHeight="1" s="84">
      <c r="A1012" t="inlineStr">
        <is>
          <t>2023-12</t>
        </is>
      </c>
      <c r="B1012" t="inlineStr">
        <is>
          <t>社區網路費(Y174790)</t>
        </is>
      </c>
      <c r="C1012" t="n">
        <v>1899</v>
      </c>
      <c r="D1012" t="inlineStr">
        <is>
          <t>電話/網路費</t>
        </is>
      </c>
      <c r="E1012" t="inlineStr">
        <is>
          <t>非固定</t>
        </is>
      </c>
    </row>
    <row r="1013" ht="16.5" customHeight="1" s="84">
      <c r="A1013" t="inlineStr">
        <is>
          <t>2023-12</t>
        </is>
      </c>
      <c r="B1013" t="inlineStr">
        <is>
          <t>公共電費</t>
        </is>
      </c>
      <c r="C1013" t="n">
        <v>87207</v>
      </c>
      <c r="D1013" t="inlineStr">
        <is>
          <t>公共水電瓦斯</t>
        </is>
      </c>
      <c r="E1013" t="inlineStr">
        <is>
          <t>非固定</t>
        </is>
      </c>
    </row>
    <row r="1014" ht="16.5" customHeight="1" s="84">
      <c r="A1014" t="inlineStr">
        <is>
          <t>2023-12</t>
        </is>
      </c>
      <c r="B1014" t="inlineStr">
        <is>
          <t>自來水費</t>
        </is>
      </c>
      <c r="C1014" t="n">
        <v>5247</v>
      </c>
      <c r="D1014" t="inlineStr">
        <is>
          <t>公共水電瓦斯</t>
        </is>
      </c>
      <c r="E1014" t="inlineStr">
        <is>
          <t>非固定</t>
        </is>
      </c>
    </row>
    <row r="1015" ht="16.5" customHeight="1" s="84">
      <c r="A1015" t="inlineStr">
        <is>
          <t>2024-01</t>
        </is>
      </c>
      <c r="B1015" t="inlineStr">
        <is>
          <t>零用金撥補(113/01) 總計$11,974元</t>
        </is>
      </c>
      <c r="C1015" t="n">
        <v>11974</v>
      </c>
      <c r="D1015" t="inlineStr">
        <is>
          <t>內部轉帳</t>
        </is>
      </c>
      <c r="E1015" t="inlineStr">
        <is>
          <t>非固定</t>
        </is>
      </c>
    </row>
    <row r="1016" ht="16.5" customHeight="1" s="84">
      <c r="A1016" t="inlineStr">
        <is>
          <t>2024-01</t>
        </is>
      </c>
      <c r="B1016" t="inlineStr">
        <is>
          <t>管委會出席費用(預領) 總計$8,000元</t>
        </is>
      </c>
      <c r="C1016" t="n">
        <v>8000</v>
      </c>
      <c r="D1016" t="inlineStr">
        <is>
          <t>內部轉帳</t>
        </is>
      </c>
      <c r="E1016" t="inlineStr">
        <is>
          <t>非固定</t>
        </is>
      </c>
    </row>
    <row r="1017" ht="16.5" customHeight="1" s="84">
      <c r="A1017" t="inlineStr">
        <is>
          <t>2024-01</t>
        </is>
      </c>
      <c r="B1017" t="inlineStr">
        <is>
          <t>電梯專用款撥補(113/01) 總計$50,000元</t>
        </is>
      </c>
      <c r="C1017" t="n">
        <v>50000</v>
      </c>
      <c r="D1017" t="inlineStr">
        <is>
          <t>內部轉帳</t>
        </is>
      </c>
      <c r="E1017" t="inlineStr">
        <is>
          <t>非固定</t>
        </is>
      </c>
    </row>
    <row r="1018" ht="16.5" customHeight="1" s="84">
      <c r="A1018" t="inlineStr">
        <is>
          <t>2024-01</t>
        </is>
      </c>
      <c r="B1018" t="inlineStr">
        <is>
          <t>德懋物業公司(113/01)管理服務費：社區經理乙員，社區秘書乙員，警衛服務人員兩哨。 總計$389,550元</t>
        </is>
      </c>
      <c r="C1018" t="n">
        <v>389550</v>
      </c>
      <c r="D1018" t="inlineStr">
        <is>
          <t>其他支出</t>
        </is>
      </c>
      <c r="E1018" t="inlineStr">
        <is>
          <t>固定</t>
        </is>
      </c>
    </row>
    <row r="1019" ht="16.5" customHeight="1" s="84">
      <c r="A1019" t="inlineStr">
        <is>
          <t>2024-01</t>
        </is>
      </c>
      <c r="B1019" t="inlineStr">
        <is>
          <t>順達清潔服務費(113/01) 總計$114,000元</t>
        </is>
      </c>
      <c r="C1019" t="n">
        <v>114000</v>
      </c>
      <c r="D1019" t="inlineStr">
        <is>
          <t>清潔服務費</t>
        </is>
      </c>
      <c r="E1019" t="inlineStr">
        <is>
          <t>固定</t>
        </is>
      </c>
    </row>
    <row r="1020" ht="16.5" customHeight="1" s="84">
      <c r="A1020" t="inlineStr">
        <is>
          <t>2024-01</t>
        </is>
      </c>
      <c r="B1020" t="inlineStr">
        <is>
          <t>義明清潔服務費(113/01) 總計$114,000元</t>
        </is>
      </c>
      <c r="C1020" t="n">
        <v>114000</v>
      </c>
      <c r="D1020" t="inlineStr">
        <is>
          <t>清潔服務費</t>
        </is>
      </c>
      <c r="E1020" t="inlineStr">
        <is>
          <t>固定</t>
        </is>
      </c>
    </row>
    <row r="1021" ht="16.5" customHeight="1" s="84">
      <c r="A1021" t="inlineStr">
        <is>
          <t>2024-01</t>
        </is>
      </c>
      <c r="B1021" t="inlineStr">
        <is>
          <t>崇友電梯(113/01)電梯保養 總計$100,000元</t>
        </is>
      </c>
      <c r="C1021" t="n">
        <v>100000</v>
      </c>
      <c r="D1021" t="inlineStr">
        <is>
          <t>電梯保養與修繕</t>
        </is>
      </c>
      <c r="E1021" t="inlineStr">
        <is>
          <t>固定</t>
        </is>
      </c>
    </row>
    <row r="1022" ht="16.5" customHeight="1" s="84">
      <c r="A1022" t="inlineStr">
        <is>
          <t>2024-01</t>
        </is>
      </c>
      <c r="B1022" t="inlineStr">
        <is>
          <t>AED(113/02)租賃費 總計$1,500元</t>
        </is>
      </c>
      <c r="C1022" t="n">
        <v>1500</v>
      </c>
      <c r="D1022" t="inlineStr">
        <is>
          <t>機電/消防/弱電/AED</t>
        </is>
      </c>
      <c r="E1022" t="inlineStr">
        <is>
          <t>固定</t>
        </is>
      </c>
    </row>
    <row r="1023" ht="16.5" customHeight="1" s="84">
      <c r="A1023" t="inlineStr">
        <is>
          <t>2024-01</t>
        </is>
      </c>
      <c r="B1023" t="inlineStr">
        <is>
          <t>御品寬頻(113/01)網路服務租賃 總計$9,450元</t>
        </is>
      </c>
      <c r="C1023" t="n">
        <v>9450</v>
      </c>
      <c r="D1023" t="inlineStr">
        <is>
          <t>機電/消防/弱電/AED</t>
        </is>
      </c>
      <c r="E1023" t="inlineStr">
        <is>
          <t>固定</t>
        </is>
      </c>
    </row>
    <row r="1024" ht="16.5" customHeight="1" s="84">
      <c r="A1024" t="inlineStr">
        <is>
          <t>2024-01</t>
        </is>
      </c>
      <c r="B1024" t="inlineStr">
        <is>
          <t>新鑫堯(113/01) 廢棄物清除$32,500元 清潔費$3,500元 總計$36,000元</t>
        </is>
      </c>
      <c r="C1024" t="n">
        <v>36000</v>
      </c>
      <c r="D1024" t="inlineStr">
        <is>
          <t>垃圾廢棄物/園藝</t>
        </is>
      </c>
      <c r="E1024" t="inlineStr">
        <is>
          <t>固定</t>
        </is>
      </c>
    </row>
    <row r="1025" ht="16.5" customHeight="1" s="84">
      <c r="A1025" t="inlineStr">
        <is>
          <t>2024-01</t>
        </is>
      </c>
      <c r="B1025" t="inlineStr">
        <is>
          <t>太古意門禁維護檢點費(113/01) 總計$10,000元</t>
        </is>
      </c>
      <c r="C1025" t="n">
        <v>10000</v>
      </c>
      <c r="D1025" t="inlineStr">
        <is>
          <t>機電/消防/弱電/AED</t>
        </is>
      </c>
      <c r="E1025" t="inlineStr">
        <is>
          <t>固定</t>
        </is>
      </c>
    </row>
    <row r="1026" ht="16.5" customHeight="1" s="84">
      <c r="A1026" t="inlineStr">
        <is>
          <t>2024-01</t>
        </is>
      </c>
      <c r="B1026" t="inlineStr">
        <is>
          <t>鑫禾機電保養費(113/01) 總計$28,000元</t>
        </is>
      </c>
      <c r="C1026" t="n">
        <v>28000</v>
      </c>
      <c r="D1026" t="inlineStr">
        <is>
          <t>機電/消防/弱電/AED</t>
        </is>
      </c>
      <c r="E1026" t="inlineStr">
        <is>
          <t>固定</t>
        </is>
      </c>
    </row>
    <row r="1027" ht="16.5" customHeight="1" s="84">
      <c r="A1027" t="inlineStr">
        <is>
          <t>2024-01</t>
        </is>
      </c>
      <c r="B1027" t="inlineStr">
        <is>
          <t>富賀村-園藝定期保養(113/01) 總計$0元(雙月保養)</t>
        </is>
      </c>
      <c r="C1027" t="n">
        <v>0</v>
      </c>
      <c r="D1027" t="inlineStr">
        <is>
          <t>垃圾廢棄物/園藝</t>
        </is>
      </c>
      <c r="E1027" t="inlineStr">
        <is>
          <t>固定</t>
        </is>
      </c>
    </row>
    <row r="1028" ht="16.5" customHeight="1" s="84">
      <c r="A1028" t="inlineStr">
        <is>
          <t>2024-01</t>
        </is>
      </c>
      <c r="B1028" t="inlineStr">
        <is>
          <t>宜力亞(113/01) 01月泳池保養費$4,000元 總計$4,000元</t>
        </is>
      </c>
      <c r="C1028" t="n">
        <v>4000</v>
      </c>
      <c r="D1028" t="inlineStr">
        <is>
          <t>其他支出</t>
        </is>
      </c>
      <c r="E1028" t="inlineStr">
        <is>
          <t>固定</t>
        </is>
      </c>
      <c r="F1028" t="inlineStr">
        <is>
          <t>游泳池</t>
        </is>
      </c>
    </row>
    <row r="1029" ht="16.5" customHeight="1" s="84">
      <c r="A1029" t="inlineStr">
        <is>
          <t>2024-01</t>
        </is>
      </c>
      <c r="B1029" t="inlineStr">
        <is>
          <t>鑫禾設備修繕 1.乙棟下水塔進水浮球更換$3,000元 2.排煙窗機板及變壓器更換(甲19F)$5,000元 3.LED杯燈$$350*16=$5,600元 4.LED層板燈$300*7=$2,100元 5.揚水馬達(甲棟A機)$52,000元 6.電燈感應器$650*8=$5,200元 7.噴灌配管(丁棟外)$600元 總計$73,500元</t>
        </is>
      </c>
      <c r="C1029" t="n">
        <v>73500</v>
      </c>
      <c r="D1029" t="inlineStr">
        <is>
          <t>工程維修/購置</t>
        </is>
      </c>
      <c r="E1029" t="inlineStr">
        <is>
          <t>非固定</t>
        </is>
      </c>
    </row>
    <row r="1030" ht="16.5" customHeight="1" s="84">
      <c r="A1030" t="inlineStr">
        <is>
          <t>2024-01</t>
        </is>
      </c>
      <c r="B1030" t="inlineStr">
        <is>
          <t>新鑫堯垃圾增桶 12月增桶$600*5=$3,000元 總計$3,000元</t>
        </is>
      </c>
      <c r="C1030" t="n">
        <v>3000</v>
      </c>
      <c r="D1030" t="inlineStr">
        <is>
          <t>垃圾廢棄物/園藝</t>
        </is>
      </c>
      <c r="E1030" t="inlineStr">
        <is>
          <t>非固定</t>
        </is>
      </c>
    </row>
    <row r="1031" ht="16.5" customHeight="1" s="84">
      <c r="A1031" t="inlineStr">
        <is>
          <t>2024-01</t>
        </is>
      </c>
      <c r="B1031" t="inlineStr">
        <is>
          <t>崇友電梯設備維修 丁棟#7 14微壓按鈕$500元</t>
        </is>
      </c>
      <c r="C1031" t="n">
        <v>500</v>
      </c>
      <c r="D1031" t="inlineStr">
        <is>
          <t>電梯保養與修繕</t>
        </is>
      </c>
      <c r="E1031" t="inlineStr">
        <is>
          <t>非固定</t>
        </is>
      </c>
      <c r="F1031" t="inlineStr">
        <is>
          <t>電梯</t>
        </is>
      </c>
    </row>
    <row r="1032" ht="16.5" customHeight="1" s="84">
      <c r="A1032" t="inlineStr">
        <is>
          <t>2024-01</t>
        </is>
      </c>
      <c r="B1032" t="inlineStr">
        <is>
          <t>崇友電梯設備維修 甲棟#1 21微壓按鈕橙光$500元</t>
        </is>
      </c>
      <c r="C1032" t="n">
        <v>500</v>
      </c>
      <c r="D1032" t="inlineStr">
        <is>
          <t>電梯保養與修繕</t>
        </is>
      </c>
      <c r="E1032" t="inlineStr">
        <is>
          <t>非固定</t>
        </is>
      </c>
      <c r="F1032" t="inlineStr">
        <is>
          <t>電梯</t>
        </is>
      </c>
    </row>
    <row r="1033" ht="16.5" customHeight="1" s="84">
      <c r="A1033" t="inlineStr">
        <is>
          <t>2024-01</t>
        </is>
      </c>
      <c r="B1033" t="inlineStr">
        <is>
          <t>崇友電梯設備維修 甲棟#1 HCD顯示器$3,200元</t>
        </is>
      </c>
      <c r="C1033" t="n">
        <v>3200</v>
      </c>
      <c r="D1033" t="inlineStr">
        <is>
          <t>電梯保養與修繕</t>
        </is>
      </c>
      <c r="E1033" t="inlineStr">
        <is>
          <t>非固定</t>
        </is>
      </c>
      <c r="F1033" t="inlineStr">
        <is>
          <t>電梯</t>
        </is>
      </c>
    </row>
    <row r="1034" ht="16.5" customHeight="1" s="84">
      <c r="A1034" t="inlineStr">
        <is>
          <t>2024-01</t>
        </is>
      </c>
      <c r="B1034" t="inlineStr">
        <is>
          <t>太古意設備修繕 門禁ETAG電腦損壞更新 1.中央處理器$2,400元 2.主機板MSI G610M-E$2,700元 3.記憶體金士頓DDR4 2666 8GB$1,000元 4.SSD創見 225S 500GB$1,800元 5.機殼家威科技 ML1$1,500元 6.POWER家威科技 主力400W$1,500元 7.光碟機LITE-ON 24X$600元 8.硬碟救援$36,000元 9.TW-9900門禁軟體$12,000元 10.安裝移置測試工資$9,000元 11.備用1TB硬碟$2,300元 12.5%稅金$3,540元 總計$74,340元議價$73,500元</t>
        </is>
      </c>
      <c r="C1034" t="n">
        <v>73500</v>
      </c>
      <c r="D1034" t="inlineStr">
        <is>
          <t>機電/消防/弱電/AED</t>
        </is>
      </c>
      <c r="E1034" t="inlineStr">
        <is>
          <t>非固定</t>
        </is>
      </c>
    </row>
    <row r="1035" ht="16.5" customHeight="1" s="84">
      <c r="A1035" t="inlineStr">
        <is>
          <t>2024-01</t>
        </is>
      </c>
      <c r="B1035" t="inlineStr">
        <is>
          <t>鋐隆清潔用品 113.01.05 1.小捲衛生紙$480*2=$960元 2.抽取式衛生紙$630元 3.芳柔環保擦手紙$480元 4.5%稅金$104元 總計$2,174元</t>
        </is>
      </c>
      <c r="C1035" t="n">
        <v>2174</v>
      </c>
      <c r="D1035" t="inlineStr">
        <is>
          <t>清潔服務費</t>
        </is>
      </c>
      <c r="E1035" t="inlineStr">
        <is>
          <t>非固定</t>
        </is>
      </c>
    </row>
    <row r="1036" ht="15" customHeight="1" s="84">
      <c r="A1036" t="inlineStr">
        <is>
          <t>2024-01</t>
        </is>
      </c>
      <c r="B1036" t="inlineStr">
        <is>
          <t>HOMEBOX-馬桶 電光簡約馬桶(白)30公分$5,300*2=$10,600元 總計$10,600元</t>
        </is>
      </c>
      <c r="C1036" t="n">
        <v>10600</v>
      </c>
      <c r="D1036" t="inlineStr">
        <is>
          <t>其他支出</t>
        </is>
      </c>
      <c r="E1036" t="inlineStr">
        <is>
          <t>非固定</t>
        </is>
      </c>
    </row>
    <row r="1037" ht="15" customHeight="1" s="84">
      <c r="A1037" t="inlineStr">
        <is>
          <t>2024-01</t>
        </is>
      </c>
      <c r="B1037" t="inlineStr">
        <is>
          <t>服務人員春節獎金 1.社區經理$6,600元 2.社區秘書$3,600元 3.日夜保全每班2員，每員$500元(除夕-初三)共計8班，計$8,000元 4.清潔人員$600*6位共$3,600元 5.新鑫堯環保加收人員紅包$200*4位共$800元 6.初二、初四清潔人員加班紅包$200*4=$800元 總計$23,400元</t>
        </is>
      </c>
      <c r="C1037" t="n">
        <v>23400</v>
      </c>
      <c r="D1037" t="inlineStr">
        <is>
          <t>垃圾廢棄物/園藝</t>
        </is>
      </c>
      <c r="E1037" t="inlineStr">
        <is>
          <t>非固定</t>
        </is>
      </c>
    </row>
    <row r="1038" ht="16.5" customHeight="1" s="84">
      <c r="A1038" t="inlineStr">
        <is>
          <t>2024-01</t>
        </is>
      </c>
      <c r="B1038" t="inlineStr">
        <is>
          <t>興邦行水電 B1女公廁馬桶安裝$2,500*2=$5,000元 總計$5,000元</t>
        </is>
      </c>
      <c r="C1038" t="n">
        <v>5000</v>
      </c>
      <c r="D1038" t="inlineStr">
        <is>
          <t>其他支出</t>
        </is>
      </c>
      <c r="E1038" t="inlineStr">
        <is>
          <t>非固定</t>
        </is>
      </c>
    </row>
    <row r="1039" ht="16.5" customHeight="1" s="84">
      <c r="A1039" t="inlineStr">
        <is>
          <t>2024-01</t>
        </is>
      </c>
      <c r="B1039" t="inlineStr">
        <is>
          <t>興邦行水電 B1公廁門板鉸鍊更換$600*5=$3,000元 泳池男更衣室鉸鍊更換$600*2=$1,200元總計$4,200元</t>
        </is>
      </c>
      <c r="C1039" t="n">
        <v>4200</v>
      </c>
      <c r="D1039" t="inlineStr">
        <is>
          <t>其他支出</t>
        </is>
      </c>
      <c r="E1039" t="inlineStr">
        <is>
          <t>非固定</t>
        </is>
      </c>
      <c r="F1039" t="inlineStr">
        <is>
          <t>游泳池</t>
        </is>
      </c>
    </row>
    <row r="1040" ht="16.5" customHeight="1" s="84">
      <c r="A1040" t="inlineStr">
        <is>
          <t>2024-01</t>
        </is>
      </c>
      <c r="B1040" t="inlineStr">
        <is>
          <t>社區電話費(5630533)</t>
        </is>
      </c>
      <c r="C1040" t="n">
        <v>806</v>
      </c>
      <c r="D1040" t="inlineStr">
        <is>
          <t>電話/網路費</t>
        </is>
      </c>
      <c r="E1040" t="inlineStr">
        <is>
          <t>非固定</t>
        </is>
      </c>
    </row>
    <row r="1041" ht="16.5" customHeight="1" s="84">
      <c r="A1041" t="inlineStr">
        <is>
          <t>2024-01</t>
        </is>
      </c>
      <c r="B1041" t="inlineStr">
        <is>
          <t>社區網路費(Y123617)</t>
        </is>
      </c>
      <c r="C1041" t="n">
        <v>1899</v>
      </c>
      <c r="D1041" t="inlineStr">
        <is>
          <t>電話/網路費</t>
        </is>
      </c>
      <c r="E1041" t="inlineStr">
        <is>
          <t>非固定</t>
        </is>
      </c>
    </row>
    <row r="1042" ht="16.5" customHeight="1" s="84">
      <c r="A1042" t="inlineStr">
        <is>
          <t>2024-01</t>
        </is>
      </c>
      <c r="B1042" t="inlineStr">
        <is>
          <t>社區網路費(Y174790)</t>
        </is>
      </c>
      <c r="C1042" t="n">
        <v>1899</v>
      </c>
      <c r="D1042" t="inlineStr">
        <is>
          <t>電話/網路費</t>
        </is>
      </c>
      <c r="E1042" t="inlineStr">
        <is>
          <t>非固定</t>
        </is>
      </c>
    </row>
    <row r="1043" ht="16.5" customHeight="1" s="84">
      <c r="A1043" t="inlineStr">
        <is>
          <t>2024-01</t>
        </is>
      </c>
      <c r="B1043" t="inlineStr">
        <is>
          <t>公共電費</t>
        </is>
      </c>
      <c r="C1043" t="n">
        <v>100087</v>
      </c>
      <c r="D1043" t="inlineStr">
        <is>
          <t>公共水電瓦斯</t>
        </is>
      </c>
      <c r="E1043" t="inlineStr">
        <is>
          <t>非固定</t>
        </is>
      </c>
    </row>
    <row r="1044" ht="16.5" customHeight="1" s="84">
      <c r="A1044" t="inlineStr">
        <is>
          <t>2024-01</t>
        </is>
      </c>
      <c r="B1044" t="inlineStr">
        <is>
          <t>自來水費</t>
        </is>
      </c>
      <c r="C1044" t="n">
        <v>0</v>
      </c>
      <c r="D1044" t="inlineStr">
        <is>
          <t>公共水電瓦斯</t>
        </is>
      </c>
      <c r="E1044" t="inlineStr">
        <is>
          <t>非固定</t>
        </is>
      </c>
    </row>
    <row r="1045" ht="16.5" customHeight="1" s="84">
      <c r="A1045" t="inlineStr">
        <is>
          <t>2024-02</t>
        </is>
      </c>
      <c r="B1045" t="inlineStr">
        <is>
          <t>零用金撥補(113/02) 總計$4,623元</t>
        </is>
      </c>
      <c r="C1045" t="n">
        <v>4623</v>
      </c>
      <c r="D1045" t="inlineStr">
        <is>
          <t>內部轉帳</t>
        </is>
      </c>
      <c r="E1045" t="inlineStr">
        <is>
          <t>非固定</t>
        </is>
      </c>
    </row>
    <row r="1046" ht="16.5" customHeight="1" s="84">
      <c r="A1046" t="inlineStr">
        <is>
          <t>2024-02</t>
        </is>
      </c>
      <c r="B1046" t="inlineStr">
        <is>
          <t>管委會出席費用(預領) 總計$8,000元</t>
        </is>
      </c>
      <c r="C1046" t="n">
        <v>8000</v>
      </c>
      <c r="D1046" t="inlineStr">
        <is>
          <t>內部轉帳</t>
        </is>
      </c>
      <c r="E1046" t="inlineStr">
        <is>
          <t>非固定</t>
        </is>
      </c>
    </row>
    <row r="1047" ht="16.5" customHeight="1" s="84">
      <c r="A1047" t="inlineStr">
        <is>
          <t>2024-02</t>
        </is>
      </c>
      <c r="B1047" t="inlineStr">
        <is>
          <t>電梯專用款撥補(113/02) 總計$50,000元</t>
        </is>
      </c>
      <c r="C1047" t="n">
        <v>50000</v>
      </c>
      <c r="D1047" t="inlineStr">
        <is>
          <t>內部轉帳</t>
        </is>
      </c>
      <c r="E1047" t="inlineStr">
        <is>
          <t>非固定</t>
        </is>
      </c>
    </row>
    <row r="1048" ht="16.5" customHeight="1" s="84">
      <c r="A1048" t="inlineStr">
        <is>
          <t>2024-02</t>
        </is>
      </c>
      <c r="B1048" t="inlineStr">
        <is>
          <t>德懋物業公司(113/02)管理服務費：社區經理乙員，社區秘書乙員，警衛服務人員兩哨。 總計$389,550元</t>
        </is>
      </c>
      <c r="C1048" t="n">
        <v>389550</v>
      </c>
      <c r="D1048" t="inlineStr">
        <is>
          <t>其他支出</t>
        </is>
      </c>
      <c r="E1048" t="inlineStr">
        <is>
          <t>固定</t>
        </is>
      </c>
    </row>
    <row r="1049" ht="16.5" customHeight="1" s="84">
      <c r="A1049" t="inlineStr">
        <is>
          <t>2024-02</t>
        </is>
      </c>
      <c r="B1049" t="inlineStr">
        <is>
          <t>順達清潔服務費(113/02) 總計$114,000元</t>
        </is>
      </c>
      <c r="C1049" t="n">
        <v>114000</v>
      </c>
      <c r="D1049" t="inlineStr">
        <is>
          <t>清潔服務費</t>
        </is>
      </c>
      <c r="E1049" t="inlineStr">
        <is>
          <t>固定</t>
        </is>
      </c>
    </row>
    <row r="1050" ht="16.5" customHeight="1" s="84">
      <c r="A1050" t="inlineStr">
        <is>
          <t>2024-02</t>
        </is>
      </c>
      <c r="B1050" t="inlineStr">
        <is>
          <t>義明清潔服務費(113/02) 總計$114,000元</t>
        </is>
      </c>
      <c r="C1050" t="n">
        <v>114000</v>
      </c>
      <c r="D1050" t="inlineStr">
        <is>
          <t>清潔服務費</t>
        </is>
      </c>
      <c r="E1050" t="inlineStr">
        <is>
          <t>固定</t>
        </is>
      </c>
    </row>
    <row r="1051" ht="16.5" customHeight="1" s="84">
      <c r="A1051" t="inlineStr">
        <is>
          <t>2024-02</t>
        </is>
      </c>
      <c r="B1051" t="inlineStr">
        <is>
          <t>崇友電梯(113/02)電梯保養 總計$100,000元</t>
        </is>
      </c>
      <c r="C1051" t="n">
        <v>100000</v>
      </c>
      <c r="D1051" t="inlineStr">
        <is>
          <t>電梯保養與修繕</t>
        </is>
      </c>
      <c r="E1051" t="inlineStr">
        <is>
          <t>固定</t>
        </is>
      </c>
    </row>
    <row r="1052" ht="16.5" customHeight="1" s="84">
      <c r="A1052" t="inlineStr">
        <is>
          <t>2024-02</t>
        </is>
      </c>
      <c r="B1052" t="inlineStr">
        <is>
          <t>AED(113/03)租賃費 總計$1,500元</t>
        </is>
      </c>
      <c r="C1052" t="n">
        <v>1500</v>
      </c>
      <c r="D1052" t="inlineStr">
        <is>
          <t>機電/消防/弱電/AED</t>
        </is>
      </c>
      <c r="E1052" t="inlineStr">
        <is>
          <t>固定</t>
        </is>
      </c>
    </row>
    <row r="1053" ht="16.5" customHeight="1" s="84">
      <c r="A1053" t="inlineStr">
        <is>
          <t>2024-02</t>
        </is>
      </c>
      <c r="B1053" t="inlineStr">
        <is>
          <t>御品寬頻(113/02)網路服務租賃 總計$9,450元</t>
        </is>
      </c>
      <c r="C1053" t="n">
        <v>9450</v>
      </c>
      <c r="D1053" t="inlineStr">
        <is>
          <t>機電/消防/弱電/AED</t>
        </is>
      </c>
      <c r="E1053" t="inlineStr">
        <is>
          <t>固定</t>
        </is>
      </c>
    </row>
    <row r="1054" ht="16.5" customHeight="1" s="84">
      <c r="A1054" t="inlineStr">
        <is>
          <t>2024-02</t>
        </is>
      </c>
      <c r="B1054" t="inlineStr">
        <is>
          <t>新鑫堯(113/02) 廢棄物清除$32,500元 清潔費$3,500元 總計$36,000元</t>
        </is>
      </c>
      <c r="C1054" t="n">
        <v>36000</v>
      </c>
      <c r="D1054" t="inlineStr">
        <is>
          <t>垃圾廢棄物/園藝</t>
        </is>
      </c>
      <c r="E1054" t="inlineStr">
        <is>
          <t>固定</t>
        </is>
      </c>
    </row>
    <row r="1055" ht="16.5" customHeight="1" s="84">
      <c r="A1055" t="inlineStr">
        <is>
          <t>2024-02</t>
        </is>
      </c>
      <c r="B1055" t="inlineStr">
        <is>
          <t>太古意門禁維護檢點費(113/02) 總計$10,000元</t>
        </is>
      </c>
      <c r="C1055" t="n">
        <v>10000</v>
      </c>
      <c r="D1055" t="inlineStr">
        <is>
          <t>機電/消防/弱電/AED</t>
        </is>
      </c>
      <c r="E1055" t="inlineStr">
        <is>
          <t>固定</t>
        </is>
      </c>
    </row>
    <row r="1056" ht="16.5" customHeight="1" s="84">
      <c r="A1056" t="inlineStr">
        <is>
          <t>2024-02</t>
        </is>
      </c>
      <c r="B1056" t="inlineStr">
        <is>
          <t>鑫禾機電保養費(113/02) 總計$28,000元</t>
        </is>
      </c>
      <c r="C1056" t="n">
        <v>28000</v>
      </c>
      <c r="D1056" t="inlineStr">
        <is>
          <t>機電/消防/弱電/AED</t>
        </is>
      </c>
      <c r="E1056" t="inlineStr">
        <is>
          <t>固定</t>
        </is>
      </c>
    </row>
    <row r="1057" ht="16.5" customHeight="1" s="84">
      <c r="A1057" t="inlineStr">
        <is>
          <t>2024-02</t>
        </is>
      </c>
      <c r="B1057" t="inlineStr">
        <is>
          <t>富賀村-園藝定期保養(113/02) 總計$33,000元(雙月保養)</t>
        </is>
      </c>
      <c r="C1057" t="n">
        <v>33000</v>
      </c>
      <c r="D1057" t="inlineStr">
        <is>
          <t>垃圾廢棄物/園藝</t>
        </is>
      </c>
      <c r="E1057" t="inlineStr">
        <is>
          <t>固定</t>
        </is>
      </c>
    </row>
    <row r="1058" ht="16.5" customHeight="1" s="84">
      <c r="A1058" t="inlineStr">
        <is>
          <t>2024-02</t>
        </is>
      </c>
      <c r="B1058" t="inlineStr">
        <is>
          <t>宜力亞(113/02) 01月泳池保養費$4,000元 總計$4,000元</t>
        </is>
      </c>
      <c r="C1058" t="n">
        <v>4000</v>
      </c>
      <c r="D1058" t="inlineStr">
        <is>
          <t>其他支出</t>
        </is>
      </c>
      <c r="E1058" t="inlineStr">
        <is>
          <t>固定</t>
        </is>
      </c>
      <c r="F1058" t="inlineStr">
        <is>
          <t>游泳池</t>
        </is>
      </c>
    </row>
    <row r="1059" ht="16.5" customHeight="1" s="84">
      <c r="A1059" t="inlineStr">
        <is>
          <t>2024-02</t>
        </is>
      </c>
      <c r="B1059" t="inlineStr">
        <is>
          <t>鑫禾設備修繕 1.丁棟卸貨區新增燈及開關$1,100元 2.甲乙棟上水塔球閥(2吋)$2,000元 3.LED杯燈$350*11=$3,850元 4.LED層板燈$300*3=$900元 5.景觀池流瀑馬達(2HP)$12,500元 總計$20,350元</t>
        </is>
      </c>
      <c r="C1059" t="n">
        <v>20350</v>
      </c>
      <c r="D1059" t="inlineStr">
        <is>
          <t>垃圾廢棄物/園藝</t>
        </is>
      </c>
      <c r="E1059" t="inlineStr">
        <is>
          <t>非固定</t>
        </is>
      </c>
    </row>
    <row r="1060" ht="16.5" customHeight="1" s="84">
      <c r="A1060" t="inlineStr">
        <is>
          <t>2024-02</t>
        </is>
      </c>
      <c r="B1060" t="inlineStr">
        <is>
          <t>新鑫堯垃圾增桶 1月增桶$600*3=$1,800元 總計$1,800元</t>
        </is>
      </c>
      <c r="C1060" t="n">
        <v>1800</v>
      </c>
      <c r="D1060" t="inlineStr">
        <is>
          <t>垃圾廢棄物/園藝</t>
        </is>
      </c>
      <c r="E1060" t="inlineStr">
        <is>
          <t>非固定</t>
        </is>
      </c>
    </row>
    <row r="1061" ht="16.5" customHeight="1" s="84">
      <c r="A1061" t="inlineStr">
        <is>
          <t>2024-02</t>
        </is>
      </c>
      <c r="B1061" t="inlineStr">
        <is>
          <t>崇友電梯設備維修 戊棟#9、10 制動器減震膠墊(KDS)$6,000元 總計$6,000元</t>
        </is>
      </c>
      <c r="C1061" t="n">
        <v>6000</v>
      </c>
      <c r="D1061" t="inlineStr">
        <is>
          <t>電梯保養與修繕</t>
        </is>
      </c>
      <c r="E1061" t="inlineStr">
        <is>
          <t>非固定</t>
        </is>
      </c>
      <c r="F1061" t="inlineStr">
        <is>
          <t>電梯</t>
        </is>
      </c>
    </row>
    <row r="1062" ht="16.5" customHeight="1" s="84">
      <c r="A1062" t="inlineStr">
        <is>
          <t>2024-02</t>
        </is>
      </c>
      <c r="B1062" t="inlineStr">
        <is>
          <t>崇友電梯載重測試 CT-011531-001(#1、3、5、8、10) 安檢費$1,200*5=$6,000元 載重測試費$1,500*5=$7,500元 5%稅金$675元 總計$14,175元</t>
        </is>
      </c>
      <c r="C1062" t="n">
        <v>14175</v>
      </c>
      <c r="D1062" t="inlineStr">
        <is>
          <t>電梯保養與修繕</t>
        </is>
      </c>
      <c r="E1062" t="inlineStr">
        <is>
          <t>非固定</t>
        </is>
      </c>
      <c r="F1062" t="inlineStr">
        <is>
          <t>電梯</t>
        </is>
      </c>
    </row>
    <row r="1063" ht="16.5" customHeight="1" s="84">
      <c r="A1063" t="inlineStr">
        <is>
          <t>2024-02</t>
        </is>
      </c>
      <c r="B1063" t="inlineStr">
        <is>
          <t>崇友電梯設備維修 甲棟#2 CCU基板$7,000元</t>
        </is>
      </c>
      <c r="C1063" t="n">
        <v>7000</v>
      </c>
      <c r="D1063" t="inlineStr">
        <is>
          <t>電梯保養與修繕</t>
        </is>
      </c>
      <c r="E1063" t="inlineStr">
        <is>
          <t>非固定</t>
        </is>
      </c>
      <c r="F1063" t="inlineStr">
        <is>
          <t>電梯</t>
        </is>
      </c>
    </row>
    <row r="1064" ht="16.5" customHeight="1" s="84">
      <c r="A1064" t="inlineStr">
        <is>
          <t>2024-02</t>
        </is>
      </c>
      <c r="B1064" t="inlineStr">
        <is>
          <t>崇友電梯設備維修 甲棟#1*2、#2*1 乙棟#3*3、#4*1 丙棟#5*1 丁棟#7*1、#8*5共14顆 微壓按鈕橙光$500*14=$7,000元 總計$7,000元</t>
        </is>
      </c>
      <c r="C1064" t="n">
        <v>7000</v>
      </c>
      <c r="D1064" t="inlineStr">
        <is>
          <t>電梯保養與修繕</t>
        </is>
      </c>
      <c r="E1064" t="inlineStr">
        <is>
          <t>非固定</t>
        </is>
      </c>
      <c r="F1064" t="inlineStr">
        <is>
          <t>電梯</t>
        </is>
      </c>
    </row>
    <row r="1065" ht="15" customHeight="1" s="84">
      <c r="A1065" t="inlineStr">
        <is>
          <t>2024-02</t>
        </is>
      </c>
      <c r="B1065" t="inlineStr">
        <is>
          <t>太古意設備修繕 回收室外牆上新增鏡頭 1.日夜全彩鏡頭200萬$3,500元 2.訊號傳輸線、電源線$5,000元 3.PVC管、壓條、五金料件、耗材、變壓器、防水集線盒$2,500元 4.安裝技術工資$6,000元 5.5%稅金$850元 總計$17,850元</t>
        </is>
      </c>
      <c r="C1065" t="n">
        <v>17850</v>
      </c>
      <c r="D1065" t="inlineStr">
        <is>
          <t>機電/消防/弱電/AED</t>
        </is>
      </c>
      <c r="E1065" t="inlineStr">
        <is>
          <t>非固定</t>
        </is>
      </c>
    </row>
    <row r="1066" ht="15" customHeight="1" s="84">
      <c r="A1066" t="inlineStr">
        <is>
          <t>2024-02</t>
        </is>
      </c>
      <c r="B1066" t="inlineStr">
        <is>
          <t>太古意設備修繕 出車道電源供應器更新 1.出車道用電源供應器$2,500元 2.白鐵集線盒、線材$1,500元 3.安裝修改工資$1,200元 4.5%稅金$260元 總計$5,460元</t>
        </is>
      </c>
      <c r="C1066" t="n">
        <v>5460</v>
      </c>
      <c r="D1066" t="inlineStr">
        <is>
          <t>機電/消防/弱電/AED</t>
        </is>
      </c>
      <c r="E1066" t="inlineStr">
        <is>
          <t>非固定</t>
        </is>
      </c>
    </row>
    <row r="1067" ht="16.5" customHeight="1" s="84">
      <c r="A1067" t="inlineStr">
        <is>
          <t>2024-02</t>
        </is>
      </c>
      <c r="B1067" t="inlineStr">
        <is>
          <t>鑫禾汙水申報 112年度汙水檢測申報 總計$22,000元</t>
        </is>
      </c>
      <c r="C1067" t="n">
        <v>22000</v>
      </c>
      <c r="D1067" t="inlineStr">
        <is>
          <t>工程維修/購置</t>
        </is>
      </c>
      <c r="E1067" t="inlineStr">
        <is>
          <t>非固定</t>
        </is>
      </c>
    </row>
    <row r="1068" ht="16.5" customHeight="1" s="84">
      <c r="A1068" t="inlineStr">
        <is>
          <t>2024-02</t>
        </is>
      </c>
      <c r="B1068" t="inlineStr">
        <is>
          <t>晴揚氯錠 氯錠(3吋90%20KG)$110*300KG=$33,000元</t>
        </is>
      </c>
      <c r="C1068" t="n">
        <v>33000</v>
      </c>
      <c r="D1068" t="inlineStr">
        <is>
          <t>工程維修/購置</t>
        </is>
      </c>
      <c r="E1068" t="inlineStr">
        <is>
          <t>非固定</t>
        </is>
      </c>
    </row>
    <row r="1069" ht="16.5" customHeight="1" s="84">
      <c r="A1069" t="inlineStr">
        <is>
          <t>2024-02</t>
        </is>
      </c>
      <c r="B1069" t="inlineStr">
        <is>
          <t>社區電話費(5630533)</t>
        </is>
      </c>
      <c r="C1069" t="n">
        <v>0</v>
      </c>
      <c r="D1069" t="inlineStr">
        <is>
          <t>電話/網路費</t>
        </is>
      </c>
      <c r="E1069" t="inlineStr">
        <is>
          <t>非固定</t>
        </is>
      </c>
    </row>
    <row r="1070" ht="16.5" customHeight="1" s="84">
      <c r="A1070" t="inlineStr">
        <is>
          <t>2024-02</t>
        </is>
      </c>
      <c r="B1070" t="inlineStr">
        <is>
          <t>社區網路費(Y123617)</t>
        </is>
      </c>
      <c r="C1070" t="n">
        <v>0</v>
      </c>
      <c r="D1070" t="inlineStr">
        <is>
          <t>電話/網路費</t>
        </is>
      </c>
      <c r="E1070" t="inlineStr">
        <is>
          <t>非固定</t>
        </is>
      </c>
    </row>
    <row r="1071" ht="16.5" customHeight="1" s="84">
      <c r="A1071" t="inlineStr">
        <is>
          <t>2024-02</t>
        </is>
      </c>
      <c r="B1071" t="inlineStr">
        <is>
          <t>社區網路費(Y174790)</t>
        </is>
      </c>
      <c r="C1071" t="n">
        <v>0</v>
      </c>
      <c r="D1071" t="inlineStr">
        <is>
          <t>電話/網路費</t>
        </is>
      </c>
      <c r="E1071" t="inlineStr">
        <is>
          <t>非固定</t>
        </is>
      </c>
    </row>
    <row r="1072" ht="16.5" customHeight="1" s="84">
      <c r="A1072" t="inlineStr">
        <is>
          <t>2024-02</t>
        </is>
      </c>
      <c r="B1072" t="inlineStr">
        <is>
          <t>公共電費</t>
        </is>
      </c>
      <c r="C1072" t="n">
        <v>106016</v>
      </c>
      <c r="D1072" t="inlineStr">
        <is>
          <t>公共水電瓦斯</t>
        </is>
      </c>
      <c r="E1072" t="inlineStr">
        <is>
          <t>非固定</t>
        </is>
      </c>
    </row>
    <row r="1073" ht="16.5" customHeight="1" s="84">
      <c r="A1073" t="inlineStr">
        <is>
          <t>2024-02</t>
        </is>
      </c>
      <c r="B1073" t="inlineStr">
        <is>
          <t>自來水費</t>
        </is>
      </c>
      <c r="C1073" t="n">
        <v>9548</v>
      </c>
      <c r="D1073" t="inlineStr">
        <is>
          <t>公共水電瓦斯</t>
        </is>
      </c>
      <c r="E1073" t="inlineStr">
        <is>
          <t>非固定</t>
        </is>
      </c>
    </row>
    <row r="1074" ht="16.5" customHeight="1" s="84">
      <c r="A1074" t="inlineStr">
        <is>
          <t>2024-03</t>
        </is>
      </c>
      <c r="B1074" t="inlineStr">
        <is>
          <t>零用金撥補(113/03) 總計$11,175元</t>
        </is>
      </c>
      <c r="C1074" t="n">
        <v>11175</v>
      </c>
      <c r="D1074" t="inlineStr">
        <is>
          <t>內部轉帳</t>
        </is>
      </c>
      <c r="E1074" t="inlineStr">
        <is>
          <t>非固定</t>
        </is>
      </c>
    </row>
    <row r="1075" ht="16.5" customHeight="1" s="84">
      <c r="A1075" t="inlineStr">
        <is>
          <t>2024-03</t>
        </is>
      </c>
      <c r="B1075" t="inlineStr">
        <is>
          <t>管委會出席費用(預領) 總計$8,000元</t>
        </is>
      </c>
      <c r="C1075" t="n">
        <v>8000</v>
      </c>
      <c r="D1075" t="inlineStr">
        <is>
          <t>內部轉帳</t>
        </is>
      </c>
      <c r="E1075" t="inlineStr">
        <is>
          <t>非固定</t>
        </is>
      </c>
    </row>
    <row r="1076" ht="16.5" customHeight="1" s="84">
      <c r="A1076" t="inlineStr">
        <is>
          <t>2024-03</t>
        </is>
      </c>
      <c r="B1076" t="inlineStr">
        <is>
          <t>電梯專用款撥補(113/03) 總計$50,000元</t>
        </is>
      </c>
      <c r="C1076" t="n">
        <v>50000</v>
      </c>
      <c r="D1076" t="inlineStr">
        <is>
          <t>內部轉帳</t>
        </is>
      </c>
      <c r="E1076" t="inlineStr">
        <is>
          <t>非固定</t>
        </is>
      </c>
    </row>
    <row r="1077" ht="16.5" customHeight="1" s="84">
      <c r="A1077" t="inlineStr">
        <is>
          <t>2024-03</t>
        </is>
      </c>
      <c r="B1077" t="inlineStr">
        <is>
          <t>德懋物業公司(113/03)管理服務費：社區經理乙員，社區秘書乙員，警衛服務人員兩哨。 總計$389,550元</t>
        </is>
      </c>
      <c r="C1077" t="n">
        <v>389550</v>
      </c>
      <c r="D1077" t="inlineStr">
        <is>
          <t>其他支出</t>
        </is>
      </c>
      <c r="E1077" t="inlineStr">
        <is>
          <t>固定</t>
        </is>
      </c>
    </row>
    <row r="1078" ht="16.5" customHeight="1" s="84">
      <c r="A1078" t="inlineStr">
        <is>
          <t>2024-03</t>
        </is>
      </c>
      <c r="B1078" t="inlineStr">
        <is>
          <t>順達清潔服務費(113/03) 總計$114,000元</t>
        </is>
      </c>
      <c r="C1078" t="n">
        <v>114000</v>
      </c>
      <c r="D1078" t="inlineStr">
        <is>
          <t>清潔服務費</t>
        </is>
      </c>
      <c r="E1078" t="inlineStr">
        <is>
          <t>固定</t>
        </is>
      </c>
    </row>
    <row r="1079" ht="16.5" customHeight="1" s="84">
      <c r="A1079" t="inlineStr">
        <is>
          <t>2024-03</t>
        </is>
      </c>
      <c r="B1079" t="inlineStr">
        <is>
          <t>義明清潔服務費(113/03) 總計$114,000元</t>
        </is>
      </c>
      <c r="C1079" t="n">
        <v>114000</v>
      </c>
      <c r="D1079" t="inlineStr">
        <is>
          <t>清潔服務費</t>
        </is>
      </c>
      <c r="E1079" t="inlineStr">
        <is>
          <t>固定</t>
        </is>
      </c>
    </row>
    <row r="1080" ht="16.5" customHeight="1" s="84">
      <c r="A1080" t="inlineStr">
        <is>
          <t>2024-03</t>
        </is>
      </c>
      <c r="B1080" t="inlineStr">
        <is>
          <t>崇友電梯(113/03)電梯保養 總計$100,000元</t>
        </is>
      </c>
      <c r="C1080" t="n">
        <v>100000</v>
      </c>
      <c r="D1080" t="inlineStr">
        <is>
          <t>電梯保養與修繕</t>
        </is>
      </c>
      <c r="E1080" t="inlineStr">
        <is>
          <t>固定</t>
        </is>
      </c>
    </row>
    <row r="1081" ht="16.5" customHeight="1" s="84">
      <c r="A1081" t="inlineStr">
        <is>
          <t>2024-03</t>
        </is>
      </c>
      <c r="B1081" t="inlineStr">
        <is>
          <t>AED(113/04)租賃費 總計$1,500元</t>
        </is>
      </c>
      <c r="C1081" t="n">
        <v>1500</v>
      </c>
      <c r="D1081" t="inlineStr">
        <is>
          <t>機電/消防/弱電/AED</t>
        </is>
      </c>
      <c r="E1081" t="inlineStr">
        <is>
          <t>固定</t>
        </is>
      </c>
    </row>
    <row r="1082" ht="16.5" customHeight="1" s="84">
      <c r="A1082" t="inlineStr">
        <is>
          <t>2024-03</t>
        </is>
      </c>
      <c r="B1082" t="inlineStr">
        <is>
          <t>御品寬頻(113/03)網路服務租賃 總計$9,450元</t>
        </is>
      </c>
      <c r="C1082" t="n">
        <v>9450</v>
      </c>
      <c r="D1082" t="inlineStr">
        <is>
          <t>機電/消防/弱電/AED</t>
        </is>
      </c>
      <c r="E1082" t="inlineStr">
        <is>
          <t>固定</t>
        </is>
      </c>
    </row>
    <row r="1083" ht="16.5" customHeight="1" s="84">
      <c r="A1083" t="inlineStr">
        <is>
          <t>2024-03</t>
        </is>
      </c>
      <c r="B1083" t="inlineStr">
        <is>
          <t>新鑫堯(113/03) 廢棄物清除$32,500元 清潔費$3,500元 總計$36,000元</t>
        </is>
      </c>
      <c r="C1083" t="n">
        <v>36000</v>
      </c>
      <c r="D1083" t="inlineStr">
        <is>
          <t>垃圾廢棄物/園藝</t>
        </is>
      </c>
      <c r="E1083" t="inlineStr">
        <is>
          <t>固定</t>
        </is>
      </c>
    </row>
    <row r="1084" ht="16.5" customHeight="1" s="84">
      <c r="A1084" t="inlineStr">
        <is>
          <t>2024-03</t>
        </is>
      </c>
      <c r="B1084" t="inlineStr">
        <is>
          <t>太古意門禁維護檢點費(113/03) 總計$10,000元</t>
        </is>
      </c>
      <c r="C1084" t="n">
        <v>10000</v>
      </c>
      <c r="D1084" t="inlineStr">
        <is>
          <t>機電/消防/弱電/AED</t>
        </is>
      </c>
      <c r="E1084" t="inlineStr">
        <is>
          <t>固定</t>
        </is>
      </c>
    </row>
    <row r="1085" ht="16.5" customHeight="1" s="84">
      <c r="A1085" t="inlineStr">
        <is>
          <t>2024-03</t>
        </is>
      </c>
      <c r="B1085" t="inlineStr">
        <is>
          <t>鑫禾機電保養費(113/03) 總計$28,000元</t>
        </is>
      </c>
      <c r="C1085" t="n">
        <v>28000</v>
      </c>
      <c r="D1085" t="inlineStr">
        <is>
          <t>機電/消防/弱電/AED</t>
        </is>
      </c>
      <c r="E1085" t="inlineStr">
        <is>
          <t>固定</t>
        </is>
      </c>
    </row>
    <row r="1086" ht="16.5" customHeight="1" s="84">
      <c r="A1086" t="inlineStr">
        <is>
          <t>2024-03</t>
        </is>
      </c>
      <c r="B1086" t="inlineStr">
        <is>
          <t>富賀村-園藝定期保養(113/03) 總計$0元(雙月保養)</t>
        </is>
      </c>
      <c r="C1086" t="n">
        <v>0</v>
      </c>
      <c r="D1086" t="inlineStr">
        <is>
          <t>垃圾廢棄物/園藝</t>
        </is>
      </c>
      <c r="E1086" t="inlineStr">
        <is>
          <t>固定</t>
        </is>
      </c>
    </row>
    <row r="1087" ht="16.5" customHeight="1" s="84">
      <c r="A1087" t="inlineStr">
        <is>
          <t>2024-03</t>
        </is>
      </c>
      <c r="B1087" t="inlineStr">
        <is>
          <t>宜力亞(113/03) 泳池保養費$4,000元 總計$4,000元</t>
        </is>
      </c>
      <c r="C1087" t="n">
        <v>4000</v>
      </c>
      <c r="D1087" t="inlineStr">
        <is>
          <t>其他支出</t>
        </is>
      </c>
      <c r="E1087" t="inlineStr">
        <is>
          <t>固定</t>
        </is>
      </c>
      <c r="F1087" t="inlineStr">
        <is>
          <t>游泳池</t>
        </is>
      </c>
    </row>
    <row r="1088" ht="16.5" customHeight="1" s="84">
      <c r="A1088" t="inlineStr">
        <is>
          <t>2024-03</t>
        </is>
      </c>
      <c r="B1088" t="inlineStr">
        <is>
          <t>鑫禾設備修繕 1.LED杯燈$350*17=$5,950元 2.噴灌配管$600元 3.水龍頭配管$600元 4.逆止閥舌片(乙19F、丙20F、戊20F)$11,000元 5.回收室前漏水修繕$8,000元 6.LED球泡燈$110*2=$220元 7.LED層板燈$300*3=$900元 8.漏電斷路器(甲棟B1)$800元 9.地下室導流風機故障更換$60,000元 總計$88,070元</t>
        </is>
      </c>
      <c r="C1088" t="n">
        <v>88070</v>
      </c>
      <c r="D1088" t="inlineStr">
        <is>
          <t>工程維修/購置</t>
        </is>
      </c>
      <c r="E1088" t="inlineStr">
        <is>
          <t>非固定</t>
        </is>
      </c>
    </row>
    <row r="1089" ht="16.5" customHeight="1" s="84">
      <c r="A1089" t="inlineStr">
        <is>
          <t>2024-03</t>
        </is>
      </c>
      <c r="B1089" t="inlineStr">
        <is>
          <t>崇友電梯設備維修 甲棟#1 B2F更換HCD顯示器$3,200元 總計$3,200元</t>
        </is>
      </c>
      <c r="C1089" t="n">
        <v>3200</v>
      </c>
      <c r="D1089" t="inlineStr">
        <is>
          <t>電梯保養與修繕</t>
        </is>
      </c>
      <c r="E1089" t="inlineStr">
        <is>
          <t>非固定</t>
        </is>
      </c>
      <c r="F1089" t="inlineStr">
        <is>
          <t>電梯</t>
        </is>
      </c>
    </row>
    <row r="1090" ht="16.5" customHeight="1" s="84">
      <c r="A1090" t="inlineStr">
        <is>
          <t>2024-03</t>
        </is>
      </c>
      <c r="B1090" t="inlineStr">
        <is>
          <t>崇友電梯設備維修 甲棟#1 B1F、B3F更換HCD顯示器$3,200*2=$6,400元 總計$6,400元</t>
        </is>
      </c>
      <c r="C1090" t="n">
        <v>6400</v>
      </c>
      <c r="D1090" t="inlineStr">
        <is>
          <t>電梯保養與修繕</t>
        </is>
      </c>
      <c r="E1090" t="inlineStr">
        <is>
          <t>非固定</t>
        </is>
      </c>
      <c r="F1090" t="inlineStr">
        <is>
          <t>電梯</t>
        </is>
      </c>
    </row>
    <row r="1091" ht="16.5" customHeight="1" s="84">
      <c r="A1091" t="inlineStr">
        <is>
          <t>2024-03</t>
        </is>
      </c>
      <c r="B1091" t="inlineStr">
        <is>
          <t>新鑫堯 1月14日垃圾車清潔費$2,000元 總計2,000元</t>
        </is>
      </c>
      <c r="C1091" t="n">
        <v>2000</v>
      </c>
      <c r="D1091" t="inlineStr">
        <is>
          <t>垃圾廢棄物/園藝</t>
        </is>
      </c>
      <c r="E1091" t="inlineStr">
        <is>
          <t>非固定</t>
        </is>
      </c>
    </row>
    <row r="1092" ht="16.5" customHeight="1" s="84">
      <c r="A1092" t="inlineStr">
        <is>
          <t>2024-03</t>
        </is>
      </c>
      <c r="B1092" t="inlineStr">
        <is>
          <t>新鑫堯春節加收 春節加收$5,000元 總計$5,000元</t>
        </is>
      </c>
      <c r="C1092" t="n">
        <v>5000</v>
      </c>
      <c r="D1092" t="inlineStr">
        <is>
          <t>垃圾廢棄物/園藝</t>
        </is>
      </c>
      <c r="E1092" t="inlineStr">
        <is>
          <t>非固定</t>
        </is>
      </c>
    </row>
    <row r="1093" ht="16.5" customHeight="1" s="84">
      <c r="A1093" t="inlineStr">
        <is>
          <t>2024-03</t>
        </is>
      </c>
      <c r="B1093" t="inlineStr">
        <is>
          <t>鋐隆清潔用品 113.03.08 1.紅龍珍珠洗手乳$18*4=$720元 2.芳柔環保擦手紙$480元 3.5%稅金$60元 總計$1,260元</t>
        </is>
      </c>
      <c r="C1093" t="n">
        <v>1260</v>
      </c>
      <c r="D1093" t="inlineStr">
        <is>
          <t>清潔服務費</t>
        </is>
      </c>
      <c r="E1093" t="inlineStr">
        <is>
          <t>非固定</t>
        </is>
      </c>
    </row>
    <row r="1094" ht="15" customHeight="1" s="84">
      <c r="A1094" t="inlineStr">
        <is>
          <t>2024-03</t>
        </is>
      </c>
      <c r="B1094" t="inlineStr">
        <is>
          <t>好鵬興業 113.03.01 1.更換主機板(汽車道出口)$4,200元 2.軌道擋片焊接、門片復歸$3,675元 總計$7,875元</t>
        </is>
      </c>
      <c r="C1094" t="n">
        <v>7875</v>
      </c>
      <c r="D1094" t="inlineStr">
        <is>
          <t>工程維修/購置</t>
        </is>
      </c>
      <c r="E1094" t="inlineStr">
        <is>
          <t>非固定</t>
        </is>
      </c>
    </row>
    <row r="1095" ht="15" customHeight="1" s="84">
      <c r="A1095" t="inlineStr">
        <is>
          <t>2024-03</t>
        </is>
      </c>
      <c r="B1095" t="inlineStr">
        <is>
          <t>蔡甫欣律師事務所 辦理臺灣新竹地方法院向建商消防裝潢損害賠償民事訴訟第一審訴訟代理律師費 總計$70,000元</t>
        </is>
      </c>
      <c r="C1095" t="n">
        <v>70000</v>
      </c>
      <c r="D1095" t="inlineStr">
        <is>
          <t>機電/消防/弱電/AED</t>
        </is>
      </c>
      <c r="E1095" t="inlineStr">
        <is>
          <t>非固定</t>
        </is>
      </c>
    </row>
    <row r="1096" ht="16.5" customHeight="1" s="84">
      <c r="A1096" t="inlineStr">
        <is>
          <t>2024-03</t>
        </is>
      </c>
      <c r="B1096" t="inlineStr">
        <is>
          <t>113年第九屆區權會出席費發放200元 113年03月16日區權會出席會議發放200元 出席人數258人 $200*258=$51,600元</t>
        </is>
      </c>
      <c r="C1096" t="n">
        <v>51600</v>
      </c>
      <c r="D1096" t="inlineStr">
        <is>
          <t>行政/會議/律師</t>
        </is>
      </c>
      <c r="E1096" t="inlineStr">
        <is>
          <t>非固定</t>
        </is>
      </c>
    </row>
    <row r="1097" ht="16.5" customHeight="1" s="84">
      <c r="A1097" t="inlineStr">
        <is>
          <t>2024-03</t>
        </is>
      </c>
      <c r="B1097" t="inlineStr">
        <is>
          <t>新竹地方法院 辦理臺灣新竹地方法院向建商消防裝潢損害賠償民事訴訟第一審 訴訟裁判費$84,160元 匯款手續費$30元 總計$84,190元</t>
        </is>
      </c>
      <c r="C1097" t="n">
        <v>84190</v>
      </c>
      <c r="D1097" t="inlineStr">
        <is>
          <t>機電/消防/弱電/AED</t>
        </is>
      </c>
      <c r="E1097" t="inlineStr">
        <is>
          <t>非固定</t>
        </is>
      </c>
    </row>
    <row r="1098" ht="16.5" customHeight="1" s="84">
      <c r="A1098" t="inlineStr">
        <is>
          <t>2024-03</t>
        </is>
      </c>
      <c r="B1098" t="inlineStr">
        <is>
          <t>社區電話費(5630533)2月及3月</t>
        </is>
      </c>
      <c r="C1098" t="n">
        <v>1359</v>
      </c>
      <c r="D1098" t="inlineStr">
        <is>
          <t>電話/網路費</t>
        </is>
      </c>
      <c r="E1098" t="inlineStr">
        <is>
          <t>非固定</t>
        </is>
      </c>
    </row>
    <row r="1099" ht="16.5" customHeight="1" s="84">
      <c r="A1099" t="inlineStr">
        <is>
          <t>2024-03</t>
        </is>
      </c>
      <c r="B1099" t="inlineStr">
        <is>
          <t>社區網路費(Y123617)2月及3月</t>
        </is>
      </c>
      <c r="C1099" t="n">
        <v>3798</v>
      </c>
      <c r="D1099" t="inlineStr">
        <is>
          <t>電話/網路費</t>
        </is>
      </c>
      <c r="E1099" t="inlineStr">
        <is>
          <t>非固定</t>
        </is>
      </c>
    </row>
    <row r="1100" ht="16.5" customHeight="1" s="84">
      <c r="A1100" t="inlineStr">
        <is>
          <t>2024-03</t>
        </is>
      </c>
      <c r="B1100" t="inlineStr">
        <is>
          <t>社區網路費(Y174790)2月及3月</t>
        </is>
      </c>
      <c r="C1100" t="n">
        <v>3798</v>
      </c>
      <c r="D1100" t="inlineStr">
        <is>
          <t>電話/網路費</t>
        </is>
      </c>
      <c r="E1100" t="inlineStr">
        <is>
          <t>非固定</t>
        </is>
      </c>
    </row>
    <row r="1101" ht="16.5" customHeight="1" s="84">
      <c r="A1101" t="inlineStr">
        <is>
          <t>2024-03</t>
        </is>
      </c>
      <c r="B1101" t="inlineStr">
        <is>
          <t>公共電費</t>
        </is>
      </c>
      <c r="C1101" t="n">
        <v>107119</v>
      </c>
      <c r="D1101" t="inlineStr">
        <is>
          <t>公共水電瓦斯</t>
        </is>
      </c>
      <c r="E1101" t="inlineStr">
        <is>
          <t>非固定</t>
        </is>
      </c>
    </row>
    <row r="1102" ht="16.5" customHeight="1" s="84">
      <c r="A1102" t="inlineStr">
        <is>
          <t>2024-03</t>
        </is>
      </c>
      <c r="B1102" t="inlineStr">
        <is>
          <t>自來水費</t>
        </is>
      </c>
      <c r="C1102" t="n">
        <v>0</v>
      </c>
      <c r="D1102" t="inlineStr">
        <is>
          <t>公共水電瓦斯</t>
        </is>
      </c>
      <c r="E1102" t="inlineStr">
        <is>
          <t>非固定</t>
        </is>
      </c>
    </row>
    <row r="1103" ht="16.5" customHeight="1" s="84">
      <c r="A1103" t="inlineStr">
        <is>
          <t>2024-04</t>
        </is>
      </c>
      <c r="B1103" t="inlineStr">
        <is>
          <t>零用金撥補(113/04) 總計$8,503元</t>
        </is>
      </c>
      <c r="C1103" t="n">
        <v>8503</v>
      </c>
      <c r="D1103" t="inlineStr">
        <is>
          <t>內部轉帳</t>
        </is>
      </c>
      <c r="E1103" t="inlineStr">
        <is>
          <t>非固定</t>
        </is>
      </c>
    </row>
    <row r="1104" ht="16.5" customHeight="1" s="84">
      <c r="A1104" t="inlineStr">
        <is>
          <t>2024-04</t>
        </is>
      </c>
      <c r="B1104" t="inlineStr">
        <is>
          <t>管委會出席費用(預領) 總計$8,000元</t>
        </is>
      </c>
      <c r="C1104" t="n">
        <v>8000</v>
      </c>
      <c r="D1104" t="inlineStr">
        <is>
          <t>內部轉帳</t>
        </is>
      </c>
      <c r="E1104" t="inlineStr">
        <is>
          <t>非固定</t>
        </is>
      </c>
    </row>
    <row r="1105" ht="16.5" customHeight="1" s="84">
      <c r="A1105" t="inlineStr">
        <is>
          <t>2024-04</t>
        </is>
      </c>
      <c r="B1105" t="inlineStr">
        <is>
          <t>電梯專用款撥補(113/04) 總計$50,000元</t>
        </is>
      </c>
      <c r="C1105" t="n">
        <v>50000</v>
      </c>
      <c r="D1105" t="inlineStr">
        <is>
          <t>內部轉帳</t>
        </is>
      </c>
      <c r="E1105" t="inlineStr">
        <is>
          <t>非固定</t>
        </is>
      </c>
    </row>
    <row r="1106" ht="16.5" customHeight="1" s="84">
      <c r="A1106" t="inlineStr">
        <is>
          <t>2024-04</t>
        </is>
      </c>
      <c r="B1106" t="inlineStr">
        <is>
          <t>德懋物業公司(113/04)管理服務費：社區經理乙員，社區秘書乙員，警衛服務人員兩哨。 總計$389,550元</t>
        </is>
      </c>
      <c r="C1106" t="n">
        <v>389550</v>
      </c>
      <c r="D1106" t="inlineStr">
        <is>
          <t>其他支出</t>
        </is>
      </c>
      <c r="E1106" t="inlineStr">
        <is>
          <t>固定</t>
        </is>
      </c>
    </row>
    <row r="1107" ht="16.5" customHeight="1" s="84">
      <c r="A1107" t="inlineStr">
        <is>
          <t>2024-04</t>
        </is>
      </c>
      <c r="B1107" t="inlineStr">
        <is>
          <t>順達清潔服務費(113/04) 總計$114,000元</t>
        </is>
      </c>
      <c r="C1107" t="n">
        <v>114000</v>
      </c>
      <c r="D1107" t="inlineStr">
        <is>
          <t>清潔服務費</t>
        </is>
      </c>
      <c r="E1107" t="inlineStr">
        <is>
          <t>固定</t>
        </is>
      </c>
    </row>
    <row r="1108" ht="16.5" customHeight="1" s="84">
      <c r="A1108" t="inlineStr">
        <is>
          <t>2024-04</t>
        </is>
      </c>
      <c r="B1108" t="inlineStr">
        <is>
          <t>義明清潔服務費(113/04) 總計$114,000元</t>
        </is>
      </c>
      <c r="C1108" t="n">
        <v>114000</v>
      </c>
      <c r="D1108" t="inlineStr">
        <is>
          <t>清潔服務費</t>
        </is>
      </c>
      <c r="E1108" t="inlineStr">
        <is>
          <t>固定</t>
        </is>
      </c>
    </row>
    <row r="1109" ht="16.5" customHeight="1" s="84">
      <c r="A1109" t="inlineStr">
        <is>
          <t>2024-04</t>
        </is>
      </c>
      <c r="B1109" t="inlineStr">
        <is>
          <t>崇友電梯(113/04)電梯保養 總計$100,000元</t>
        </is>
      </c>
      <c r="C1109" t="n">
        <v>100000</v>
      </c>
      <c r="D1109" t="inlineStr">
        <is>
          <t>電梯保養與修繕</t>
        </is>
      </c>
      <c r="E1109" t="inlineStr">
        <is>
          <t>固定</t>
        </is>
      </c>
    </row>
    <row r="1110" ht="16.5" customHeight="1" s="84">
      <c r="A1110" t="inlineStr">
        <is>
          <t>2024-04</t>
        </is>
      </c>
      <c r="B1110" t="inlineStr">
        <is>
          <t>AED(113/05)租賃費 總計$1,500元</t>
        </is>
      </c>
      <c r="C1110" t="n">
        <v>1500</v>
      </c>
      <c r="D1110" t="inlineStr">
        <is>
          <t>機電/消防/弱電/AED</t>
        </is>
      </c>
      <c r="E1110" t="inlineStr">
        <is>
          <t>固定</t>
        </is>
      </c>
    </row>
    <row r="1111" ht="16.5" customHeight="1" s="84">
      <c r="A1111" t="inlineStr">
        <is>
          <t>2024-04</t>
        </is>
      </c>
      <c r="B1111" t="inlineStr">
        <is>
          <t>御品寬頻(113/04)網路服務租賃 總計$9,450元</t>
        </is>
      </c>
      <c r="C1111" t="n">
        <v>9450</v>
      </c>
      <c r="D1111" t="inlineStr">
        <is>
          <t>機電/消防/弱電/AED</t>
        </is>
      </c>
      <c r="E1111" t="inlineStr">
        <is>
          <t>固定</t>
        </is>
      </c>
    </row>
    <row r="1112" ht="16.5" customHeight="1" s="84">
      <c r="A1112" t="inlineStr">
        <is>
          <t>2024-04</t>
        </is>
      </c>
      <c r="B1112" t="inlineStr">
        <is>
          <t>新鑫堯(113/04) 廢棄物清除$34,000元 清潔費$3,500元 總計$37,500元</t>
        </is>
      </c>
      <c r="C1112" t="n">
        <v>37500</v>
      </c>
      <c r="D1112" t="inlineStr">
        <is>
          <t>垃圾廢棄物/園藝</t>
        </is>
      </c>
      <c r="E1112" t="inlineStr">
        <is>
          <t>固定</t>
        </is>
      </c>
    </row>
    <row r="1113" ht="16.5" customHeight="1" s="84">
      <c r="A1113" t="inlineStr">
        <is>
          <t>2024-04</t>
        </is>
      </c>
      <c r="B1113" t="inlineStr">
        <is>
          <t>太古意門禁維護檢點費(113/04) 總計$10,000元</t>
        </is>
      </c>
      <c r="C1113" t="n">
        <v>10000</v>
      </c>
      <c r="D1113" t="inlineStr">
        <is>
          <t>機電/消防/弱電/AED</t>
        </is>
      </c>
      <c r="E1113" t="inlineStr">
        <is>
          <t>固定</t>
        </is>
      </c>
    </row>
    <row r="1114" ht="16.5" customHeight="1" s="84">
      <c r="A1114" t="inlineStr">
        <is>
          <t>2024-04</t>
        </is>
      </c>
      <c r="B1114" t="inlineStr">
        <is>
          <t>鑫禾機電保養費(113/04) 總計$28,000元</t>
        </is>
      </c>
      <c r="C1114" t="n">
        <v>28000</v>
      </c>
      <c r="D1114" t="inlineStr">
        <is>
          <t>機電/消防/弱電/AED</t>
        </is>
      </c>
      <c r="E1114" t="inlineStr">
        <is>
          <t>固定</t>
        </is>
      </c>
    </row>
    <row r="1115" ht="16.5" customHeight="1" s="84">
      <c r="A1115" t="inlineStr">
        <is>
          <t>2024-04</t>
        </is>
      </c>
      <c r="B1115" t="inlineStr">
        <is>
          <t>富賀村-園藝定期保養(113/04) 總計$33,000元(雙月保養)</t>
        </is>
      </c>
      <c r="C1115" t="n">
        <v>33000</v>
      </c>
      <c r="D1115" t="inlineStr">
        <is>
          <t>垃圾廢棄物/園藝</t>
        </is>
      </c>
      <c r="E1115" t="inlineStr">
        <is>
          <t>固定</t>
        </is>
      </c>
    </row>
    <row r="1116" ht="16.5" customHeight="1" s="84">
      <c r="A1116" t="inlineStr">
        <is>
          <t>2024-04</t>
        </is>
      </c>
      <c r="B1116" t="inlineStr">
        <is>
          <t>宜力亞(113/04) 泳池保養費$4,000元 總計$4,000元</t>
        </is>
      </c>
      <c r="C1116" t="n">
        <v>4000</v>
      </c>
      <c r="D1116" t="inlineStr">
        <is>
          <t>其他支出</t>
        </is>
      </c>
      <c r="E1116" t="inlineStr">
        <is>
          <t>固定</t>
        </is>
      </c>
      <c r="F1116" t="inlineStr">
        <is>
          <t>游泳池</t>
        </is>
      </c>
    </row>
    <row r="1117" ht="16.5" customHeight="1" s="84">
      <c r="A1117" t="inlineStr">
        <is>
          <t>2024-04</t>
        </is>
      </c>
      <c r="B1117" t="inlineStr">
        <is>
          <t>鑫禾設備修繕 1.LED層板燈$300*4=$1,200元 2.汙水專用滾珠浮球$2,000元 3.漏電斷路器(B2車道燈迴路)$800元 4.電燈感應器$650*5=$3,250元 5.LED杯燈$350*12=$4,200元 6.極棒組(乙棟上水塔)$1,800元 7.偵煙感知器(丁棟16樓排煙)$500元 8.噴灌配管(中庭花園)$600元 總計$14,350元</t>
        </is>
      </c>
      <c r="C1117" t="n">
        <v>14350</v>
      </c>
      <c r="D1117" t="inlineStr">
        <is>
          <t>工程維修/購置</t>
        </is>
      </c>
      <c r="E1117" t="inlineStr">
        <is>
          <t>非固定</t>
        </is>
      </c>
    </row>
    <row r="1118" ht="16.5" customHeight="1" s="84">
      <c r="A1118" t="inlineStr">
        <is>
          <t>2024-04</t>
        </is>
      </c>
      <c r="B1118" t="inlineStr">
        <is>
          <t>崇友電梯設備維修 乙棟#3 B3F更換HCD顯示器$3,200元 總計$3,200元</t>
        </is>
      </c>
      <c r="C1118" t="n">
        <v>3200</v>
      </c>
      <c r="D1118" t="inlineStr">
        <is>
          <t>電梯保養與修繕</t>
        </is>
      </c>
      <c r="E1118" t="inlineStr">
        <is>
          <t>非固定</t>
        </is>
      </c>
      <c r="F1118" t="inlineStr">
        <is>
          <t>電梯</t>
        </is>
      </c>
    </row>
    <row r="1119" ht="16.5" customHeight="1" s="84">
      <c r="A1119" t="inlineStr">
        <is>
          <t>2024-04</t>
        </is>
      </c>
      <c r="B1119" t="inlineStr">
        <is>
          <t>崇友電梯設備維修 甲棟#1 無障礙面板更換ERIS-CID點矩陣顯示器 直式紅光$2,000元 總計$2,000元</t>
        </is>
      </c>
      <c r="C1119" t="n">
        <v>2000</v>
      </c>
      <c r="D1119" t="inlineStr">
        <is>
          <t>電梯保養與修繕</t>
        </is>
      </c>
      <c r="E1119" t="inlineStr">
        <is>
          <t>非固定</t>
        </is>
      </c>
      <c r="F1119" t="inlineStr">
        <is>
          <t>電梯</t>
        </is>
      </c>
    </row>
    <row r="1120" ht="16.5" customHeight="1" s="84">
      <c r="A1120" t="inlineStr">
        <is>
          <t>2024-04</t>
        </is>
      </c>
      <c r="B1120" t="inlineStr">
        <is>
          <t>崇友電梯設備維修 丙棟#5 13F更換HCD顯示器$3,200元 總計$3,200元</t>
        </is>
      </c>
      <c r="C1120" t="n">
        <v>3200</v>
      </c>
      <c r="D1120" t="inlineStr">
        <is>
          <t>電梯保養與修繕</t>
        </is>
      </c>
      <c r="E1120" t="inlineStr">
        <is>
          <t>非固定</t>
        </is>
      </c>
      <c r="F1120" t="inlineStr">
        <is>
          <t>電梯</t>
        </is>
      </c>
    </row>
    <row r="1121" ht="16.5" customHeight="1" s="84">
      <c r="A1121" t="inlineStr">
        <is>
          <t>2024-04</t>
        </is>
      </c>
      <c r="B1121" t="inlineStr">
        <is>
          <t>崇友電梯設備維修 丙棟#5 配重懸吊輪軸承更換$42,000元 總計$42,000元</t>
        </is>
      </c>
      <c r="C1121" t="n">
        <v>42000</v>
      </c>
      <c r="D1121" t="inlineStr">
        <is>
          <t>電梯保養與修繕</t>
        </is>
      </c>
      <c r="E1121" t="inlineStr">
        <is>
          <t>非固定</t>
        </is>
      </c>
      <c r="F1121" t="inlineStr">
        <is>
          <t>電梯</t>
        </is>
      </c>
    </row>
    <row r="1122" ht="16.5" customHeight="1" s="84">
      <c r="A1122" t="inlineStr">
        <is>
          <t>2024-04</t>
        </is>
      </c>
      <c r="B1122" t="inlineStr">
        <is>
          <t>崇友電梯設備維修 丁棟#7 微壓按鈕(7、18、21、MF)$500*4=$2,000元 總計$2,000元</t>
        </is>
      </c>
      <c r="C1122" t="n">
        <v>2000</v>
      </c>
      <c r="D1122" t="inlineStr">
        <is>
          <t>電梯保養與修繕</t>
        </is>
      </c>
      <c r="E1122" t="inlineStr">
        <is>
          <t>非固定</t>
        </is>
      </c>
      <c r="F1122" t="inlineStr">
        <is>
          <t>電梯</t>
        </is>
      </c>
    </row>
    <row r="1123" ht="16.5" customHeight="1" s="84">
      <c r="A1123" t="inlineStr">
        <is>
          <t>2024-04</t>
        </is>
      </c>
      <c r="B1123" t="inlineStr">
        <is>
          <t>崇友電梯設備維修 丁棟#8 微壓按鈕(15F)$500元 總計$500元</t>
        </is>
      </c>
      <c r="C1123" t="n">
        <v>500</v>
      </c>
      <c r="D1123" t="inlineStr">
        <is>
          <t>電梯保養與修繕</t>
        </is>
      </c>
      <c r="E1123" t="inlineStr">
        <is>
          <t>非固定</t>
        </is>
      </c>
      <c r="F1123" t="inlineStr">
        <is>
          <t>電梯</t>
        </is>
      </c>
    </row>
    <row r="1124" ht="16.5" customHeight="1" s="84">
      <c r="A1124" t="inlineStr">
        <is>
          <t>2024-04</t>
        </is>
      </c>
      <c r="B1124" t="inlineStr">
        <is>
          <t>崇友電梯設備維修 戊棟#10 11F HCD顯示器$3,200元 總計$3,200元</t>
        </is>
      </c>
      <c r="C1124" t="n">
        <v>3200</v>
      </c>
      <c r="D1124" t="inlineStr">
        <is>
          <t>電梯保養與修繕</t>
        </is>
      </c>
      <c r="E1124" t="inlineStr">
        <is>
          <t>非固定</t>
        </is>
      </c>
      <c r="F1124" t="inlineStr">
        <is>
          <t>電梯</t>
        </is>
      </c>
    </row>
    <row r="1125" ht="16.5" customHeight="1" s="84">
      <c r="A1125" t="inlineStr">
        <is>
          <t>2024-04</t>
        </is>
      </c>
      <c r="B1125" t="inlineStr">
        <is>
          <t>新鑫堯垃圾增桶 3月增桶$600*6=$3,600元 總計$3,600元</t>
        </is>
      </c>
      <c r="C1125" t="n">
        <v>3600</v>
      </c>
      <c r="D1125" t="inlineStr">
        <is>
          <t>垃圾廢棄物/園藝</t>
        </is>
      </c>
      <c r="E1125" t="inlineStr">
        <is>
          <t>非固定</t>
        </is>
      </c>
    </row>
    <row r="1126" ht="16.5" customHeight="1" s="84">
      <c r="A1126" t="inlineStr">
        <is>
          <t>2024-04</t>
        </is>
      </c>
      <c r="B1126" t="inlineStr">
        <is>
          <t>太古意設備修繕 甲棟1F梯廳卡機更換 1.TW-586-MS卡機$5,250元 2.安裝工資$800元 3.5%稅金$303元 總計$6,353元</t>
        </is>
      </c>
      <c r="C1126" t="n">
        <v>6353</v>
      </c>
      <c r="D1126" t="inlineStr">
        <is>
          <t>機電/消防/弱電/AED</t>
        </is>
      </c>
      <c r="E1126" t="inlineStr">
        <is>
          <t>非固定</t>
        </is>
      </c>
    </row>
    <row r="1127" ht="16.5" customHeight="1" s="84">
      <c r="A1127" t="inlineStr">
        <is>
          <t>2024-04</t>
        </is>
      </c>
      <c r="B1127" t="inlineStr">
        <is>
          <t>鋐隆清潔用品 113.04.08 1.小捲衛生紙百柔$400*2=$800元 2.芳柔環保擦手紙$480元 3.大白102*115 25KG$41.9*25=$1,048元 4.新料53*63(小垃圾袋)$950元 5.5%稅金$164元 總計$3,442元</t>
        </is>
      </c>
      <c r="C1127" t="n">
        <v>3442</v>
      </c>
      <c r="D1127" t="inlineStr">
        <is>
          <t>清潔服務費</t>
        </is>
      </c>
      <c r="E1127" t="inlineStr">
        <is>
          <t>非固定</t>
        </is>
      </c>
    </row>
    <row r="1128" ht="16.5" customHeight="1" s="84">
      <c r="A1128" t="inlineStr">
        <is>
          <t>2024-04</t>
        </is>
      </c>
      <c r="B1128" t="inlineStr">
        <is>
          <t>一九衛生工程行 抽水肥$1,500*25.18噸=$37,770元 總計$37,770元</t>
        </is>
      </c>
      <c r="C1128" t="n">
        <v>37770</v>
      </c>
      <c r="D1128" t="inlineStr">
        <is>
          <t>垃圾廢棄物/園藝</t>
        </is>
      </c>
      <c r="E1128" t="inlineStr">
        <is>
          <t>非固定</t>
        </is>
      </c>
    </row>
    <row r="1129" ht="15" customHeight="1" s="84">
      <c r="A1129" t="inlineStr">
        <is>
          <t>2024-04</t>
        </is>
      </c>
      <c r="B1129" t="inlineStr">
        <is>
          <t>富賀村-公共區域種植 耐陰花木共720株$56,000元 總計$56,000元</t>
        </is>
      </c>
      <c r="C1129" t="n">
        <v>56000</v>
      </c>
      <c r="D1129" t="inlineStr">
        <is>
          <t>垃圾廢棄物/園藝</t>
        </is>
      </c>
      <c r="E1129" t="inlineStr">
        <is>
          <t>非固定</t>
        </is>
      </c>
    </row>
    <row r="1130" ht="15" customHeight="1" s="84">
      <c r="A1130" t="inlineStr">
        <is>
          <t>2024-04</t>
        </is>
      </c>
      <c r="B1130" t="inlineStr">
        <is>
          <t>富賀村-公共區域假草皮鋪設 環保室前人工草皮鋪設$5,000元 總計$5,000元</t>
        </is>
      </c>
      <c r="C1130" t="n">
        <v>5000</v>
      </c>
      <c r="D1130" t="inlineStr">
        <is>
          <t>垃圾廢棄物/園藝</t>
        </is>
      </c>
      <c r="E1130" t="inlineStr">
        <is>
          <t>非固定</t>
        </is>
      </c>
    </row>
    <row r="1131" ht="16.5" customHeight="1" s="84">
      <c r="A1131" t="inlineStr">
        <is>
          <t>2024-04</t>
        </is>
      </c>
      <c r="B1131" t="inlineStr">
        <is>
          <t>浩源-汙廢水管清洗 地下室汙廢水管清洗1支 (店3-店8汙廢水管) 總計$25,000元</t>
        </is>
      </c>
      <c r="C1131" t="n">
        <v>25000</v>
      </c>
      <c r="D1131" t="inlineStr">
        <is>
          <t>工程維修/購置</t>
        </is>
      </c>
      <c r="E1131" t="inlineStr">
        <is>
          <t>非固定</t>
        </is>
      </c>
    </row>
    <row r="1132" ht="16.5" customHeight="1" s="84">
      <c r="A1132" t="inlineStr">
        <is>
          <t>2024-04</t>
        </is>
      </c>
      <c r="B1132" t="inlineStr">
        <is>
          <t>增鴻貿易-消防燈具 出口標示燈SH-123CSR-EX-L $370*80=$29,600元 避難方向指示燈SH-123CSR-L $370*11=$4,070元 緊急照明燈SH-24LE $250*169=$42,250元 崁入式緊急照明燈SH-24E-AF $310*19=$5,890元 總計$81,810元</t>
        </is>
      </c>
      <c r="C1132" t="n">
        <v>81810</v>
      </c>
      <c r="D1132" t="inlineStr">
        <is>
          <t>機電/消防/弱電/AED</t>
        </is>
      </c>
      <c r="E1132" t="inlineStr">
        <is>
          <t>非固定</t>
        </is>
      </c>
    </row>
    <row r="1133" ht="16.5" customHeight="1" s="84">
      <c r="A1133" t="inlineStr">
        <is>
          <t>2024-04</t>
        </is>
      </c>
      <c r="B1133" t="inlineStr">
        <is>
          <t>社區電話費(5630533)</t>
        </is>
      </c>
      <c r="C1133" t="n">
        <v>922</v>
      </c>
      <c r="D1133" t="inlineStr">
        <is>
          <t>電話/網路費</t>
        </is>
      </c>
      <c r="E1133" t="inlineStr">
        <is>
          <t>非固定</t>
        </is>
      </c>
    </row>
    <row r="1134" ht="16.5" customHeight="1" s="84">
      <c r="A1134" t="inlineStr">
        <is>
          <t>2024-04</t>
        </is>
      </c>
      <c r="B1134" t="inlineStr">
        <is>
          <t>社區網路費(Y123617)</t>
        </is>
      </c>
      <c r="C1134" t="n">
        <v>1899</v>
      </c>
      <c r="D1134" t="inlineStr">
        <is>
          <t>電話/網路費</t>
        </is>
      </c>
      <c r="E1134" t="inlineStr">
        <is>
          <t>非固定</t>
        </is>
      </c>
    </row>
    <row r="1135" ht="16.5" customHeight="1" s="84">
      <c r="A1135" t="inlineStr">
        <is>
          <t>2024-04</t>
        </is>
      </c>
      <c r="B1135" t="inlineStr">
        <is>
          <t>社區網路費(Y174790)</t>
        </is>
      </c>
      <c r="C1135" t="n">
        <v>1899</v>
      </c>
      <c r="D1135" t="inlineStr">
        <is>
          <t>電話/網路費</t>
        </is>
      </c>
      <c r="E1135" t="inlineStr">
        <is>
          <t>非固定</t>
        </is>
      </c>
    </row>
    <row r="1136" ht="16.5" customHeight="1" s="84">
      <c r="A1136" t="inlineStr">
        <is>
          <t>2024-04</t>
        </is>
      </c>
      <c r="B1136" t="inlineStr">
        <is>
          <t>公共電費</t>
        </is>
      </c>
      <c r="C1136" t="n">
        <v>92115</v>
      </c>
      <c r="D1136" t="inlineStr">
        <is>
          <t>公共水電瓦斯</t>
        </is>
      </c>
      <c r="E1136" t="inlineStr">
        <is>
          <t>非固定</t>
        </is>
      </c>
    </row>
    <row r="1137" ht="16.5" customHeight="1" s="84">
      <c r="A1137" t="inlineStr">
        <is>
          <t>2024-04</t>
        </is>
      </c>
      <c r="B1137" t="inlineStr">
        <is>
          <t>自來水費</t>
        </is>
      </c>
      <c r="C1137" t="n">
        <v>8853</v>
      </c>
      <c r="D1137" t="inlineStr">
        <is>
          <t>公共水電瓦斯</t>
        </is>
      </c>
      <c r="E1137" t="inlineStr">
        <is>
          <t>非固定</t>
        </is>
      </c>
    </row>
    <row r="1138" ht="16.5" customHeight="1" s="84">
      <c r="A1138" t="inlineStr">
        <is>
          <t>2024-05</t>
        </is>
      </c>
      <c r="B1138" t="inlineStr">
        <is>
          <t>零用金撥補(113/05) 總計$21,081元</t>
        </is>
      </c>
      <c r="C1138" t="n">
        <v>21081</v>
      </c>
      <c r="D1138" t="inlineStr">
        <is>
          <t>內部轉帳</t>
        </is>
      </c>
      <c r="E1138" t="inlineStr">
        <is>
          <t>非固定</t>
        </is>
      </c>
    </row>
    <row r="1139" ht="16.5" customHeight="1" s="84">
      <c r="A1139" t="inlineStr">
        <is>
          <t>2024-05</t>
        </is>
      </c>
      <c r="B1139" t="inlineStr">
        <is>
          <t>管委會出席費用(預領) 總計$8,000元</t>
        </is>
      </c>
      <c r="C1139" t="n">
        <v>8000</v>
      </c>
      <c r="D1139" t="inlineStr">
        <is>
          <t>內部轉帳</t>
        </is>
      </c>
      <c r="E1139" t="inlineStr">
        <is>
          <t>非固定</t>
        </is>
      </c>
    </row>
    <row r="1140" ht="16.5" customHeight="1" s="84">
      <c r="A1140" t="inlineStr">
        <is>
          <t>2024-05</t>
        </is>
      </c>
      <c r="B1140" t="inlineStr">
        <is>
          <t>電梯專用款撥補(113/05) 總計$50,000元</t>
        </is>
      </c>
      <c r="C1140" t="n">
        <v>50000</v>
      </c>
      <c r="D1140" t="inlineStr">
        <is>
          <t>內部轉帳</t>
        </is>
      </c>
      <c r="E1140" t="inlineStr">
        <is>
          <t>非固定</t>
        </is>
      </c>
    </row>
    <row r="1141" ht="16.5" customHeight="1" s="84">
      <c r="A1141" t="inlineStr">
        <is>
          <t>2024-05</t>
        </is>
      </c>
      <c r="B1141" t="inlineStr">
        <is>
          <t>德懋物業公司(113/05)管理服務費：社區經理乙員，社區秘書乙員，警衛服務人員兩哨。 總計$389,550元</t>
        </is>
      </c>
      <c r="C1141" t="n">
        <v>389550</v>
      </c>
      <c r="D1141" t="inlineStr">
        <is>
          <t>其他支出</t>
        </is>
      </c>
      <c r="E1141" t="inlineStr">
        <is>
          <t>固定</t>
        </is>
      </c>
    </row>
    <row r="1142" ht="16.5" customHeight="1" s="84">
      <c r="A1142" t="inlineStr">
        <is>
          <t>2024-05</t>
        </is>
      </c>
      <c r="B1142" t="inlineStr">
        <is>
          <t>順達清潔服務費(113/05) 總計$114,000元</t>
        </is>
      </c>
      <c r="C1142" t="n">
        <v>114000</v>
      </c>
      <c r="D1142" t="inlineStr">
        <is>
          <t>清潔服務費</t>
        </is>
      </c>
      <c r="E1142" t="inlineStr">
        <is>
          <t>固定</t>
        </is>
      </c>
    </row>
    <row r="1143" ht="16.5" customHeight="1" s="84">
      <c r="A1143" t="inlineStr">
        <is>
          <t>2024-05</t>
        </is>
      </c>
      <c r="B1143" t="inlineStr">
        <is>
          <t>義明清潔服務費(113/05) 總計$114,000元</t>
        </is>
      </c>
      <c r="C1143" t="n">
        <v>114000</v>
      </c>
      <c r="D1143" t="inlineStr">
        <is>
          <t>清潔服務費</t>
        </is>
      </c>
      <c r="E1143" t="inlineStr">
        <is>
          <t>固定</t>
        </is>
      </c>
    </row>
    <row r="1144" ht="16.5" customHeight="1" s="84">
      <c r="A1144" t="inlineStr">
        <is>
          <t>2024-05</t>
        </is>
      </c>
      <c r="B1144" t="inlineStr">
        <is>
          <t>崇友電梯(113/05)電梯保養 總計$100,000元</t>
        </is>
      </c>
      <c r="C1144" t="n">
        <v>100000</v>
      </c>
      <c r="D1144" t="inlineStr">
        <is>
          <t>電梯保養與修繕</t>
        </is>
      </c>
      <c r="E1144" t="inlineStr">
        <is>
          <t>固定</t>
        </is>
      </c>
    </row>
    <row r="1145" ht="16.5" customHeight="1" s="84">
      <c r="A1145" t="inlineStr">
        <is>
          <t>2024-05</t>
        </is>
      </c>
      <c r="B1145" t="inlineStr">
        <is>
          <t>AED(113/06)租賃費 總計$1,500元</t>
        </is>
      </c>
      <c r="C1145" t="n">
        <v>1500</v>
      </c>
      <c r="D1145" t="inlineStr">
        <is>
          <t>機電/消防/弱電/AED</t>
        </is>
      </c>
      <c r="E1145" t="inlineStr">
        <is>
          <t>固定</t>
        </is>
      </c>
    </row>
    <row r="1146" ht="16.5" customHeight="1" s="84">
      <c r="A1146" t="inlineStr">
        <is>
          <t>2024-05</t>
        </is>
      </c>
      <c r="B1146" t="inlineStr">
        <is>
          <t>御品寬頻(113/05)網路服務租賃 總計$9,450元</t>
        </is>
      </c>
      <c r="C1146" t="n">
        <v>9450</v>
      </c>
      <c r="D1146" t="inlineStr">
        <is>
          <t>機電/消防/弱電/AED</t>
        </is>
      </c>
      <c r="E1146" t="inlineStr">
        <is>
          <t>固定</t>
        </is>
      </c>
    </row>
    <row r="1147" ht="16.5" customHeight="1" s="84">
      <c r="A1147" t="inlineStr">
        <is>
          <t>2024-05</t>
        </is>
      </c>
      <c r="B1147" t="inlineStr">
        <is>
          <t>新鑫堯(113/05) 廢棄物清除$34,000元 清潔費$3,500元 總計$37,500元</t>
        </is>
      </c>
      <c r="C1147" t="n">
        <v>37500</v>
      </c>
      <c r="D1147" t="inlineStr">
        <is>
          <t>垃圾廢棄物/園藝</t>
        </is>
      </c>
      <c r="E1147" t="inlineStr">
        <is>
          <t>固定</t>
        </is>
      </c>
    </row>
    <row r="1148" ht="16.5" customHeight="1" s="84">
      <c r="A1148" t="inlineStr">
        <is>
          <t>2024-05</t>
        </is>
      </c>
      <c r="B1148" t="inlineStr">
        <is>
          <t>太古意門禁維護檢點費(113/05) 總計$10,000元</t>
        </is>
      </c>
      <c r="C1148" t="n">
        <v>10000</v>
      </c>
      <c r="D1148" t="inlineStr">
        <is>
          <t>機電/消防/弱電/AED</t>
        </is>
      </c>
      <c r="E1148" t="inlineStr">
        <is>
          <t>固定</t>
        </is>
      </c>
    </row>
    <row r="1149" ht="16.5" customHeight="1" s="84">
      <c r="A1149" t="inlineStr">
        <is>
          <t>2024-05</t>
        </is>
      </c>
      <c r="B1149" t="inlineStr">
        <is>
          <t>鑫禾機電保養費(113/05) 總計$28,000元</t>
        </is>
      </c>
      <c r="C1149" t="n">
        <v>28000</v>
      </c>
      <c r="D1149" t="inlineStr">
        <is>
          <t>機電/消防/弱電/AED</t>
        </is>
      </c>
      <c r="E1149" t="inlineStr">
        <is>
          <t>固定</t>
        </is>
      </c>
    </row>
    <row r="1150" ht="16.5" customHeight="1" s="84">
      <c r="A1150" t="inlineStr">
        <is>
          <t>2024-05</t>
        </is>
      </c>
      <c r="B1150" t="inlineStr">
        <is>
          <t>富賀村-園藝定期保養(113/05) 總計$0元(雙月保養)</t>
        </is>
      </c>
      <c r="C1150" t="n">
        <v>0</v>
      </c>
      <c r="D1150" t="inlineStr">
        <is>
          <t>垃圾廢棄物/園藝</t>
        </is>
      </c>
      <c r="E1150" t="inlineStr">
        <is>
          <t>固定</t>
        </is>
      </c>
    </row>
    <row r="1151" ht="16.5" customHeight="1" s="84">
      <c r="A1151" t="inlineStr">
        <is>
          <t>2024-05</t>
        </is>
      </c>
      <c r="B1151" t="inlineStr">
        <is>
          <t>宜力亞(113/05) 泳池保養費$4,000元 總計$4,000元</t>
        </is>
      </c>
      <c r="C1151" t="n">
        <v>4000</v>
      </c>
      <c r="D1151" t="inlineStr">
        <is>
          <t>其他支出</t>
        </is>
      </c>
      <c r="E1151" t="inlineStr">
        <is>
          <t>固定</t>
        </is>
      </c>
      <c r="F1151" t="inlineStr">
        <is>
          <t>游泳池</t>
        </is>
      </c>
    </row>
    <row r="1152" ht="16.5" customHeight="1" s="84">
      <c r="A1152" t="inlineStr">
        <is>
          <t>2024-05</t>
        </is>
      </c>
      <c r="B1152" t="inlineStr">
        <is>
          <t>鑫禾設備修繕 1.水池燈變壓器$2,000元 2.電燈感應器$650*3=$1,650元 3.LED層板燈$300*5=$1,500元 4.LED杯燈$350*13=$1,450元 5.12W-LED球泡燈$110*4=$440元 6.20W-LED球泡燈$160元 總計$10,600元</t>
        </is>
      </c>
      <c r="C1152" t="n">
        <v>10600</v>
      </c>
      <c r="D1152" t="inlineStr">
        <is>
          <t>工程維修/購置</t>
        </is>
      </c>
      <c r="E1152" t="inlineStr">
        <is>
          <t>非固定</t>
        </is>
      </c>
    </row>
    <row r="1153" ht="16.5" customHeight="1" s="84">
      <c r="A1153" t="inlineStr">
        <is>
          <t>2024-05</t>
        </is>
      </c>
      <c r="B1153" t="inlineStr">
        <is>
          <t>崇友電梯設備維修 甲棟#1 M層、2F更換CCU基板$7,000元 總計$7,000元</t>
        </is>
      </c>
      <c r="C1153" t="n">
        <v>7000</v>
      </c>
      <c r="D1153" t="inlineStr">
        <is>
          <t>電梯保養與修繕</t>
        </is>
      </c>
      <c r="E1153" t="inlineStr">
        <is>
          <t>非固定</t>
        </is>
      </c>
      <c r="F1153" t="inlineStr">
        <is>
          <t>電梯</t>
        </is>
      </c>
    </row>
    <row r="1154" ht="16.5" customHeight="1" s="84">
      <c r="A1154" t="inlineStr">
        <is>
          <t>2024-05</t>
        </is>
      </c>
      <c r="B1154" t="inlineStr">
        <is>
          <t>崇友電梯設備維修 丁棟#7 更換M層HCD顯示器(紅光)$3,200元 總計$3,200元</t>
        </is>
      </c>
      <c r="C1154" t="n">
        <v>3200</v>
      </c>
      <c r="D1154" t="inlineStr">
        <is>
          <t>電梯保養與修繕</t>
        </is>
      </c>
      <c r="E1154" t="inlineStr">
        <is>
          <t>非固定</t>
        </is>
      </c>
      <c r="F1154" t="inlineStr">
        <is>
          <t>電梯</t>
        </is>
      </c>
    </row>
    <row r="1155" ht="16.5" customHeight="1" s="84">
      <c r="A1155" t="inlineStr">
        <is>
          <t>2024-05</t>
        </is>
      </c>
      <c r="B1155" t="inlineStr">
        <is>
          <t>新鑫堯垃圾增桶 4月增桶$650*5=$3,250元 總計$3,250元</t>
        </is>
      </c>
      <c r="C1155" t="n">
        <v>3250</v>
      </c>
      <c r="D1155" t="inlineStr">
        <is>
          <t>垃圾廢棄物/園藝</t>
        </is>
      </c>
      <c r="E1155" t="inlineStr">
        <is>
          <t>非固定</t>
        </is>
      </c>
    </row>
    <row r="1156" ht="16.5" customHeight="1" s="84">
      <c r="A1156" t="inlineStr">
        <is>
          <t>2024-05</t>
        </is>
      </c>
      <c r="B1156" t="inlineStr">
        <is>
          <t>太古意設備修繕 DVR+電腦主機UPS修繕 1.鉛酸電池更新$850*6=5,100元 2.基板PSDR版$8,900元 3.基板PANEL版$2,500元 4.UPS專用電扇$850*2=1,700元 5.安裝耐久測試工資$1,000元 6.5%稅金$960元 總計$20,160元</t>
        </is>
      </c>
      <c r="C1156" t="n">
        <v>20160</v>
      </c>
      <c r="D1156" t="inlineStr">
        <is>
          <t>機電/消防/弱電/AED</t>
        </is>
      </c>
      <c r="E1156" t="inlineStr">
        <is>
          <t>非固定</t>
        </is>
      </c>
    </row>
    <row r="1157" ht="16.5" customHeight="1" s="84">
      <c r="A1157" t="inlineStr">
        <is>
          <t>2024-05</t>
        </is>
      </c>
      <c r="B1157" t="inlineStr">
        <is>
          <t>合億工程行 戊棟大門門軸整修 總計$11,000元</t>
        </is>
      </c>
      <c r="C1157" t="n">
        <v>11000</v>
      </c>
      <c r="D1157" t="inlineStr">
        <is>
          <t>工程維修/購置</t>
        </is>
      </c>
      <c r="E1157" t="inlineStr">
        <is>
          <t>非固定</t>
        </is>
      </c>
    </row>
    <row r="1158" ht="15" customHeight="1" s="84">
      <c r="A1158" t="inlineStr">
        <is>
          <t>2024-05</t>
        </is>
      </c>
      <c r="B1158" t="inlineStr">
        <is>
          <t>喬山健康科技 重訓機鋼索一條斷裂一條破皮更換 $1,619*2=$3,238元 5%稅金$162元 總計$3,400元</t>
        </is>
      </c>
      <c r="C1158" t="n">
        <v>3400</v>
      </c>
      <c r="D1158" t="inlineStr">
        <is>
          <t>工程維修/購置</t>
        </is>
      </c>
      <c r="E1158" t="inlineStr">
        <is>
          <t>非固定</t>
        </is>
      </c>
    </row>
    <row r="1159" ht="15" customHeight="1" s="84">
      <c r="A1159" t="inlineStr">
        <is>
          <t>2024-05</t>
        </is>
      </c>
      <c r="B1159" t="inlineStr">
        <is>
          <t>儐順噴灌 EVO TORO主機更換$19,800元</t>
        </is>
      </c>
      <c r="C1159" t="n">
        <v>19800</v>
      </c>
      <c r="D1159" t="inlineStr">
        <is>
          <t>其他支出</t>
        </is>
      </c>
      <c r="E1159" t="inlineStr">
        <is>
          <t>非固定</t>
        </is>
      </c>
    </row>
    <row r="1160" ht="16.5" customHeight="1" s="84">
      <c r="A1160" t="inlineStr">
        <is>
          <t>2024-05</t>
        </is>
      </c>
      <c r="B1160" t="inlineStr">
        <is>
          <t>嘉晟工程行-石材修繕 1.人行道磚破裂一處 2.閱覽室臺階磚一塊 3.花園邊磚五塊 4.雕塑基座兩塊 5.小廣場石磚鬆脫一處 6.泳池馬賽克一式 7.SPA持磚破裂一塊 總計$8,800元</t>
        </is>
      </c>
      <c r="C1160" t="n">
        <v>8800</v>
      </c>
      <c r="D1160" t="inlineStr">
        <is>
          <t>工程維修/購置</t>
        </is>
      </c>
      <c r="E1160" t="inlineStr">
        <is>
          <t>非固定</t>
        </is>
      </c>
    </row>
    <row r="1161" ht="16.5" customHeight="1" s="84">
      <c r="A1161" t="inlineStr">
        <is>
          <t>2024-05</t>
        </is>
      </c>
      <c r="B1161" t="inlineStr">
        <is>
          <t>浩源 Q3廚房公共排水管通管 總計$6,000元</t>
        </is>
      </c>
      <c r="C1161" t="n">
        <v>6000</v>
      </c>
      <c r="D1161" t="inlineStr">
        <is>
          <t>工程維修/購置</t>
        </is>
      </c>
      <c r="E1161" t="inlineStr">
        <is>
          <t>非固定</t>
        </is>
      </c>
    </row>
    <row r="1162" ht="16.5" customHeight="1" s="84">
      <c r="A1162" t="inlineStr">
        <is>
          <t>2024-05</t>
        </is>
      </c>
      <c r="B1162" t="inlineStr">
        <is>
          <t>社區電話費(5630533)</t>
        </is>
      </c>
      <c r="C1162" t="n">
        <v>826</v>
      </c>
      <c r="D1162" t="inlineStr">
        <is>
          <t>電話/網路費</t>
        </is>
      </c>
      <c r="E1162" t="inlineStr">
        <is>
          <t>非固定</t>
        </is>
      </c>
    </row>
    <row r="1163" ht="16.5" customHeight="1" s="84">
      <c r="A1163" t="inlineStr">
        <is>
          <t>2024-05</t>
        </is>
      </c>
      <c r="B1163" t="inlineStr">
        <is>
          <t>社區網路費(Y123617)</t>
        </is>
      </c>
      <c r="C1163" t="n">
        <v>1899</v>
      </c>
      <c r="D1163" t="inlineStr">
        <is>
          <t>電話/網路費</t>
        </is>
      </c>
      <c r="E1163" t="inlineStr">
        <is>
          <t>非固定</t>
        </is>
      </c>
    </row>
    <row r="1164" ht="16.5" customHeight="1" s="84">
      <c r="A1164" t="inlineStr">
        <is>
          <t>2024-05</t>
        </is>
      </c>
      <c r="B1164" t="inlineStr">
        <is>
          <t>社區網路費(Y174790)</t>
        </is>
      </c>
      <c r="C1164" t="n">
        <v>1899</v>
      </c>
      <c r="D1164" t="inlineStr">
        <is>
          <t>電話/網路費</t>
        </is>
      </c>
      <c r="E1164" t="inlineStr">
        <is>
          <t>非固定</t>
        </is>
      </c>
    </row>
    <row r="1165" ht="16.5" customHeight="1" s="84">
      <c r="A1165" t="inlineStr">
        <is>
          <t>2024-05</t>
        </is>
      </c>
      <c r="B1165" t="inlineStr">
        <is>
          <t>公共電費</t>
        </is>
      </c>
      <c r="C1165" t="n">
        <v>111412</v>
      </c>
      <c r="D1165" t="inlineStr">
        <is>
          <t>公共水電瓦斯</t>
        </is>
      </c>
      <c r="E1165" t="inlineStr">
        <is>
          <t>非固定</t>
        </is>
      </c>
    </row>
    <row r="1166" ht="16.5" customHeight="1" s="84">
      <c r="A1166" t="inlineStr">
        <is>
          <t>2024-05</t>
        </is>
      </c>
      <c r="B1166" t="inlineStr">
        <is>
          <t>自來水費</t>
        </is>
      </c>
      <c r="C1166" t="n">
        <v>0</v>
      </c>
      <c r="D1166" t="inlineStr">
        <is>
          <t>公共水電瓦斯</t>
        </is>
      </c>
      <c r="E1166" t="inlineStr">
        <is>
          <t>非固定</t>
        </is>
      </c>
    </row>
    <row r="1167" ht="16.5" customHeight="1" s="84">
      <c r="A1167" t="inlineStr">
        <is>
          <t>2024-06</t>
        </is>
      </c>
      <c r="B1167" t="inlineStr">
        <is>
          <t>零用金撥補(113/06) 總計$3,714元</t>
        </is>
      </c>
      <c r="C1167" t="n">
        <v>3714</v>
      </c>
      <c r="D1167" t="inlineStr">
        <is>
          <t>內部轉帳</t>
        </is>
      </c>
      <c r="E1167" t="inlineStr">
        <is>
          <t>非固定</t>
        </is>
      </c>
    </row>
    <row r="1168" ht="16.5" customHeight="1" s="84">
      <c r="A1168" t="inlineStr">
        <is>
          <t>2024-06</t>
        </is>
      </c>
      <c r="B1168" t="inlineStr">
        <is>
          <t>管委會出席費用(預領) 總計$8,000元</t>
        </is>
      </c>
      <c r="C1168" t="n">
        <v>8000</v>
      </c>
      <c r="D1168" t="inlineStr">
        <is>
          <t>內部轉帳</t>
        </is>
      </c>
      <c r="E1168" t="inlineStr">
        <is>
          <t>非固定</t>
        </is>
      </c>
    </row>
    <row r="1169" ht="16.5" customHeight="1" s="84">
      <c r="A1169" t="inlineStr">
        <is>
          <t>2024-06</t>
        </is>
      </c>
      <c r="B1169" t="inlineStr">
        <is>
          <t>電梯專用款撥補(113/06) 總計$50,000元</t>
        </is>
      </c>
      <c r="C1169" t="n">
        <v>50000</v>
      </c>
      <c r="D1169" t="inlineStr">
        <is>
          <t>內部轉帳</t>
        </is>
      </c>
      <c r="E1169" t="inlineStr">
        <is>
          <t>非固定</t>
        </is>
      </c>
    </row>
    <row r="1170" ht="16.5" customHeight="1" s="84">
      <c r="A1170" t="inlineStr">
        <is>
          <t>2024-06</t>
        </is>
      </c>
      <c r="B1170" t="inlineStr">
        <is>
          <t>德懋物業公司(113/06)管理服務費：社區經理乙員，社區秘書乙員，警衛服務人員兩哨。 總計$389,550元</t>
        </is>
      </c>
      <c r="C1170" t="n">
        <v>389550</v>
      </c>
      <c r="D1170" t="inlineStr">
        <is>
          <t>其他支出</t>
        </is>
      </c>
      <c r="E1170" t="inlineStr">
        <is>
          <t>固定</t>
        </is>
      </c>
    </row>
    <row r="1171" ht="16.5" customHeight="1" s="84">
      <c r="A1171" t="inlineStr">
        <is>
          <t>2024-06</t>
        </is>
      </c>
      <c r="B1171" t="inlineStr">
        <is>
          <t>順達清潔服務費(113/06) 總計$114,000元</t>
        </is>
      </c>
      <c r="C1171" t="n">
        <v>114000</v>
      </c>
      <c r="D1171" t="inlineStr">
        <is>
          <t>清潔服務費</t>
        </is>
      </c>
      <c r="E1171" t="inlineStr">
        <is>
          <t>固定</t>
        </is>
      </c>
    </row>
    <row r="1172" ht="16.5" customHeight="1" s="84">
      <c r="A1172" t="inlineStr">
        <is>
          <t>2024-06</t>
        </is>
      </c>
      <c r="B1172" t="inlineStr">
        <is>
          <t>義明清潔服務費(113/06) 總計$114,000元</t>
        </is>
      </c>
      <c r="C1172" t="n">
        <v>114000</v>
      </c>
      <c r="D1172" t="inlineStr">
        <is>
          <t>清潔服務費</t>
        </is>
      </c>
      <c r="E1172" t="inlineStr">
        <is>
          <t>固定</t>
        </is>
      </c>
    </row>
    <row r="1173" ht="16.5" customHeight="1" s="84">
      <c r="A1173" t="inlineStr">
        <is>
          <t>2024-06</t>
        </is>
      </c>
      <c r="B1173" t="inlineStr">
        <is>
          <t>崇友電梯(113/06)電梯保養 總計$100,000元</t>
        </is>
      </c>
      <c r="C1173" t="n">
        <v>100000</v>
      </c>
      <c r="D1173" t="inlineStr">
        <is>
          <t>電梯保養與修繕</t>
        </is>
      </c>
      <c r="E1173" t="inlineStr">
        <is>
          <t>固定</t>
        </is>
      </c>
    </row>
    <row r="1174" ht="16.5" customHeight="1" s="84">
      <c r="A1174" t="inlineStr">
        <is>
          <t>2024-06</t>
        </is>
      </c>
      <c r="B1174" t="inlineStr">
        <is>
          <t>AED(113/07)租賃費 總計$1,500元</t>
        </is>
      </c>
      <c r="C1174" t="n">
        <v>1500</v>
      </c>
      <c r="D1174" t="inlineStr">
        <is>
          <t>機電/消防/弱電/AED</t>
        </is>
      </c>
      <c r="E1174" t="inlineStr">
        <is>
          <t>固定</t>
        </is>
      </c>
    </row>
    <row r="1175" ht="16.5" customHeight="1" s="84">
      <c r="A1175" t="inlineStr">
        <is>
          <t>2024-06</t>
        </is>
      </c>
      <c r="B1175" t="inlineStr">
        <is>
          <t>御品寬頻(113/06)網路服務租賃 總計$9,450元</t>
        </is>
      </c>
      <c r="C1175" t="n">
        <v>9450</v>
      </c>
      <c r="D1175" t="inlineStr">
        <is>
          <t>機電/消防/弱電/AED</t>
        </is>
      </c>
      <c r="E1175" t="inlineStr">
        <is>
          <t>固定</t>
        </is>
      </c>
    </row>
    <row r="1176" ht="16.5" customHeight="1" s="84">
      <c r="A1176" t="inlineStr">
        <is>
          <t>2024-06</t>
        </is>
      </c>
      <c r="B1176" t="inlineStr">
        <is>
          <t>新鑫堯(113/06) 廢棄物清除$34,000元 清潔費$3,500元 總計$37,500元</t>
        </is>
      </c>
      <c r="C1176" t="n">
        <v>37500</v>
      </c>
      <c r="D1176" t="inlineStr">
        <is>
          <t>垃圾廢棄物/園藝</t>
        </is>
      </c>
      <c r="E1176" t="inlineStr">
        <is>
          <t>固定</t>
        </is>
      </c>
    </row>
    <row r="1177" ht="16.5" customHeight="1" s="84">
      <c r="A1177" t="inlineStr">
        <is>
          <t>2024-06</t>
        </is>
      </c>
      <c r="B1177" t="inlineStr">
        <is>
          <t>太古意門禁維護檢點費(113/06) 總計$10,000元</t>
        </is>
      </c>
      <c r="C1177" t="n">
        <v>10000</v>
      </c>
      <c r="D1177" t="inlineStr">
        <is>
          <t>機電/消防/弱電/AED</t>
        </is>
      </c>
      <c r="E1177" t="inlineStr">
        <is>
          <t>固定</t>
        </is>
      </c>
    </row>
    <row r="1178" ht="16.5" customHeight="1" s="84">
      <c r="A1178" t="inlineStr">
        <is>
          <t>2024-06</t>
        </is>
      </c>
      <c r="B1178" t="inlineStr">
        <is>
          <t>鑫禾機電保養費(113/06) 總計$28,000元</t>
        </is>
      </c>
      <c r="C1178" t="n">
        <v>28000</v>
      </c>
      <c r="D1178" t="inlineStr">
        <is>
          <t>機電/消防/弱電/AED</t>
        </is>
      </c>
      <c r="E1178" t="inlineStr">
        <is>
          <t>固定</t>
        </is>
      </c>
    </row>
    <row r="1179" ht="16.5" customHeight="1" s="84">
      <c r="A1179" t="inlineStr">
        <is>
          <t>2024-06</t>
        </is>
      </c>
      <c r="B1179" t="inlineStr">
        <is>
          <t>富賀村-園藝定期保養(113/06) 總計$33,000元(雙月保養)</t>
        </is>
      </c>
      <c r="C1179" t="n">
        <v>33000</v>
      </c>
      <c r="D1179" t="inlineStr">
        <is>
          <t>垃圾廢棄物/園藝</t>
        </is>
      </c>
      <c r="E1179" t="inlineStr">
        <is>
          <t>固定</t>
        </is>
      </c>
    </row>
    <row r="1180" ht="16.5" customHeight="1" s="84">
      <c r="A1180" t="inlineStr">
        <is>
          <t>2024-06</t>
        </is>
      </c>
      <c r="B1180" t="inlineStr">
        <is>
          <t>宜力亞(113/06) 泳池保養費$0元 總計$0元(尚未保養)</t>
        </is>
      </c>
      <c r="C1180" t="n">
        <v>0</v>
      </c>
      <c r="D1180" t="inlineStr">
        <is>
          <t>其他支出</t>
        </is>
      </c>
      <c r="E1180" t="inlineStr">
        <is>
          <t>固定</t>
        </is>
      </c>
    </row>
    <row r="1181" ht="16.5" customHeight="1" s="84">
      <c r="A1181" t="inlineStr">
        <is>
          <t>2024-06</t>
        </is>
      </c>
      <c r="B1181" t="inlineStr">
        <is>
          <t>鑫禾設備修繕 1.LED杯燈$350*22=$7,700元 2.6分進水浮球$850元 3.LED層板燈$300*38=$11,400元 4.LED燈管$350*5=$1,750元 5.發電機電池(N150)$24,000元 總計$45,700元</t>
        </is>
      </c>
      <c r="C1181" t="n">
        <v>45700</v>
      </c>
      <c r="D1181" t="inlineStr">
        <is>
          <t>機電/消防/弱電/AED</t>
        </is>
      </c>
      <c r="E1181" t="inlineStr">
        <is>
          <t>非固定</t>
        </is>
      </c>
    </row>
    <row r="1182" ht="16.5" customHeight="1" s="84">
      <c r="A1182" t="inlineStr">
        <is>
          <t>2024-06</t>
        </is>
      </c>
      <c r="B1182" t="inlineStr">
        <is>
          <t>崇友電梯設備維修 丙棟#5 變頻器更換$86,000元 總計$86,000元</t>
        </is>
      </c>
      <c r="C1182" t="n">
        <v>86000</v>
      </c>
      <c r="D1182" t="inlineStr">
        <is>
          <t>電梯保養與修繕</t>
        </is>
      </c>
      <c r="E1182" t="inlineStr">
        <is>
          <t>非固定</t>
        </is>
      </c>
      <c r="F1182" t="inlineStr">
        <is>
          <t>電梯</t>
        </is>
      </c>
    </row>
    <row r="1183" ht="16.5" customHeight="1" s="84">
      <c r="A1183" t="inlineStr">
        <is>
          <t>2024-06</t>
        </is>
      </c>
      <c r="B1183" t="inlineStr">
        <is>
          <t>崇友電梯設備維修 丁棟#8 更換變頻器、PG端子卡、雜訊濾波器、變頻器信號線、主接觸器(AC220V)、 EMED-D0D4A $102,500元 總計$102,500元</t>
        </is>
      </c>
      <c r="C1183" t="n">
        <v>102500</v>
      </c>
      <c r="D1183" t="inlineStr">
        <is>
          <t>電梯保養與修繕</t>
        </is>
      </c>
      <c r="E1183" t="inlineStr">
        <is>
          <t>非固定</t>
        </is>
      </c>
      <c r="F1183" t="inlineStr">
        <is>
          <t>電梯</t>
        </is>
      </c>
    </row>
    <row r="1184" ht="16.5" customHeight="1" s="84">
      <c r="A1184" t="inlineStr">
        <is>
          <t>2024-06</t>
        </is>
      </c>
      <c r="B1184" t="inlineStr">
        <is>
          <t>崇友電梯設備維修 丁棟#7 更換HCD顯示器$6,400元 總計$6,400元</t>
        </is>
      </c>
      <c r="C1184" t="n">
        <v>6400</v>
      </c>
      <c r="D1184" t="inlineStr">
        <is>
          <t>電梯保養與修繕</t>
        </is>
      </c>
      <c r="E1184" t="inlineStr">
        <is>
          <t>非固定</t>
        </is>
      </c>
      <c r="F1184" t="inlineStr">
        <is>
          <t>電梯</t>
        </is>
      </c>
    </row>
    <row r="1185" ht="16.5" customHeight="1" s="84">
      <c r="A1185" t="inlineStr">
        <is>
          <t>2024-06</t>
        </is>
      </c>
      <c r="B1185" t="inlineStr">
        <is>
          <t>崇友電梯設備維修 乙棟#3 更換光電式著床開關組力(九大) 調整板、著檢板組立$19,962元 總計$19,962元</t>
        </is>
      </c>
      <c r="C1185" t="n">
        <v>19962</v>
      </c>
      <c r="D1185" t="inlineStr">
        <is>
          <t>電梯保養與修繕</t>
        </is>
      </c>
      <c r="E1185" t="inlineStr">
        <is>
          <t>非固定</t>
        </is>
      </c>
      <c r="F1185" t="inlineStr">
        <is>
          <t>電梯</t>
        </is>
      </c>
    </row>
    <row r="1186" ht="16.5" customHeight="1" s="84">
      <c r="A1186" t="inlineStr">
        <is>
          <t>2024-06</t>
        </is>
      </c>
      <c r="B1186" t="inlineStr">
        <is>
          <t>崇友電梯設備維修 乙棟#4 更換調速機鋼索、提升拉桿組立、鋼索穩定裝置$81,160元 總計$81,160元</t>
        </is>
      </c>
      <c r="C1186" t="n">
        <v>81160</v>
      </c>
      <c r="D1186" t="inlineStr">
        <is>
          <t>電梯保養與修繕</t>
        </is>
      </c>
      <c r="E1186" t="inlineStr">
        <is>
          <t>非固定</t>
        </is>
      </c>
      <c r="F1186" t="inlineStr">
        <is>
          <t>電梯</t>
        </is>
      </c>
    </row>
    <row r="1187" ht="16.5" customHeight="1" s="84">
      <c r="A1187" t="inlineStr">
        <is>
          <t>2024-06</t>
        </is>
      </c>
      <c r="B1187" t="inlineStr">
        <is>
          <t>新鑫堯垃圾增桶 5月增桶$650*2=$1,300元 總計$1,300元</t>
        </is>
      </c>
      <c r="C1187" t="n">
        <v>1300</v>
      </c>
      <c r="D1187" t="inlineStr">
        <is>
          <t>垃圾廢棄物/園藝</t>
        </is>
      </c>
      <c r="E1187" t="inlineStr">
        <is>
          <t>非固定</t>
        </is>
      </c>
    </row>
    <row r="1188" ht="16.5" customHeight="1" s="84">
      <c r="A1188" t="inlineStr">
        <is>
          <t>2024-06</t>
        </is>
      </c>
      <c r="B1188" t="inlineStr">
        <is>
          <t>太古意設備修繕 甲棟B1梯廳卡機更新 1.TW-586-MS卡機$5,000元 2.安裝更換資料下載工資$800元 3.5%稅金$290元 總計$6,090元</t>
        </is>
      </c>
      <c r="C1188" t="n">
        <v>6090</v>
      </c>
      <c r="D1188" t="inlineStr">
        <is>
          <t>機電/消防/弱電/AED</t>
        </is>
      </c>
      <c r="E1188" t="inlineStr">
        <is>
          <t>非固定</t>
        </is>
      </c>
    </row>
    <row r="1189" ht="16.5" customHeight="1" s="84">
      <c r="A1189" t="inlineStr">
        <is>
          <t>2024-06</t>
        </is>
      </c>
      <c r="B1189" t="inlineStr">
        <is>
          <t>太古意設備修繕 戊棟10號電梯卡機專用電源供應器更新 1.戊棟10號電梯卡機專用電源供應器，連工帶料$1,500元 2.5%稅金$75元 總計$1,575元</t>
        </is>
      </c>
      <c r="C1189" t="n">
        <v>1575</v>
      </c>
      <c r="D1189" t="inlineStr">
        <is>
          <t>機電/消防/弱電/AED</t>
        </is>
      </c>
      <c r="E1189" t="inlineStr">
        <is>
          <t>非固定</t>
        </is>
      </c>
      <c r="F1189" t="inlineStr">
        <is>
          <t>電梯</t>
        </is>
      </c>
    </row>
    <row r="1190" ht="16.5" customHeight="1" s="84">
      <c r="A1190" t="inlineStr">
        <is>
          <t>2024-06</t>
        </is>
      </c>
      <c r="B1190" t="inlineStr">
        <is>
          <t>秘書電腦主機更新由網路自行購買 Office2021組 i5十核心商用電腦 (Neo50t/i5-13400/16G/256 SSD+1TB HDD/W11H) 總計$19,618元</t>
        </is>
      </c>
      <c r="C1190" t="n">
        <v>19618</v>
      </c>
      <c r="D1190" t="inlineStr">
        <is>
          <t>工程維修/購置</t>
        </is>
      </c>
      <c r="E1190" t="inlineStr">
        <is>
          <t>非固定</t>
        </is>
      </c>
    </row>
    <row r="1191" ht="16.5" customHeight="1" s="84">
      <c r="A1191" t="inlineStr">
        <is>
          <t>2024-06</t>
        </is>
      </c>
      <c r="B1191" t="inlineStr">
        <is>
          <t>好鵬興業 113.04.20 1.出口處機車道更換變壓器$3,000元 2.5%稅金$150元 總計$3,150元</t>
        </is>
      </c>
      <c r="C1191" t="n">
        <v>3150</v>
      </c>
      <c r="D1191" t="inlineStr">
        <is>
          <t>工程維修/購置</t>
        </is>
      </c>
      <c r="E1191" t="inlineStr">
        <is>
          <t>非固定</t>
        </is>
      </c>
    </row>
    <row r="1192" ht="15" customHeight="1" s="84">
      <c r="A1192" t="inlineStr">
        <is>
          <t>2024-06</t>
        </is>
      </c>
      <c r="B1192" t="inlineStr">
        <is>
          <t>好鵬興業 113.06.18 出口處機車道 1.更換馬達$13,000元 2.更換極限開關$2,000元 3.5%稅金$750元 總計$15,750元</t>
        </is>
      </c>
      <c r="C1192" t="n">
        <v>15750</v>
      </c>
      <c r="D1192" t="inlineStr">
        <is>
          <t>工程維修/購置</t>
        </is>
      </c>
      <c r="E1192" t="inlineStr">
        <is>
          <t>非固定</t>
        </is>
      </c>
    </row>
    <row r="1193" ht="15" customHeight="1" s="84">
      <c r="A1193" t="inlineStr">
        <is>
          <t>2024-06</t>
        </is>
      </c>
      <c r="B1193" t="inlineStr">
        <is>
          <t>鋐隆清潔用品 113.05.29 1.芳柔環保擦手紙$480元 2.小捲衛生紙百柔$480元 3.5%稅金$48元 計$1,008元 113.06.04 1.抽取衛生紙五月花$630元 2.5%稅金$32元 計$662元 總計$1,670元</t>
        </is>
      </c>
      <c r="C1193" t="n">
        <v>1670</v>
      </c>
      <c r="D1193" t="inlineStr">
        <is>
          <t>清潔服務費</t>
        </is>
      </c>
      <c r="E1193" t="inlineStr">
        <is>
          <t>非固定</t>
        </is>
      </c>
    </row>
    <row r="1194" ht="16.5" customHeight="1" s="84">
      <c r="A1194" t="inlineStr">
        <is>
          <t>2024-06</t>
        </is>
      </c>
      <c r="B1194" t="inlineStr">
        <is>
          <t>晴揚氯錠 113.05.29 氯錠(3吋90%20KG) $110*300KG=$33,000元 總計$33,000元</t>
        </is>
      </c>
      <c r="C1194" t="n">
        <v>33000</v>
      </c>
      <c r="D1194" t="inlineStr">
        <is>
          <t>工程維修/購置</t>
        </is>
      </c>
      <c r="E1194" t="inlineStr">
        <is>
          <t>非固定</t>
        </is>
      </c>
    </row>
    <row r="1195" ht="16.5" customHeight="1" s="84">
      <c r="A1195" t="inlineStr">
        <is>
          <t>2024-06</t>
        </is>
      </c>
      <c r="B1195" t="inlineStr">
        <is>
          <t>興邦行水電 1.環保室外排水通管$2,500元 2.環保室外水槽通管$2,500元 3.媽媽教室前排水孔通管$2,500元 總計$7,500元</t>
        </is>
      </c>
      <c r="C1195" t="n">
        <v>7500</v>
      </c>
      <c r="D1195" t="inlineStr">
        <is>
          <t>其他支出</t>
        </is>
      </c>
      <c r="E1195" t="inlineStr">
        <is>
          <t>非固定</t>
        </is>
      </c>
    </row>
    <row r="1196" ht="16.5" customHeight="1" s="84">
      <c r="A1196" t="inlineStr">
        <is>
          <t>2024-06</t>
        </is>
      </c>
      <c r="B1196" t="inlineStr">
        <is>
          <t>社區電話費(5630533)</t>
        </is>
      </c>
      <c r="C1196" t="n">
        <v>702</v>
      </c>
      <c r="D1196" t="inlineStr">
        <is>
          <t>電話/網路費</t>
        </is>
      </c>
      <c r="E1196" t="inlineStr">
        <is>
          <t>非固定</t>
        </is>
      </c>
    </row>
    <row r="1197" ht="16.5" customHeight="1" s="84">
      <c r="A1197" t="inlineStr">
        <is>
          <t>2024-06</t>
        </is>
      </c>
      <c r="B1197" t="inlineStr">
        <is>
          <t>社區網路費(Y123617)</t>
        </is>
      </c>
      <c r="C1197" t="n">
        <v>1899</v>
      </c>
      <c r="D1197" t="inlineStr">
        <is>
          <t>電話/網路費</t>
        </is>
      </c>
      <c r="E1197" t="inlineStr">
        <is>
          <t>非固定</t>
        </is>
      </c>
    </row>
    <row r="1198" ht="16.5" customHeight="1" s="84">
      <c r="A1198" t="inlineStr">
        <is>
          <t>2024-06</t>
        </is>
      </c>
      <c r="B1198" t="inlineStr">
        <is>
          <t>社區網路費(Y174790)</t>
        </is>
      </c>
      <c r="C1198" t="n">
        <v>1899</v>
      </c>
      <c r="D1198" t="inlineStr">
        <is>
          <t>電話/網路費</t>
        </is>
      </c>
      <c r="E1198" t="inlineStr">
        <is>
          <t>非固定</t>
        </is>
      </c>
    </row>
    <row r="1199" ht="16.5" customHeight="1" s="84">
      <c r="A1199" t="inlineStr">
        <is>
          <t>2024-06</t>
        </is>
      </c>
      <c r="B1199" t="inlineStr">
        <is>
          <t>公共電費</t>
        </is>
      </c>
      <c r="C1199" t="n">
        <v>117092</v>
      </c>
      <c r="D1199" t="inlineStr">
        <is>
          <t>公共水電瓦斯</t>
        </is>
      </c>
      <c r="E1199" t="inlineStr">
        <is>
          <t>非固定</t>
        </is>
      </c>
    </row>
    <row r="1200" ht="16.5" customHeight="1" s="84">
      <c r="A1200" t="inlineStr">
        <is>
          <t>2024-06</t>
        </is>
      </c>
      <c r="B1200" t="inlineStr">
        <is>
          <t>自來水費</t>
        </is>
      </c>
      <c r="C1200" t="n">
        <v>11863</v>
      </c>
      <c r="D1200" t="inlineStr">
        <is>
          <t>公共水電瓦斯</t>
        </is>
      </c>
      <c r="E1200" t="inlineStr">
        <is>
          <t>非固定</t>
        </is>
      </c>
    </row>
    <row r="1201" ht="16.5" customHeight="1" s="84">
      <c r="A1201" t="inlineStr">
        <is>
          <t>2024-07</t>
        </is>
      </c>
      <c r="B1201" t="inlineStr">
        <is>
          <t>零用金撥補(113/07) 總計$15,327元</t>
        </is>
      </c>
      <c r="C1201" t="n">
        <v>15327</v>
      </c>
      <c r="D1201" t="inlineStr">
        <is>
          <t>內部轉帳</t>
        </is>
      </c>
      <c r="E1201" t="inlineStr">
        <is>
          <t>非固定</t>
        </is>
      </c>
    </row>
    <row r="1202" ht="16.5" customHeight="1" s="84">
      <c r="A1202" t="inlineStr">
        <is>
          <t>2024-07</t>
        </is>
      </c>
      <c r="B1202" t="inlineStr">
        <is>
          <t>管委會出席費用(預領) 總計$8,000元</t>
        </is>
      </c>
      <c r="C1202" t="n">
        <v>8000</v>
      </c>
      <c r="D1202" t="inlineStr">
        <is>
          <t>內部轉帳</t>
        </is>
      </c>
      <c r="E1202" t="inlineStr">
        <is>
          <t>非固定</t>
        </is>
      </c>
    </row>
    <row r="1203" ht="16.5" customHeight="1" s="84">
      <c r="A1203" t="inlineStr">
        <is>
          <t>2024-07</t>
        </is>
      </c>
      <c r="B1203" t="inlineStr">
        <is>
          <t>電梯專用款撥補(113/07) 總計$50,000元</t>
        </is>
      </c>
      <c r="C1203" t="n">
        <v>50000</v>
      </c>
      <c r="D1203" t="inlineStr">
        <is>
          <t>內部轉帳</t>
        </is>
      </c>
      <c r="E1203" t="inlineStr">
        <is>
          <t>非固定</t>
        </is>
      </c>
    </row>
    <row r="1204" ht="16.5" customHeight="1" s="84">
      <c r="A1204" t="inlineStr">
        <is>
          <t>2024-07</t>
        </is>
      </c>
      <c r="B1204" t="inlineStr">
        <is>
          <t>德懋物業公司(113/07)管理服務費：社區經理乙員，社區秘書乙員，警衛服務人員兩哨。 總計$389,550元</t>
        </is>
      </c>
      <c r="C1204" t="n">
        <v>389550</v>
      </c>
      <c r="D1204" t="inlineStr">
        <is>
          <t>其他支出</t>
        </is>
      </c>
      <c r="E1204" t="inlineStr">
        <is>
          <t>固定</t>
        </is>
      </c>
    </row>
    <row r="1205" ht="16.5" customHeight="1" s="84">
      <c r="A1205" t="inlineStr">
        <is>
          <t>2024-07</t>
        </is>
      </c>
      <c r="B1205" t="inlineStr">
        <is>
          <t>順達清潔服務費(113/07) 總計$114,000元</t>
        </is>
      </c>
      <c r="C1205" t="n">
        <v>114000</v>
      </c>
      <c r="D1205" t="inlineStr">
        <is>
          <t>清潔服務費</t>
        </is>
      </c>
      <c r="E1205" t="inlineStr">
        <is>
          <t>固定</t>
        </is>
      </c>
    </row>
    <row r="1206" ht="16.5" customHeight="1" s="84">
      <c r="A1206" t="inlineStr">
        <is>
          <t>2024-07</t>
        </is>
      </c>
      <c r="B1206" t="inlineStr">
        <is>
          <t>義明清潔服務費(113/07) 總計$114,000元</t>
        </is>
      </c>
      <c r="C1206" t="n">
        <v>114000</v>
      </c>
      <c r="D1206" t="inlineStr">
        <is>
          <t>清潔服務費</t>
        </is>
      </c>
      <c r="E1206" t="inlineStr">
        <is>
          <t>固定</t>
        </is>
      </c>
    </row>
    <row r="1207" ht="16.5" customHeight="1" s="84">
      <c r="A1207" t="inlineStr">
        <is>
          <t>2024-07</t>
        </is>
      </c>
      <c r="B1207" t="inlineStr">
        <is>
          <t>崇友電梯(113/07)電梯保養 總計$100,000元</t>
        </is>
      </c>
      <c r="C1207" t="n">
        <v>100000</v>
      </c>
      <c r="D1207" t="inlineStr">
        <is>
          <t>電梯保養與修繕</t>
        </is>
      </c>
      <c r="E1207" t="inlineStr">
        <is>
          <t>固定</t>
        </is>
      </c>
    </row>
    <row r="1208" ht="16.5" customHeight="1" s="84">
      <c r="A1208" t="inlineStr">
        <is>
          <t>2024-07</t>
        </is>
      </c>
      <c r="B1208" t="inlineStr">
        <is>
          <t>AED(113/08)租賃費 總計$1,500元</t>
        </is>
      </c>
      <c r="C1208" t="n">
        <v>1500</v>
      </c>
      <c r="D1208" t="inlineStr">
        <is>
          <t>機電/消防/弱電/AED</t>
        </is>
      </c>
      <c r="E1208" t="inlineStr">
        <is>
          <t>固定</t>
        </is>
      </c>
    </row>
    <row r="1209" ht="16.5" customHeight="1" s="84">
      <c r="A1209" t="inlineStr">
        <is>
          <t>2024-07</t>
        </is>
      </c>
      <c r="B1209" t="inlineStr">
        <is>
          <t>御品寬頻(113/07)網路服務租賃 總計$9,450元</t>
        </is>
      </c>
      <c r="C1209" t="n">
        <v>9450</v>
      </c>
      <c r="D1209" t="inlineStr">
        <is>
          <t>機電/消防/弱電/AED</t>
        </is>
      </c>
      <c r="E1209" t="inlineStr">
        <is>
          <t>固定</t>
        </is>
      </c>
    </row>
    <row r="1210" ht="16.5" customHeight="1" s="84">
      <c r="A1210" t="inlineStr">
        <is>
          <t>2024-07</t>
        </is>
      </c>
      <c r="B1210" t="inlineStr">
        <is>
          <t>新鑫堯(113/07) 廢棄物清除$34,000元 清潔費$3,500元 總計$37,500元</t>
        </is>
      </c>
      <c r="C1210" t="n">
        <v>37500</v>
      </c>
      <c r="D1210" t="inlineStr">
        <is>
          <t>垃圾廢棄物/園藝</t>
        </is>
      </c>
      <c r="E1210" t="inlineStr">
        <is>
          <t>固定</t>
        </is>
      </c>
    </row>
    <row r="1211" ht="16.5" customHeight="1" s="84">
      <c r="A1211" t="inlineStr">
        <is>
          <t>2024-07</t>
        </is>
      </c>
      <c r="B1211" t="inlineStr">
        <is>
          <t>太古意門禁維護檢點費(113/07) 總計$10,000元</t>
        </is>
      </c>
      <c r="C1211" t="n">
        <v>10000</v>
      </c>
      <c r="D1211" t="inlineStr">
        <is>
          <t>機電/消防/弱電/AED</t>
        </is>
      </c>
      <c r="E1211" t="inlineStr">
        <is>
          <t>固定</t>
        </is>
      </c>
    </row>
    <row r="1212" ht="16.5" customHeight="1" s="84">
      <c r="A1212" t="inlineStr">
        <is>
          <t>2024-07</t>
        </is>
      </c>
      <c r="B1212" t="inlineStr">
        <is>
          <t>鑫禾機電保養費(113/07) 總計$28,000元</t>
        </is>
      </c>
      <c r="C1212" t="n">
        <v>28000</v>
      </c>
      <c r="D1212" t="inlineStr">
        <is>
          <t>機電/消防/弱電/AED</t>
        </is>
      </c>
      <c r="E1212" t="inlineStr">
        <is>
          <t>固定</t>
        </is>
      </c>
    </row>
    <row r="1213" ht="16.5" customHeight="1" s="84">
      <c r="A1213" t="inlineStr">
        <is>
          <t>2024-07</t>
        </is>
      </c>
      <c r="B1213" t="inlineStr">
        <is>
          <t>富賀村-園藝定期保養(113/07) 總計$0元(雙月保養)</t>
        </is>
      </c>
      <c r="C1213" t="n">
        <v>0</v>
      </c>
      <c r="D1213" t="inlineStr">
        <is>
          <t>垃圾廢棄物/園藝</t>
        </is>
      </c>
      <c r="E1213" t="inlineStr">
        <is>
          <t>固定</t>
        </is>
      </c>
    </row>
    <row r="1214" ht="16.5" customHeight="1" s="84">
      <c r="A1214" t="inlineStr">
        <is>
          <t>2024-07</t>
        </is>
      </c>
      <c r="B1214" t="inlineStr">
        <is>
          <t>宜力亞(113/06、07) 泳池6月保養費$4,000元 泳池7月保養費$15,000元 總計$19,000元</t>
        </is>
      </c>
      <c r="C1214" t="n">
        <v>19000</v>
      </c>
      <c r="D1214" t="inlineStr">
        <is>
          <t>其他支出</t>
        </is>
      </c>
      <c r="E1214" t="inlineStr">
        <is>
          <t>固定</t>
        </is>
      </c>
      <c r="F1214" t="inlineStr">
        <is>
          <t>游泳池</t>
        </is>
      </c>
    </row>
    <row r="1215" ht="16.5" customHeight="1" s="84">
      <c r="A1215" t="inlineStr">
        <is>
          <t>2024-07</t>
        </is>
      </c>
      <c r="B1215" t="inlineStr">
        <is>
          <t>宜力亞 6月救生員$320*20H=$6,400元 7月救生員$320*196H=$62,720元 總計$69,120元</t>
        </is>
      </c>
      <c r="C1215" t="n">
        <v>69120</v>
      </c>
      <c r="D1215" t="inlineStr">
        <is>
          <t>其他支出</t>
        </is>
      </c>
      <c r="E1215" t="inlineStr">
        <is>
          <t>非固定</t>
        </is>
      </c>
      <c r="F1215" t="inlineStr">
        <is>
          <t>游泳池</t>
        </is>
      </c>
    </row>
    <row r="1216" ht="16.5" customHeight="1" s="84">
      <c r="A1216" t="inlineStr">
        <is>
          <t>2024-07</t>
        </is>
      </c>
      <c r="B1216" t="inlineStr">
        <is>
          <t>鑫禾設備修繕 1.LED杯燈$350*33=$11,550元 2.電燈感應器$650*3=1,950元 3.LED層板燈$300元 4.丁棟19F中繼器$2,800元 5.LED球泡燈$110*20=$2,200元 總計$18,800元</t>
        </is>
      </c>
      <c r="C1216" t="n">
        <v>18800</v>
      </c>
      <c r="D1216" t="inlineStr">
        <is>
          <t>工程維修/購置</t>
        </is>
      </c>
      <c r="E1216" t="inlineStr">
        <is>
          <t>非固定</t>
        </is>
      </c>
    </row>
    <row r="1217" ht="16.5" customHeight="1" s="84">
      <c r="A1217" t="inlineStr">
        <is>
          <t>2024-07</t>
        </is>
      </c>
      <c r="B1217" t="inlineStr">
        <is>
          <t>新鑫堯垃圾增桶 6月增桶$650*4=$2,600元 總計$2,600元</t>
        </is>
      </c>
      <c r="C1217" t="n">
        <v>2600</v>
      </c>
      <c r="D1217" t="inlineStr">
        <is>
          <t>垃圾廢棄物/園藝</t>
        </is>
      </c>
      <c r="E1217" t="inlineStr">
        <is>
          <t>非固定</t>
        </is>
      </c>
    </row>
    <row r="1218" ht="16.5" customHeight="1" s="84">
      <c r="A1218" t="inlineStr">
        <is>
          <t>2024-07</t>
        </is>
      </c>
      <c r="B1218" t="inlineStr">
        <is>
          <t>太古意設備修繕 戊棟1F往丁棟1F陽極鎖改磁力鎖 1.磁力鎖500磅$3,500元 2.磁力鐵片外掛架$1,000元 3.五金另料$500元 4.安裝修改工資$2,000元 5.5%稅金$350元 總計$7,350元</t>
        </is>
      </c>
      <c r="C1218" t="n">
        <v>7350</v>
      </c>
      <c r="D1218" t="inlineStr">
        <is>
          <t>機電/消防/弱電/AED</t>
        </is>
      </c>
      <c r="E1218" t="inlineStr">
        <is>
          <t>非固定</t>
        </is>
      </c>
    </row>
    <row r="1219" ht="16.5" customHeight="1" s="84">
      <c r="A1219" t="inlineStr">
        <is>
          <t>2024-07</t>
        </is>
      </c>
      <c r="B1219" t="inlineStr">
        <is>
          <t>浩源 1.丁棟閱覽室挑高汙廢水管清洗6支，地下室2支。 2.戊棟閱覽室挑高汙廢水管清洗6支，地下室2支。 計清洗管路優惠社區統包$68,000元 3.視聽室1支，撞球室3支計$10,000元。 4.甲棟C3客浴馬桶上段公共管路堵塞，馬桶拆裝家清洗計$25,000元。 5.租高空作業車一天計$6,000元。 總計$109,000元</t>
        </is>
      </c>
      <c r="C1219" t="n">
        <v>109000</v>
      </c>
      <c r="D1219" t="inlineStr">
        <is>
          <t>工程維修/購置</t>
        </is>
      </c>
      <c r="E1219" t="inlineStr">
        <is>
          <t>非固定</t>
        </is>
      </c>
    </row>
    <row r="1220" ht="16.5" customHeight="1" s="84">
      <c r="A1220" t="inlineStr">
        <is>
          <t>2024-07</t>
        </is>
      </c>
      <c r="B1220" t="inlineStr">
        <is>
          <t>鋐隆清潔用品 113.07.02 1.紅龍珍珠洗手乳$720元 2.5%稅金$36元 計$756元 113.07.16 1.新料53*63粉紅小垃圾袋$950元 2.芳柔環保擦手紙$480元 3.5%稅金$72元 計$1,502元 總計$2,258元</t>
        </is>
      </c>
      <c r="C1220" t="n">
        <v>2258</v>
      </c>
      <c r="D1220" t="inlineStr">
        <is>
          <t>清潔服務費</t>
        </is>
      </c>
      <c r="E1220" t="inlineStr">
        <is>
          <t>非固定</t>
        </is>
      </c>
    </row>
    <row r="1221" ht="16.5" customHeight="1" s="84">
      <c r="A1221" t="inlineStr">
        <is>
          <t>2024-07</t>
        </is>
      </c>
      <c r="B1221" t="inlineStr">
        <is>
          <t>一九衛生工程行 113年7月9日 抽水肥$1,500*23.52噸=$35,280元 113年7月10日 清理放流池$3,500元 總計$38,780元</t>
        </is>
      </c>
      <c r="C1221" t="n">
        <v>38780</v>
      </c>
      <c r="D1221" t="inlineStr">
        <is>
          <t>垃圾廢棄物/園藝</t>
        </is>
      </c>
      <c r="E1221" t="inlineStr">
        <is>
          <t>非固定</t>
        </is>
      </c>
    </row>
    <row r="1222" ht="15" customHeight="1" s="84">
      <c r="A1222" t="inlineStr">
        <is>
          <t>2024-07</t>
        </is>
      </c>
      <c r="B1222" t="inlineStr">
        <is>
          <t>固全空調 KTV室冷媒充填 總計$3,000元</t>
        </is>
      </c>
      <c r="C1222" t="n">
        <v>3000</v>
      </c>
      <c r="D1222" t="inlineStr">
        <is>
          <t>其他支出</t>
        </is>
      </c>
      <c r="E1222" t="inlineStr">
        <is>
          <t>非固定</t>
        </is>
      </c>
    </row>
    <row r="1223" ht="15" customHeight="1" s="84">
      <c r="A1223" t="inlineStr">
        <is>
          <t>2024-07</t>
        </is>
      </c>
      <c r="B1223" t="inlineStr">
        <is>
          <t>拓霖-淨水設備 各棟進水過濾器更新濾材 德國BET反洗過濾器專用濾材 $5500*5=$27,500元</t>
        </is>
      </c>
      <c r="C1223" t="n">
        <v>27500</v>
      </c>
      <c r="D1223" t="inlineStr">
        <is>
          <t>其他支出</t>
        </is>
      </c>
      <c r="E1223" t="inlineStr">
        <is>
          <t>非固定</t>
        </is>
      </c>
    </row>
    <row r="1224" ht="16.5" customHeight="1" s="84">
      <c r="A1224" t="inlineStr">
        <is>
          <t>2024-07</t>
        </is>
      </c>
      <c r="B1224" t="inlineStr">
        <is>
          <t>富邦產險 商業火災險(113.06.29~114.06.29) 總計$8,000元 (取現金至便利商店繳費)</t>
        </is>
      </c>
      <c r="C1224" t="n">
        <v>8000</v>
      </c>
      <c r="D1224" t="inlineStr">
        <is>
          <t>其他支出</t>
        </is>
      </c>
      <c r="E1224" t="inlineStr">
        <is>
          <t>非固定</t>
        </is>
      </c>
    </row>
    <row r="1225" ht="16.5" customHeight="1" s="84">
      <c r="A1225" t="inlineStr">
        <is>
          <t>2024-07</t>
        </is>
      </c>
      <c r="B1225" t="inlineStr">
        <is>
          <t>富邦產險 公共意外險(113.06.29~114.06.29) 總計$12,198元 (取現金至便利商店繳費)</t>
        </is>
      </c>
      <c r="C1225" t="n">
        <v>12198</v>
      </c>
      <c r="D1225" t="inlineStr">
        <is>
          <t>其他支出</t>
        </is>
      </c>
      <c r="E1225" t="inlineStr">
        <is>
          <t>非固定</t>
        </is>
      </c>
    </row>
    <row r="1226" ht="16.5" customHeight="1" s="84">
      <c r="A1226" t="inlineStr">
        <is>
          <t>2024-07</t>
        </is>
      </c>
      <c r="B1226" t="inlineStr">
        <is>
          <t>社區電話費(5630533)</t>
        </is>
      </c>
      <c r="C1226" t="n">
        <v>676</v>
      </c>
      <c r="D1226" t="inlineStr">
        <is>
          <t>電話/網路費</t>
        </is>
      </c>
      <c r="E1226" t="inlineStr">
        <is>
          <t>非固定</t>
        </is>
      </c>
    </row>
    <row r="1227" ht="16.5" customHeight="1" s="84">
      <c r="A1227" t="inlineStr">
        <is>
          <t>2024-07</t>
        </is>
      </c>
      <c r="B1227" t="inlineStr">
        <is>
          <t>社區網路費(Y123617)</t>
        </is>
      </c>
      <c r="C1227" t="n">
        <v>1899</v>
      </c>
      <c r="D1227" t="inlineStr">
        <is>
          <t>電話/網路費</t>
        </is>
      </c>
      <c r="E1227" t="inlineStr">
        <is>
          <t>非固定</t>
        </is>
      </c>
    </row>
    <row r="1228" ht="16.5" customHeight="1" s="84">
      <c r="A1228" t="inlineStr">
        <is>
          <t>2024-07</t>
        </is>
      </c>
      <c r="B1228" t="inlineStr">
        <is>
          <t>社區網路費(Y174790)</t>
        </is>
      </c>
      <c r="C1228" t="n">
        <v>1899</v>
      </c>
      <c r="D1228" t="inlineStr">
        <is>
          <t>電話/網路費</t>
        </is>
      </c>
      <c r="E1228" t="inlineStr">
        <is>
          <t>非固定</t>
        </is>
      </c>
    </row>
    <row r="1229" ht="16.5" customHeight="1" s="84">
      <c r="A1229" t="inlineStr">
        <is>
          <t>2024-07</t>
        </is>
      </c>
      <c r="B1229" t="inlineStr">
        <is>
          <t>公共電費</t>
        </is>
      </c>
      <c r="C1229" t="n">
        <v>126129</v>
      </c>
      <c r="D1229" t="inlineStr">
        <is>
          <t>公共水電瓦斯</t>
        </is>
      </c>
      <c r="E1229" t="inlineStr">
        <is>
          <t>非固定</t>
        </is>
      </c>
    </row>
    <row r="1230" ht="16.5" customHeight="1" s="84">
      <c r="A1230" t="inlineStr">
        <is>
          <t>2024-07</t>
        </is>
      </c>
      <c r="B1230" t="inlineStr">
        <is>
          <t>自來水費</t>
        </is>
      </c>
      <c r="C1230" t="n">
        <v>0</v>
      </c>
      <c r="D1230" t="inlineStr">
        <is>
          <t>公共水電瓦斯</t>
        </is>
      </c>
      <c r="E1230" t="inlineStr">
        <is>
          <t>非固定</t>
        </is>
      </c>
    </row>
    <row r="1231" ht="16.5" customHeight="1" s="84">
      <c r="A1231" t="inlineStr">
        <is>
          <t>2024-08</t>
        </is>
      </c>
      <c r="B1231" t="inlineStr">
        <is>
          <t>零用金撥補(113/08) 總計$6,860元</t>
        </is>
      </c>
      <c r="C1231" t="n">
        <v>6860</v>
      </c>
      <c r="D1231" t="inlineStr">
        <is>
          <t>內部轉帳</t>
        </is>
      </c>
      <c r="E1231" t="inlineStr">
        <is>
          <t>非固定</t>
        </is>
      </c>
    </row>
    <row r="1232" ht="16.5" customHeight="1" s="84">
      <c r="A1232" t="inlineStr">
        <is>
          <t>2024-08</t>
        </is>
      </c>
      <c r="B1232" t="inlineStr">
        <is>
          <t>管委會出席費用(預領) 總計$8,000元</t>
        </is>
      </c>
      <c r="C1232" t="n">
        <v>8000</v>
      </c>
      <c r="D1232" t="inlineStr">
        <is>
          <t>內部轉帳</t>
        </is>
      </c>
      <c r="E1232" t="inlineStr">
        <is>
          <t>非固定</t>
        </is>
      </c>
    </row>
    <row r="1233" ht="16.5" customHeight="1" s="84">
      <c r="A1233" t="inlineStr">
        <is>
          <t>2024-08</t>
        </is>
      </c>
      <c r="B1233" t="inlineStr">
        <is>
          <t>電梯專用款撥補(113/08) 總計$50,000元</t>
        </is>
      </c>
      <c r="C1233" t="n">
        <v>50000</v>
      </c>
      <c r="D1233" t="inlineStr">
        <is>
          <t>內部轉帳</t>
        </is>
      </c>
      <c r="E1233" t="inlineStr">
        <is>
          <t>非固定</t>
        </is>
      </c>
    </row>
    <row r="1234" ht="16.5" customHeight="1" s="84">
      <c r="A1234" t="inlineStr">
        <is>
          <t>2024-08</t>
        </is>
      </c>
      <c r="B1234" t="inlineStr">
        <is>
          <t>德懋物業公司(113/08)管理服務費：社區經理乙員，社區秘書乙員，警衛服務人員兩哨。 總計$389,550元</t>
        </is>
      </c>
      <c r="C1234" t="n">
        <v>389550</v>
      </c>
      <c r="D1234" t="inlineStr">
        <is>
          <t>其他支出</t>
        </is>
      </c>
      <c r="E1234" t="inlineStr">
        <is>
          <t>固定</t>
        </is>
      </c>
    </row>
    <row r="1235" ht="16.5" customHeight="1" s="84">
      <c r="A1235" t="inlineStr">
        <is>
          <t>2024-08</t>
        </is>
      </c>
      <c r="B1235" t="inlineStr">
        <is>
          <t>順達清潔服務費(113/08) 總計$114,000元</t>
        </is>
      </c>
      <c r="C1235" t="n">
        <v>114000</v>
      </c>
      <c r="D1235" t="inlineStr">
        <is>
          <t>清潔服務費</t>
        </is>
      </c>
      <c r="E1235" t="inlineStr">
        <is>
          <t>固定</t>
        </is>
      </c>
    </row>
    <row r="1236" ht="16.5" customHeight="1" s="84">
      <c r="A1236" t="inlineStr">
        <is>
          <t>2024-08</t>
        </is>
      </c>
      <c r="B1236" t="inlineStr">
        <is>
          <t>義明清潔服務費(113/08) 總計$114,000元</t>
        </is>
      </c>
      <c r="C1236" t="n">
        <v>114000</v>
      </c>
      <c r="D1236" t="inlineStr">
        <is>
          <t>清潔服務費</t>
        </is>
      </c>
      <c r="E1236" t="inlineStr">
        <is>
          <t>固定</t>
        </is>
      </c>
    </row>
    <row r="1237" ht="16.5" customHeight="1" s="84">
      <c r="A1237" t="inlineStr">
        <is>
          <t>2024-08</t>
        </is>
      </c>
      <c r="B1237" t="inlineStr">
        <is>
          <t>崇友電梯(113/08)電梯保養 總計$100,000元</t>
        </is>
      </c>
      <c r="C1237" t="n">
        <v>100000</v>
      </c>
      <c r="D1237" t="inlineStr">
        <is>
          <t>電梯保養與修繕</t>
        </is>
      </c>
      <c r="E1237" t="inlineStr">
        <is>
          <t>固定</t>
        </is>
      </c>
    </row>
    <row r="1238" ht="16.5" customHeight="1" s="84">
      <c r="A1238" t="inlineStr">
        <is>
          <t>2024-08</t>
        </is>
      </c>
      <c r="B1238" t="inlineStr">
        <is>
          <t>AED(113/09)租賃費 總計$1,500元</t>
        </is>
      </c>
      <c r="C1238" t="n">
        <v>1500</v>
      </c>
      <c r="D1238" t="inlineStr">
        <is>
          <t>機電/消防/弱電/AED</t>
        </is>
      </c>
      <c r="E1238" t="inlineStr">
        <is>
          <t>固定</t>
        </is>
      </c>
    </row>
    <row r="1239" ht="16.5" customHeight="1" s="84">
      <c r="A1239" t="inlineStr">
        <is>
          <t>2024-08</t>
        </is>
      </c>
      <c r="B1239" t="inlineStr">
        <is>
          <t>御品寬頻(113/08)網路服務租賃 總計$9,450元</t>
        </is>
      </c>
      <c r="C1239" t="n">
        <v>9450</v>
      </c>
      <c r="D1239" t="inlineStr">
        <is>
          <t>機電/消防/弱電/AED</t>
        </is>
      </c>
      <c r="E1239" t="inlineStr">
        <is>
          <t>固定</t>
        </is>
      </c>
    </row>
    <row r="1240" ht="16.5" customHeight="1" s="84">
      <c r="A1240" t="inlineStr">
        <is>
          <t>2024-08</t>
        </is>
      </c>
      <c r="B1240" t="inlineStr">
        <is>
          <t>新鑫堯(113/08) 廢棄物清除$34,000元 清潔費$3,500元 總計$37,500元</t>
        </is>
      </c>
      <c r="C1240" t="n">
        <v>37500</v>
      </c>
      <c r="D1240" t="inlineStr">
        <is>
          <t>垃圾廢棄物/園藝</t>
        </is>
      </c>
      <c r="E1240" t="inlineStr">
        <is>
          <t>固定</t>
        </is>
      </c>
    </row>
    <row r="1241" ht="16.5" customHeight="1" s="84">
      <c r="A1241" t="inlineStr">
        <is>
          <t>2024-08</t>
        </is>
      </c>
      <c r="B1241" t="inlineStr">
        <is>
          <t>太古意門禁維護檢點費(113/08) 總計$10,000元</t>
        </is>
      </c>
      <c r="C1241" t="n">
        <v>10000</v>
      </c>
      <c r="D1241" t="inlineStr">
        <is>
          <t>機電/消防/弱電/AED</t>
        </is>
      </c>
      <c r="E1241" t="inlineStr">
        <is>
          <t>固定</t>
        </is>
      </c>
    </row>
    <row r="1242" ht="16.5" customHeight="1" s="84">
      <c r="A1242" t="inlineStr">
        <is>
          <t>2024-08</t>
        </is>
      </c>
      <c r="B1242" t="inlineStr">
        <is>
          <t>鑫禾機電保養費(113/08) 總計$28,000元</t>
        </is>
      </c>
      <c r="C1242" t="n">
        <v>28000</v>
      </c>
      <c r="D1242" t="inlineStr">
        <is>
          <t>機電/消防/弱電/AED</t>
        </is>
      </c>
      <c r="E1242" t="inlineStr">
        <is>
          <t>固定</t>
        </is>
      </c>
    </row>
    <row r="1243" ht="16.5" customHeight="1" s="84">
      <c r="A1243" t="inlineStr">
        <is>
          <t>2024-08</t>
        </is>
      </c>
      <c r="B1243" t="inlineStr">
        <is>
          <t>富賀村-園藝定期保養(113/08) 總計$33,000元(雙月保養)</t>
        </is>
      </c>
      <c r="C1243" t="n">
        <v>33000</v>
      </c>
      <c r="D1243" t="inlineStr">
        <is>
          <t>垃圾廢棄物/園藝</t>
        </is>
      </c>
      <c r="E1243" t="inlineStr">
        <is>
          <t>固定</t>
        </is>
      </c>
    </row>
    <row r="1244" ht="16.5" customHeight="1" s="84">
      <c r="A1244" t="inlineStr">
        <is>
          <t>2024-08</t>
        </is>
      </c>
      <c r="B1244" t="inlineStr">
        <is>
          <t>宜力亞(113/08) 泳池8月保養費$15,000元 總計$15,000元</t>
        </is>
      </c>
      <c r="C1244" t="n">
        <v>15000</v>
      </c>
      <c r="D1244" t="inlineStr">
        <is>
          <t>其他支出</t>
        </is>
      </c>
      <c r="E1244" t="inlineStr">
        <is>
          <t>固定</t>
        </is>
      </c>
      <c r="F1244" t="inlineStr">
        <is>
          <t>游泳池</t>
        </is>
      </c>
    </row>
    <row r="1245" ht="16.5" customHeight="1" s="84">
      <c r="A1245" t="inlineStr">
        <is>
          <t>2024-08</t>
        </is>
      </c>
      <c r="B1245" t="inlineStr">
        <is>
          <t>宜力亞 8月救生員$320*202H=$64,640元 總計$64,640元</t>
        </is>
      </c>
      <c r="C1245" t="n">
        <v>64640</v>
      </c>
      <c r="D1245" t="inlineStr">
        <is>
          <t>其他支出</t>
        </is>
      </c>
      <c r="E1245" t="inlineStr">
        <is>
          <t>非固定</t>
        </is>
      </c>
      <c r="F1245" t="inlineStr">
        <is>
          <t>游泳池</t>
        </is>
      </c>
    </row>
    <row r="1246" ht="16.5" customHeight="1" s="84">
      <c r="A1246" t="inlineStr">
        <is>
          <t>2024-08</t>
        </is>
      </c>
      <c r="B1246" t="inlineStr">
        <is>
          <t>鑫禾設備修繕 1.放流陰井配管及入池$12,500元 2.LED杯燈$350*11=$3,850元 3.LED冰棒燈$350*3=$1,050元 4.自然排煙窗推桿機板$3,600*4=$14,400元 5.變壓器$2,000*4=$8,000元 6.安良計時器$1,500元 7.排煙手動開關$550元 8.中繼器$2,800*4=$11,200元 9.電燈感應器$650*2=$1,300元 總計$54,350元</t>
        </is>
      </c>
      <c r="C1246" t="n">
        <v>54350</v>
      </c>
      <c r="D1246" t="inlineStr">
        <is>
          <t>工程維修/購置</t>
        </is>
      </c>
      <c r="E1246" t="inlineStr">
        <is>
          <t>非固定</t>
        </is>
      </c>
    </row>
    <row r="1247" ht="16.5" customHeight="1" s="84">
      <c r="A1247" t="inlineStr">
        <is>
          <t>2024-08</t>
        </is>
      </c>
      <c r="B1247" t="inlineStr">
        <is>
          <t>新鑫堯垃圾增桶 7月增桶$650*5=$3,250元 總計$3,250元</t>
        </is>
      </c>
      <c r="C1247" t="n">
        <v>3250</v>
      </c>
      <c r="D1247" t="inlineStr">
        <is>
          <t>垃圾廢棄物/園藝</t>
        </is>
      </c>
      <c r="E1247" t="inlineStr">
        <is>
          <t>非固定</t>
        </is>
      </c>
    </row>
    <row r="1248" ht="16.5" customHeight="1" s="84">
      <c r="A1248" t="inlineStr">
        <is>
          <t>2024-08</t>
        </is>
      </c>
      <c r="B1248" t="inlineStr">
        <is>
          <t>崇友電梯設備維修 甲棟#1 制動器減震膠墊更換工程$3,000元 總計$3,000元</t>
        </is>
      </c>
      <c r="C1248" t="n">
        <v>3000</v>
      </c>
      <c r="D1248" t="inlineStr">
        <is>
          <t>電梯保養與修繕</t>
        </is>
      </c>
      <c r="E1248" t="inlineStr">
        <is>
          <t>非固定</t>
        </is>
      </c>
      <c r="F1248" t="inlineStr">
        <is>
          <t>電梯</t>
        </is>
      </c>
    </row>
    <row r="1249" ht="16.5" customHeight="1" s="84">
      <c r="A1249" t="inlineStr">
        <is>
          <t>2024-08</t>
        </is>
      </c>
      <c r="B1249" t="inlineStr">
        <is>
          <t>鋐隆清潔用品 113.08.12 1.芳柔環保擦手紙$480元 2.小捲衛生紙$480*2=$960元 3.5%稅金$72元 總計$1,512元</t>
        </is>
      </c>
      <c r="C1249" t="n">
        <v>1512</v>
      </c>
      <c r="D1249" t="inlineStr">
        <is>
          <t>清潔服務費</t>
        </is>
      </c>
      <c r="E1249" t="inlineStr">
        <is>
          <t>非固定</t>
        </is>
      </c>
    </row>
    <row r="1250" ht="16.5" customHeight="1" s="84">
      <c r="A1250" t="inlineStr">
        <is>
          <t>2024-08</t>
        </is>
      </c>
      <c r="B1250" t="inlineStr">
        <is>
          <t>嘉晟工程行-石材修繕 1.樹屋下台階一處 2.樹屋下花圃一處 3.中庭車道壁磚一處 4.丁棟1樓壁磚一處 5.丙棟B1壁磚一處 6.泳池馬賽克一式 7.KTV室門口地磚一處(附贈) 總計$5,000元 (已先用零用金代墊，此款項用現金領出，補回零用金)</t>
        </is>
      </c>
      <c r="C1250" t="n">
        <v>5000</v>
      </c>
      <c r="D1250" t="inlineStr">
        <is>
          <t>工程維修/購置</t>
        </is>
      </c>
      <c r="E1250" t="inlineStr">
        <is>
          <t>非固定</t>
        </is>
      </c>
    </row>
    <row r="1251" ht="16.5" customHeight="1" s="84">
      <c r="A1251" t="inlineStr">
        <is>
          <t>2024-08</t>
        </is>
      </c>
      <c r="B1251" t="inlineStr">
        <is>
          <t>富賀村-除枯樹木 移植樹木兩棵$20,000元 總計$20,000元</t>
        </is>
      </c>
      <c r="C1251" t="n">
        <v>20000</v>
      </c>
      <c r="D1251" t="inlineStr">
        <is>
          <t>垃圾廢棄物/園藝</t>
        </is>
      </c>
      <c r="E1251" t="inlineStr">
        <is>
          <t>非固定</t>
        </is>
      </c>
    </row>
    <row r="1252" ht="15" customHeight="1" s="84">
      <c r="A1252" t="inlineStr">
        <is>
          <t>2024-08</t>
        </is>
      </c>
      <c r="B1252" t="inlineStr">
        <is>
          <t>蔡甫欣律師事務所 法律顧問費用(113.8.1-114.7.31) 總計$25,000元</t>
        </is>
      </c>
      <c r="C1252" t="n">
        <v>25000</v>
      </c>
      <c r="D1252" t="inlineStr">
        <is>
          <t>行政/會議/律師</t>
        </is>
      </c>
      <c r="E1252" t="inlineStr">
        <is>
          <t>非固定</t>
        </is>
      </c>
    </row>
    <row r="1253" ht="15" customHeight="1" s="84">
      <c r="A1253" t="inlineStr">
        <is>
          <t>2024-08</t>
        </is>
      </c>
      <c r="B1253" t="inlineStr">
        <is>
          <t>泉能工程行 113.07.26 泳池機房設備調整檢查工資 1.泳池B、C濾桶排氣試機調整 2.泳池A鏡面迴水關閉處理 3.泳池水中燈測試 總計$4,500元</t>
        </is>
      </c>
      <c r="C1253" t="n">
        <v>4500</v>
      </c>
      <c r="D1253" t="inlineStr">
        <is>
          <t>工程維修/購置</t>
        </is>
      </c>
      <c r="E1253" t="inlineStr">
        <is>
          <t>非固定</t>
        </is>
      </c>
      <c r="F1253" t="inlineStr">
        <is>
          <t>游泳池</t>
        </is>
      </c>
    </row>
    <row r="1254" ht="16.5" customHeight="1" s="84">
      <c r="A1254" t="inlineStr">
        <is>
          <t>2024-08</t>
        </is>
      </c>
      <c r="B1254" t="inlineStr">
        <is>
          <t>鑫禾-112年消防缺失改善工程(一) 消防改善燈具類工資$30,000元</t>
        </is>
      </c>
      <c r="C1254" t="n">
        <v>30000</v>
      </c>
      <c r="D1254" t="inlineStr">
        <is>
          <t>機電/消防/弱電/AED</t>
        </is>
      </c>
      <c r="E1254" t="inlineStr">
        <is>
          <t>非固定</t>
        </is>
      </c>
    </row>
    <row r="1255" ht="16.5" customHeight="1" s="84">
      <c r="A1255" t="inlineStr">
        <is>
          <t>2024-08</t>
        </is>
      </c>
      <c r="B1255" t="inlineStr">
        <is>
          <t>鑫禾-112年消防缺失改善工程(二) 總計$88,000元</t>
        </is>
      </c>
      <c r="C1255" t="n">
        <v>88000</v>
      </c>
      <c r="D1255" t="inlineStr">
        <is>
          <t>機電/消防/弱電/AED</t>
        </is>
      </c>
      <c r="E1255" t="inlineStr">
        <is>
          <t>非固定</t>
        </is>
      </c>
    </row>
    <row r="1256" ht="16.5" customHeight="1" s="84">
      <c r="A1256" t="inlineStr">
        <is>
          <t>2024-08</t>
        </is>
      </c>
      <c r="B1256" t="inlineStr">
        <is>
          <t>社區電話費(5630533)</t>
        </is>
      </c>
      <c r="C1256" t="n">
        <v>623</v>
      </c>
      <c r="D1256" t="inlineStr">
        <is>
          <t>電話/網路費</t>
        </is>
      </c>
      <c r="E1256" t="inlineStr">
        <is>
          <t>非固定</t>
        </is>
      </c>
    </row>
    <row r="1257" ht="16.5" customHeight="1" s="84">
      <c r="A1257" t="inlineStr">
        <is>
          <t>2024-08</t>
        </is>
      </c>
      <c r="B1257" t="inlineStr">
        <is>
          <t>社區網路費(Y123617)</t>
        </is>
      </c>
      <c r="C1257" t="n">
        <v>1899</v>
      </c>
      <c r="D1257" t="inlineStr">
        <is>
          <t>電話/網路費</t>
        </is>
      </c>
      <c r="E1257" t="inlineStr">
        <is>
          <t>非固定</t>
        </is>
      </c>
    </row>
    <row r="1258" ht="16.5" customHeight="1" s="84">
      <c r="A1258" t="inlineStr">
        <is>
          <t>2024-08</t>
        </is>
      </c>
      <c r="B1258" t="inlineStr">
        <is>
          <t>社區網路費(Y174790)</t>
        </is>
      </c>
      <c r="C1258" t="n">
        <v>1899</v>
      </c>
      <c r="D1258" t="inlineStr">
        <is>
          <t>電話/網路費</t>
        </is>
      </c>
      <c r="E1258" t="inlineStr">
        <is>
          <t>非固定</t>
        </is>
      </c>
    </row>
    <row r="1259" ht="16.5" customHeight="1" s="84">
      <c r="A1259" t="inlineStr">
        <is>
          <t>2024-08</t>
        </is>
      </c>
      <c r="B1259" t="inlineStr">
        <is>
          <t>公共電費</t>
        </is>
      </c>
      <c r="C1259" t="n">
        <v>130540</v>
      </c>
      <c r="D1259" t="inlineStr">
        <is>
          <t>公共水電瓦斯</t>
        </is>
      </c>
      <c r="E1259" t="inlineStr">
        <is>
          <t>非固定</t>
        </is>
      </c>
    </row>
    <row r="1260" ht="16.5" customHeight="1" s="84">
      <c r="A1260" t="inlineStr">
        <is>
          <t>2024-08</t>
        </is>
      </c>
      <c r="B1260" t="inlineStr">
        <is>
          <t>自來水費</t>
        </is>
      </c>
      <c r="C1260" t="n">
        <v>14304</v>
      </c>
      <c r="D1260" t="inlineStr">
        <is>
          <t>公共水電瓦斯</t>
        </is>
      </c>
      <c r="E1260" t="inlineStr">
        <is>
          <t>非固定</t>
        </is>
      </c>
    </row>
    <row r="1261" ht="16.5" customHeight="1" s="84">
      <c r="A1261" t="inlineStr">
        <is>
          <t>2024-09</t>
        </is>
      </c>
      <c r="B1261" t="inlineStr">
        <is>
          <t>零用金撥補(113/09) 總計$4,536元</t>
        </is>
      </c>
      <c r="C1261" t="n">
        <v>4536</v>
      </c>
      <c r="D1261" t="inlineStr">
        <is>
          <t>內部轉帳</t>
        </is>
      </c>
      <c r="E1261" t="inlineStr">
        <is>
          <t>非固定</t>
        </is>
      </c>
    </row>
    <row r="1262" ht="16.5" customHeight="1" s="84">
      <c r="A1262" t="inlineStr">
        <is>
          <t>2024-09</t>
        </is>
      </c>
      <c r="B1262" t="inlineStr">
        <is>
          <t>管委會出席費用(預領) 總計$8,000元</t>
        </is>
      </c>
      <c r="C1262" t="n">
        <v>8000</v>
      </c>
      <c r="D1262" t="inlineStr">
        <is>
          <t>內部轉帳</t>
        </is>
      </c>
      <c r="E1262" t="inlineStr">
        <is>
          <t>非固定</t>
        </is>
      </c>
    </row>
    <row r="1263" ht="16.5" customHeight="1" s="84">
      <c r="A1263" t="inlineStr">
        <is>
          <t>2024-09</t>
        </is>
      </c>
      <c r="B1263" t="inlineStr">
        <is>
          <t>電梯專用款撥補(113/09) 總計$50,000元</t>
        </is>
      </c>
      <c r="C1263" t="n">
        <v>50000</v>
      </c>
      <c r="D1263" t="inlineStr">
        <is>
          <t>內部轉帳</t>
        </is>
      </c>
      <c r="E1263" t="inlineStr">
        <is>
          <t>非固定</t>
        </is>
      </c>
    </row>
    <row r="1264" ht="16.5" customHeight="1" s="84">
      <c r="A1264" t="inlineStr">
        <is>
          <t>2024-09</t>
        </is>
      </c>
      <c r="B1264" t="inlineStr">
        <is>
          <t>德懋物業公司(113/09)管理服務費：社區經理乙員，社區秘書乙員，警衛服務人員兩哨。 總計$389,550元</t>
        </is>
      </c>
      <c r="C1264" t="n">
        <v>389550</v>
      </c>
      <c r="D1264" t="inlineStr">
        <is>
          <t>其他支出</t>
        </is>
      </c>
      <c r="E1264" t="inlineStr">
        <is>
          <t>固定</t>
        </is>
      </c>
    </row>
    <row r="1265" ht="16.5" customHeight="1" s="84">
      <c r="A1265" t="inlineStr">
        <is>
          <t>2024-09</t>
        </is>
      </c>
      <c r="B1265" t="inlineStr">
        <is>
          <t>順達清潔服務費(113/09) 總計$114,000元</t>
        </is>
      </c>
      <c r="C1265" t="n">
        <v>114000</v>
      </c>
      <c r="D1265" t="inlineStr">
        <is>
          <t>清潔服務費</t>
        </is>
      </c>
      <c r="E1265" t="inlineStr">
        <is>
          <t>固定</t>
        </is>
      </c>
    </row>
    <row r="1266" ht="16.5" customHeight="1" s="84">
      <c r="A1266" t="inlineStr">
        <is>
          <t>2024-09</t>
        </is>
      </c>
      <c r="B1266" t="inlineStr">
        <is>
          <t>義明清潔服務費(113/09) 總計$114,000元</t>
        </is>
      </c>
      <c r="C1266" t="n">
        <v>114000</v>
      </c>
      <c r="D1266" t="inlineStr">
        <is>
          <t>清潔服務費</t>
        </is>
      </c>
      <c r="E1266" t="inlineStr">
        <is>
          <t>固定</t>
        </is>
      </c>
    </row>
    <row r="1267" ht="16.5" customHeight="1" s="84">
      <c r="A1267" t="inlineStr">
        <is>
          <t>2024-09</t>
        </is>
      </c>
      <c r="B1267" t="inlineStr">
        <is>
          <t>崇友電梯(113/09)電梯保養 總計$100,000元</t>
        </is>
      </c>
      <c r="C1267" t="n">
        <v>100000</v>
      </c>
      <c r="D1267" t="inlineStr">
        <is>
          <t>電梯保養與修繕</t>
        </is>
      </c>
      <c r="E1267" t="inlineStr">
        <is>
          <t>固定</t>
        </is>
      </c>
    </row>
    <row r="1268" ht="16.5" customHeight="1" s="84">
      <c r="A1268" t="inlineStr">
        <is>
          <t>2024-09</t>
        </is>
      </c>
      <c r="B1268" t="inlineStr">
        <is>
          <t>AED(113/10)租賃費 總計$1,500元</t>
        </is>
      </c>
      <c r="C1268" t="n">
        <v>1500</v>
      </c>
      <c r="D1268" t="inlineStr">
        <is>
          <t>機電/消防/弱電/AED</t>
        </is>
      </c>
      <c r="E1268" t="inlineStr">
        <is>
          <t>固定</t>
        </is>
      </c>
    </row>
    <row r="1269" ht="16.5" customHeight="1" s="84">
      <c r="A1269" t="inlineStr">
        <is>
          <t>2024-09</t>
        </is>
      </c>
      <c r="B1269" t="inlineStr">
        <is>
          <t>御品寬頻(113/09)網路服務租賃 總計$9,450元</t>
        </is>
      </c>
      <c r="C1269" t="n">
        <v>9450</v>
      </c>
      <c r="D1269" t="inlineStr">
        <is>
          <t>機電/消防/弱電/AED</t>
        </is>
      </c>
      <c r="E1269" t="inlineStr">
        <is>
          <t>固定</t>
        </is>
      </c>
    </row>
    <row r="1270" ht="16.5" customHeight="1" s="84">
      <c r="A1270" t="inlineStr">
        <is>
          <t>2024-09</t>
        </is>
      </c>
      <c r="B1270" t="inlineStr">
        <is>
          <t>新鑫堯(113/09) 廢棄物清除$34,000元 清潔費$3,500元 總計$37,500元</t>
        </is>
      </c>
      <c r="C1270" t="n">
        <v>37500</v>
      </c>
      <c r="D1270" t="inlineStr">
        <is>
          <t>垃圾廢棄物/園藝</t>
        </is>
      </c>
      <c r="E1270" t="inlineStr">
        <is>
          <t>固定</t>
        </is>
      </c>
    </row>
    <row r="1271" ht="16.5" customHeight="1" s="84">
      <c r="A1271" t="inlineStr">
        <is>
          <t>2024-09</t>
        </is>
      </c>
      <c r="B1271" t="inlineStr">
        <is>
          <t>太古意門禁維護檢點費(113/09) 總計$10,000元</t>
        </is>
      </c>
      <c r="C1271" t="n">
        <v>10000</v>
      </c>
      <c r="D1271" t="inlineStr">
        <is>
          <t>機電/消防/弱電/AED</t>
        </is>
      </c>
      <c r="E1271" t="inlineStr">
        <is>
          <t>固定</t>
        </is>
      </c>
    </row>
    <row r="1272" ht="16.5" customHeight="1" s="84">
      <c r="A1272" t="inlineStr">
        <is>
          <t>2024-09</t>
        </is>
      </c>
      <c r="B1272" t="inlineStr">
        <is>
          <t>鑫禾機電保養費(113/09) 總計$28,000元</t>
        </is>
      </c>
      <c r="C1272" t="n">
        <v>28000</v>
      </c>
      <c r="D1272" t="inlineStr">
        <is>
          <t>機電/消防/弱電/AED</t>
        </is>
      </c>
      <c r="E1272" t="inlineStr">
        <is>
          <t>固定</t>
        </is>
      </c>
    </row>
    <row r="1273" ht="16.5" customHeight="1" s="84">
      <c r="A1273" t="inlineStr">
        <is>
          <t>2024-09</t>
        </is>
      </c>
      <c r="B1273" t="inlineStr">
        <is>
          <t>富賀村-園藝定期保養(113/09) 總計$0元(雙月保養)</t>
        </is>
      </c>
      <c r="C1273" t="n">
        <v>0</v>
      </c>
      <c r="D1273" t="inlineStr">
        <is>
          <t>垃圾廢棄物/園藝</t>
        </is>
      </c>
      <c r="E1273" t="inlineStr">
        <is>
          <t>固定</t>
        </is>
      </c>
    </row>
    <row r="1274" ht="16.5" customHeight="1" s="84">
      <c r="A1274" t="inlineStr">
        <is>
          <t>2024-09</t>
        </is>
      </c>
      <c r="B1274" t="inlineStr">
        <is>
          <t>鑫禾設備修繕 1.電燈感應器$650*3=$1,950元 2.LED球泡燈$110*2=$220元 3.LED杯燈$350*16=$5,600元 4.噴灌重新配管$600元 總計$8,370元</t>
        </is>
      </c>
      <c r="C1274" t="n">
        <v>8370</v>
      </c>
      <c r="D1274" t="inlineStr">
        <is>
          <t>工程維修/購置</t>
        </is>
      </c>
      <c r="E1274" t="inlineStr">
        <is>
          <t>非固定</t>
        </is>
      </c>
    </row>
    <row r="1275" ht="16.5" customHeight="1" s="84">
      <c r="A1275" t="inlineStr">
        <is>
          <t>2024-09</t>
        </is>
      </c>
      <c r="B1275" t="inlineStr">
        <is>
          <t>鑫禾-汙水許可證 汙水排放許可證申請展延$40,000元 總計$40,000元</t>
        </is>
      </c>
      <c r="C1275" t="n">
        <v>40000</v>
      </c>
      <c r="D1275" t="inlineStr">
        <is>
          <t>工程維修/購置</t>
        </is>
      </c>
      <c r="E1275" t="inlineStr">
        <is>
          <t>非固定</t>
        </is>
      </c>
    </row>
    <row r="1276" ht="16.5" customHeight="1" s="84">
      <c r="A1276" t="inlineStr">
        <is>
          <t>2024-09</t>
        </is>
      </c>
      <c r="B1276" t="inlineStr">
        <is>
          <t>新鑫堯垃圾增桶 8月增桶$650*4=$2,600元 總計$2,600元</t>
        </is>
      </c>
      <c r="C1276" t="n">
        <v>2600</v>
      </c>
      <c r="D1276" t="inlineStr">
        <is>
          <t>垃圾廢棄物/園藝</t>
        </is>
      </c>
      <c r="E1276" t="inlineStr">
        <is>
          <t>非固定</t>
        </is>
      </c>
    </row>
    <row r="1277" ht="16.5" customHeight="1" s="84">
      <c r="A1277" t="inlineStr">
        <is>
          <t>2024-09</t>
        </is>
      </c>
      <c r="B1277" t="inlineStr">
        <is>
          <t>崇友電梯設備維修 乙棟#4 單多局送收話器$1,650元 總計$1,650元</t>
        </is>
      </c>
      <c r="C1277" t="n">
        <v>1650</v>
      </c>
      <c r="D1277" t="inlineStr">
        <is>
          <t>電梯保養與修繕</t>
        </is>
      </c>
      <c r="E1277" t="inlineStr">
        <is>
          <t>非固定</t>
        </is>
      </c>
      <c r="F1277" t="inlineStr">
        <is>
          <t>電梯</t>
        </is>
      </c>
    </row>
    <row r="1278" ht="16.5" customHeight="1" s="84">
      <c r="A1278" t="inlineStr">
        <is>
          <t>2024-09</t>
        </is>
      </c>
      <c r="B1278" t="inlineStr">
        <is>
          <t>崇友電梯設備維修 丁棟#8 單多局送收話器$2,310元 總計$2,310元</t>
        </is>
      </c>
      <c r="C1278" t="n">
        <v>2310</v>
      </c>
      <c r="D1278" t="inlineStr">
        <is>
          <t>電梯保養與修繕</t>
        </is>
      </c>
      <c r="E1278" t="inlineStr">
        <is>
          <t>非固定</t>
        </is>
      </c>
      <c r="F1278" t="inlineStr">
        <is>
          <t>電梯</t>
        </is>
      </c>
    </row>
    <row r="1279" ht="16.5" customHeight="1" s="84">
      <c r="A1279" t="inlineStr">
        <is>
          <t>2024-09</t>
        </is>
      </c>
      <c r="B1279" t="inlineStr">
        <is>
          <t>崇友電梯設備維修 丁棟#8 HCD顯示器$3,200元 微壓按鈕(上)$500元 總計$3,700元</t>
        </is>
      </c>
      <c r="C1279" t="n">
        <v>3700</v>
      </c>
      <c r="D1279" t="inlineStr">
        <is>
          <t>電梯保養與修繕</t>
        </is>
      </c>
      <c r="E1279" t="inlineStr">
        <is>
          <t>非固定</t>
        </is>
      </c>
      <c r="F1279" t="inlineStr">
        <is>
          <t>電梯</t>
        </is>
      </c>
    </row>
    <row r="1280" ht="16.5" customHeight="1" s="84">
      <c r="A1280" t="inlineStr">
        <is>
          <t>2024-09</t>
        </is>
      </c>
      <c r="B1280" t="inlineStr">
        <is>
          <t>崇友電梯設備維修 丁棟#8 微壓按鈕$500*7=$3,500元 總計$3,500元</t>
        </is>
      </c>
      <c r="C1280" t="n">
        <v>3500</v>
      </c>
      <c r="D1280" t="inlineStr">
        <is>
          <t>電梯保養與修繕</t>
        </is>
      </c>
      <c r="E1280" t="inlineStr">
        <is>
          <t>非固定</t>
        </is>
      </c>
      <c r="F1280" t="inlineStr">
        <is>
          <t>電梯</t>
        </is>
      </c>
    </row>
    <row r="1281" ht="16.5" customHeight="1" s="84">
      <c r="A1281" t="inlineStr">
        <is>
          <t>2024-09</t>
        </is>
      </c>
      <c r="B1281" t="inlineStr">
        <is>
          <t>崇友電梯設備維修 丁棟#8 HCD顯示器$3,200元 總計$3,200元</t>
        </is>
      </c>
      <c r="C1281" t="n">
        <v>3200</v>
      </c>
      <c r="D1281" t="inlineStr">
        <is>
          <t>電梯保養與修繕</t>
        </is>
      </c>
      <c r="E1281" t="inlineStr">
        <is>
          <t>非固定</t>
        </is>
      </c>
      <c r="F1281" t="inlineStr">
        <is>
          <t>電梯</t>
        </is>
      </c>
    </row>
    <row r="1282" ht="16.5" customHeight="1" s="84">
      <c r="A1282" t="inlineStr">
        <is>
          <t>2024-09</t>
        </is>
      </c>
      <c r="B1282" t="inlineStr">
        <is>
          <t>崇友電梯設備維修 甲棟#1 CCU基板$7,000元 總計$7,000元</t>
        </is>
      </c>
      <c r="C1282" t="n">
        <v>7000</v>
      </c>
      <c r="D1282" t="inlineStr">
        <is>
          <t>電梯保養與修繕</t>
        </is>
      </c>
      <c r="E1282" t="inlineStr">
        <is>
          <t>非固定</t>
        </is>
      </c>
      <c r="F1282" t="inlineStr">
        <is>
          <t>電梯</t>
        </is>
      </c>
    </row>
    <row r="1283" ht="16.5" customHeight="1" s="84">
      <c r="A1283" t="inlineStr">
        <is>
          <t>2024-09</t>
        </is>
      </c>
      <c r="B1283" t="inlineStr">
        <is>
          <t>太古意設備修繕 甲棟1樓梯廳前花圃鏡頭及旋轉台損壞 1.200萬紅外線全景鏡頭$4,000元 2.極限防水盒+電源料件$800元 3.安裝修改工資$1,000元 4.5%稅金$290元 總計$6,090元</t>
        </is>
      </c>
      <c r="C1283" t="n">
        <v>6090</v>
      </c>
      <c r="D1283" t="inlineStr">
        <is>
          <t>機電/消防/弱電/AED</t>
        </is>
      </c>
      <c r="E1283" t="inlineStr">
        <is>
          <t>非固定</t>
        </is>
      </c>
    </row>
    <row r="1284" ht="16.5" customHeight="1" s="84">
      <c r="A1284" t="inlineStr">
        <is>
          <t>2024-09</t>
        </is>
      </c>
      <c r="B1284" t="inlineStr">
        <is>
          <t>太古意設備修繕 丁棟客梯卡機訊號線路損壞更新 1.丁棟客梯卡機訊號線路損壞(電梯專用訊號軟線)機坑內危險施工，需配合電梯排線安規施作$8,000元 2.拉線技術工資$3,000元 3.5%稅金$550元 總計$11,550元</t>
        </is>
      </c>
      <c r="C1284" t="n">
        <v>11550</v>
      </c>
      <c r="D1284" t="inlineStr">
        <is>
          <t>機電/消防/弱電/AED</t>
        </is>
      </c>
      <c r="E1284" t="inlineStr">
        <is>
          <t>非固定</t>
        </is>
      </c>
      <c r="F1284" t="inlineStr">
        <is>
          <t>電梯</t>
        </is>
      </c>
    </row>
    <row r="1285" ht="16.5" customHeight="1" s="84">
      <c r="A1285" t="inlineStr">
        <is>
          <t>2024-09</t>
        </is>
      </c>
      <c r="B1285" t="inlineStr">
        <is>
          <t>固全空調 KTV室更新室外機 總計$38,000元</t>
        </is>
      </c>
      <c r="C1285" t="n">
        <v>38000</v>
      </c>
      <c r="D1285" t="inlineStr">
        <is>
          <t>其他支出</t>
        </is>
      </c>
      <c r="E1285" t="inlineStr">
        <is>
          <t>非固定</t>
        </is>
      </c>
    </row>
    <row r="1286" ht="16.5" customHeight="1" s="84">
      <c r="A1286" t="inlineStr">
        <is>
          <t>2024-09</t>
        </is>
      </c>
      <c r="B1286" t="inlineStr">
        <is>
          <t>浩源 1.閱覽室丁棟(N戶)水泥管路清理二支(切管方式，高壓水刀清洗) 2.10米高空作業車配合施工 總計$176,000元</t>
        </is>
      </c>
      <c r="C1286" t="n">
        <v>176000</v>
      </c>
      <c r="D1286" t="inlineStr">
        <is>
          <t>工程維修/購置</t>
        </is>
      </c>
      <c r="E1286" t="inlineStr">
        <is>
          <t>非固定</t>
        </is>
      </c>
    </row>
    <row r="1287" ht="15" customHeight="1" s="84">
      <c r="A1287" t="inlineStr">
        <is>
          <t>2024-09</t>
        </is>
      </c>
      <c r="B1287" t="inlineStr">
        <is>
          <t>晴揚氯錠 113.08.29 氯錠(3吋90%20KG) $110*300KG=$33,000元 總計$33,000元</t>
        </is>
      </c>
      <c r="C1287" t="n">
        <v>33000</v>
      </c>
      <c r="D1287" t="inlineStr">
        <is>
          <t>工程維修/購置</t>
        </is>
      </c>
      <c r="E1287" t="inlineStr">
        <is>
          <t>非固定</t>
        </is>
      </c>
    </row>
    <row r="1288" ht="15" customHeight="1" s="84">
      <c r="A1288" t="inlineStr">
        <is>
          <t>2024-09</t>
        </is>
      </c>
      <c r="B1288" t="inlineStr">
        <is>
          <t>振洪工程行-木作施作 閱覽室挑高天花板，管路維修孔切割及恢復$16,000元 總計$16,000元</t>
        </is>
      </c>
      <c r="C1288" t="n">
        <v>16000</v>
      </c>
      <c r="D1288" t="inlineStr">
        <is>
          <t>工程維修/購置</t>
        </is>
      </c>
      <c r="E1288" t="inlineStr">
        <is>
          <t>非固定</t>
        </is>
      </c>
    </row>
    <row r="1289" ht="16.5" customHeight="1" s="84">
      <c r="A1289" t="inlineStr">
        <is>
          <t>2024-09</t>
        </is>
      </c>
      <c r="B1289" t="inlineStr">
        <is>
          <t>E3疏通管路工程 水刀疏通+內視鏡 總計$30,000元</t>
        </is>
      </c>
      <c r="C1289" t="n">
        <v>30000</v>
      </c>
      <c r="D1289" t="inlineStr">
        <is>
          <t>工程維修/購置</t>
        </is>
      </c>
      <c r="E1289" t="inlineStr">
        <is>
          <t>非固定</t>
        </is>
      </c>
    </row>
    <row r="1290" ht="16.5" customHeight="1" s="84">
      <c r="A1290" t="inlineStr">
        <is>
          <t>2024-09</t>
        </is>
      </c>
      <c r="B1290" t="inlineStr">
        <is>
          <t>F2管路漏水 1.文武水電抓漏$8,000元 2.拆除系統櫃+清運$14,175元 3.修理裂掉水管$25,200元 4.公共管道間地板防水及牆面恢復工程$43,050元 5.系統櫃恢復$33,495元(住戶負擔一半，管委會負擔一半)$16,748元 總計$107,173元</t>
        </is>
      </c>
      <c r="C1290" t="n">
        <v>107173</v>
      </c>
      <c r="D1290" t="inlineStr">
        <is>
          <t>工程維修/購置</t>
        </is>
      </c>
      <c r="E1290" t="inlineStr">
        <is>
          <t>非固定</t>
        </is>
      </c>
    </row>
    <row r="1291" ht="16.5" customHeight="1" s="84">
      <c r="A1291" t="inlineStr">
        <is>
          <t>2024-09</t>
        </is>
      </c>
      <c r="B1291" t="inlineStr">
        <is>
          <t>社區電話費(5630533)</t>
        </is>
      </c>
      <c r="C1291" t="n">
        <v>619</v>
      </c>
      <c r="D1291" t="inlineStr">
        <is>
          <t>電話/網路費</t>
        </is>
      </c>
      <c r="E1291" t="inlineStr">
        <is>
          <t>非固定</t>
        </is>
      </c>
    </row>
    <row r="1292" ht="16.5" customHeight="1" s="84">
      <c r="A1292" t="inlineStr">
        <is>
          <t>2024-09</t>
        </is>
      </c>
      <c r="B1292" t="inlineStr">
        <is>
          <t>社區網路費(Y123617)</t>
        </is>
      </c>
      <c r="C1292" t="n">
        <v>1899</v>
      </c>
      <c r="D1292" t="inlineStr">
        <is>
          <t>電話/網路費</t>
        </is>
      </c>
      <c r="E1292" t="inlineStr">
        <is>
          <t>非固定</t>
        </is>
      </c>
    </row>
    <row r="1293" ht="16.5" customHeight="1" s="84">
      <c r="A1293" t="inlineStr">
        <is>
          <t>2024-09</t>
        </is>
      </c>
      <c r="B1293" t="inlineStr">
        <is>
          <t>社區網路費(Y174790)</t>
        </is>
      </c>
      <c r="C1293" t="n">
        <v>1899</v>
      </c>
      <c r="D1293" t="inlineStr">
        <is>
          <t>電話/網路費</t>
        </is>
      </c>
      <c r="E1293" t="inlineStr">
        <is>
          <t>非固定</t>
        </is>
      </c>
    </row>
    <row r="1294" ht="16.5" customHeight="1" s="84">
      <c r="A1294" t="inlineStr">
        <is>
          <t>2024-09</t>
        </is>
      </c>
      <c r="B1294" t="inlineStr">
        <is>
          <t>公共電費</t>
        </is>
      </c>
      <c r="C1294" t="n">
        <v>145608</v>
      </c>
      <c r="D1294" t="inlineStr">
        <is>
          <t>公共水電瓦斯</t>
        </is>
      </c>
      <c r="E1294" t="inlineStr">
        <is>
          <t>非固定</t>
        </is>
      </c>
    </row>
    <row r="1295" ht="16.5" customHeight="1" s="84">
      <c r="A1295" t="inlineStr">
        <is>
          <t>2024-09</t>
        </is>
      </c>
      <c r="B1295" t="inlineStr">
        <is>
          <t>自來水費</t>
        </is>
      </c>
      <c r="C1295" t="n">
        <v>0</v>
      </c>
      <c r="D1295" t="inlineStr">
        <is>
          <t>公共水電瓦斯</t>
        </is>
      </c>
      <c r="E1295" t="inlineStr">
        <is>
          <t>非固定</t>
        </is>
      </c>
    </row>
    <row r="1296" ht="16.5" customHeight="1" s="84">
      <c r="A1296" t="inlineStr">
        <is>
          <t>2024-10</t>
        </is>
      </c>
      <c r="B1296" t="inlineStr">
        <is>
          <t>零用金撥補(113/10) 總計$7,761元</t>
        </is>
      </c>
      <c r="C1296" t="n">
        <v>7761</v>
      </c>
      <c r="E1296" t="inlineStr">
        <is>
          <t>非固定</t>
        </is>
      </c>
    </row>
    <row r="1297" ht="16.5" customHeight="1" s="84">
      <c r="A1297" t="inlineStr">
        <is>
          <t>2024-10</t>
        </is>
      </c>
      <c r="B1297" t="inlineStr">
        <is>
          <t>管委會出席費用(預領) 總計$8,000元</t>
        </is>
      </c>
      <c r="C1297" t="n">
        <v>8000</v>
      </c>
      <c r="E1297" t="inlineStr">
        <is>
          <t>非固定</t>
        </is>
      </c>
    </row>
    <row r="1298" ht="16.5" customHeight="1" s="84">
      <c r="A1298" t="inlineStr">
        <is>
          <t>2024-10</t>
        </is>
      </c>
      <c r="B1298" t="inlineStr">
        <is>
          <t>電梯專用款撥補(113/10) 總計$50,000元</t>
        </is>
      </c>
      <c r="C1298" t="n">
        <v>50000</v>
      </c>
      <c r="E1298" t="inlineStr">
        <is>
          <t>非固定</t>
        </is>
      </c>
    </row>
    <row r="1299" ht="16.5" customHeight="1" s="84">
      <c r="A1299" t="inlineStr">
        <is>
          <t>2024-10</t>
        </is>
      </c>
      <c r="B1299" t="inlineStr">
        <is>
          <t>德懋物業公司(113/10)管理服務費：社區經理乙員，社區秘書乙員，警衛服務人員兩哨$389,550元</t>
        </is>
      </c>
      <c r="C1299" t="n">
        <v>389550</v>
      </c>
      <c r="E1299" t="inlineStr">
        <is>
          <t>固定</t>
        </is>
      </c>
    </row>
    <row r="1300" ht="16.5" customHeight="1" s="84">
      <c r="A1300" t="inlineStr">
        <is>
          <t>2024-10</t>
        </is>
      </c>
      <c r="B1300" t="inlineStr">
        <is>
          <t>順達清潔服務費(113/10) 總計$114,000元</t>
        </is>
      </c>
      <c r="C1300" t="n">
        <v>114000</v>
      </c>
      <c r="E1300" t="inlineStr">
        <is>
          <t>固定</t>
        </is>
      </c>
    </row>
    <row r="1301" ht="16.5" customHeight="1" s="84">
      <c r="A1301" t="inlineStr">
        <is>
          <t>2024-10</t>
        </is>
      </c>
      <c r="B1301" t="inlineStr">
        <is>
          <t>義明清潔服務費(113/10) 總計$114,000元</t>
        </is>
      </c>
      <c r="C1301" t="n">
        <v>114000</v>
      </c>
      <c r="E1301" t="inlineStr">
        <is>
          <t>固定</t>
        </is>
      </c>
    </row>
    <row r="1302" ht="16.5" customHeight="1" s="84">
      <c r="A1302" t="inlineStr">
        <is>
          <t>2024-10</t>
        </is>
      </c>
      <c r="B1302" t="inlineStr">
        <is>
          <t>崇友電梯(113/10)電梯保養 總計$100,000元</t>
        </is>
      </c>
      <c r="C1302" t="n">
        <v>100000</v>
      </c>
      <c r="E1302" t="inlineStr">
        <is>
          <t>固定</t>
        </is>
      </c>
    </row>
    <row r="1303" ht="16.5" customHeight="1" s="84">
      <c r="A1303" t="inlineStr">
        <is>
          <t>2024-10</t>
        </is>
      </c>
      <c r="B1303" t="inlineStr">
        <is>
          <t>AED(113/11)租賃費 總計$1,500元</t>
        </is>
      </c>
      <c r="C1303" t="n">
        <v>1500</v>
      </c>
      <c r="E1303" t="inlineStr">
        <is>
          <t>固定</t>
        </is>
      </c>
    </row>
    <row r="1304" ht="16.5" customHeight="1" s="84">
      <c r="A1304" t="inlineStr">
        <is>
          <t>2024-10</t>
        </is>
      </c>
      <c r="B1304" t="inlineStr">
        <is>
          <t>御品寬頻(113/10)網路服務租賃 總計$9,450元</t>
        </is>
      </c>
      <c r="C1304" t="n">
        <v>9450</v>
      </c>
      <c r="E1304" t="inlineStr">
        <is>
          <t>固定</t>
        </is>
      </c>
    </row>
    <row r="1305" ht="16.5" customHeight="1" s="84">
      <c r="A1305" t="inlineStr">
        <is>
          <t>2024-10</t>
        </is>
      </c>
      <c r="B1305" t="inlineStr">
        <is>
          <t>新鑫堯(113/10) 廢棄物清除$34,000元 清潔費$3,500元 總計$37,500元</t>
        </is>
      </c>
      <c r="C1305" t="n">
        <v>37500</v>
      </c>
      <c r="E1305" t="inlineStr">
        <is>
          <t>固定</t>
        </is>
      </c>
    </row>
    <row r="1306" ht="16.5" customHeight="1" s="84">
      <c r="A1306" t="inlineStr">
        <is>
          <t>2024-10</t>
        </is>
      </c>
      <c r="B1306" t="inlineStr">
        <is>
          <t>太古意門禁維護檢點費(113/10) 總計$10,000元</t>
        </is>
      </c>
      <c r="C1306" t="n">
        <v>10000</v>
      </c>
      <c r="E1306" t="inlineStr">
        <is>
          <t>固定</t>
        </is>
      </c>
    </row>
    <row r="1307" ht="16.5" customHeight="1" s="84">
      <c r="A1307" t="inlineStr">
        <is>
          <t>2024-10</t>
        </is>
      </c>
      <c r="B1307" t="inlineStr">
        <is>
          <t>鑫禾機電保養費(113/10) 總計$28,000元</t>
        </is>
      </c>
      <c r="C1307" t="n">
        <v>28000</v>
      </c>
      <c r="E1307" t="inlineStr">
        <is>
          <t>固定</t>
        </is>
      </c>
    </row>
    <row r="1308" ht="16.5" customHeight="1" s="84">
      <c r="A1308" t="inlineStr">
        <is>
          <t>2024-10</t>
        </is>
      </c>
      <c r="B1308" t="inlineStr">
        <is>
          <t>鑫禾設備修繕 1.LED杯燈$350*6=$2,100元 2.電燈感應器$650元 3.LED球泡燈$110*4=$440元 總計$3,190元</t>
        </is>
      </c>
      <c r="C1308" t="n">
        <v>3190</v>
      </c>
      <c r="E1308" t="inlineStr">
        <is>
          <t>固定</t>
        </is>
      </c>
    </row>
    <row r="1309" ht="16.5" customHeight="1" s="84">
      <c r="A1309" t="inlineStr">
        <is>
          <t>2024-10</t>
        </is>
      </c>
      <c r="B1309" t="inlineStr">
        <is>
          <t>新鑫堯垃圾增桶 9月增桶$650*6=$3,900元 總計$3,900元</t>
        </is>
      </c>
      <c r="C1309" t="n">
        <v>3900</v>
      </c>
      <c r="E1309" t="inlineStr">
        <is>
          <t>非固定</t>
        </is>
      </c>
    </row>
    <row r="1310" ht="16.5" customHeight="1" s="84">
      <c r="A1310" t="inlineStr">
        <is>
          <t>2024-10</t>
        </is>
      </c>
      <c r="B1310" t="inlineStr">
        <is>
          <t>崇友電梯設備維修 丁棟#7 微壓按鈕16F $500元 微壓按鈕DN $500元 總計$1,000元</t>
        </is>
      </c>
      <c r="C1310" t="n">
        <v>1000</v>
      </c>
      <c r="E1310" t="inlineStr">
        <is>
          <t>非固定</t>
        </is>
      </c>
    </row>
    <row r="1311" ht="15" customHeight="1" s="84">
      <c r="A1311" t="inlineStr">
        <is>
          <t>2024-10</t>
        </is>
      </c>
      <c r="B1311" t="inlineStr">
        <is>
          <t>崇友電梯載重測試 CT-011531-002(#2、4、6、7、9) 安檢費$1,200*5=$6,000元 載重測試費$1,500*5=$7,500元 5%稅金$675元 總計$14,175元</t>
        </is>
      </c>
      <c r="C1311" t="n">
        <v>14175</v>
      </c>
      <c r="E1311" t="inlineStr">
        <is>
          <t>非固定</t>
        </is>
      </c>
    </row>
    <row r="1312" ht="16.5" customHeight="1" s="84">
      <c r="A1312" t="inlineStr">
        <is>
          <t>2024-10</t>
        </is>
      </c>
      <c r="B1312" t="inlineStr">
        <is>
          <t>鋐隆清潔用品 113.10.01 1.芳柔環保擦手紙$480*2=$960元 2.小捲衛生紙$480元 3.5%稅金$72元 計$1,512元 113.10.01 1.抽取衛生紙五月花$630元 2.5%稅金$32元 計$662元 總計$2,174元</t>
        </is>
      </c>
      <c r="C1312" t="n">
        <v>2174</v>
      </c>
      <c r="E1312" t="inlineStr">
        <is>
          <t>非固定</t>
        </is>
      </c>
    </row>
    <row r="1313" ht="16.5" customHeight="1" s="84">
      <c r="A1313" t="inlineStr">
        <is>
          <t>2024-10</t>
        </is>
      </c>
      <c r="B1313" t="inlineStr">
        <is>
          <t>夏洛瓦布品傢飾 瑜珈室窗簾修繕 總計$1,575元 零用金代墊</t>
        </is>
      </c>
      <c r="C1313" t="n">
        <v>1575</v>
      </c>
      <c r="E1313" t="inlineStr">
        <is>
          <t>非固定</t>
        </is>
      </c>
    </row>
    <row r="1314" ht="16.5" customHeight="1" s="84">
      <c r="A1314" t="inlineStr">
        <is>
          <t>2024-10</t>
        </is>
      </c>
      <c r="B1314" t="inlineStr">
        <is>
          <t>小陳企業社 B3地下室人孔蓋更換70*70人孔蓋$10,500元 總計$10,500元</t>
        </is>
      </c>
      <c r="C1314" t="n">
        <v>10500</v>
      </c>
      <c r="E1314" t="inlineStr">
        <is>
          <t>非固定</t>
        </is>
      </c>
    </row>
    <row r="1315" ht="16.5" customHeight="1" s="84">
      <c r="A1315" t="inlineStr">
        <is>
          <t>2024-10</t>
        </is>
      </c>
      <c r="B1315" t="inlineStr">
        <is>
          <t>社區電話費(5630533)</t>
        </is>
      </c>
      <c r="C1315" t="n">
        <v>491</v>
      </c>
      <c r="E1315" t="inlineStr">
        <is>
          <t>非固定</t>
        </is>
      </c>
    </row>
    <row r="1316" ht="16.5" customHeight="1" s="84">
      <c r="A1316" t="inlineStr">
        <is>
          <t>2024-10</t>
        </is>
      </c>
      <c r="B1316" t="inlineStr">
        <is>
          <t>社區網路費(Y123617)</t>
        </is>
      </c>
      <c r="C1316" t="n">
        <v>1899</v>
      </c>
      <c r="E1316" t="inlineStr">
        <is>
          <t>非固定</t>
        </is>
      </c>
    </row>
    <row r="1317" ht="16.5" customHeight="1" s="84">
      <c r="A1317" t="inlineStr">
        <is>
          <t>2024-10</t>
        </is>
      </c>
      <c r="B1317" t="inlineStr">
        <is>
          <t>社區網路費(Y174790)</t>
        </is>
      </c>
      <c r="C1317" t="n">
        <v>1899</v>
      </c>
      <c r="E1317" t="inlineStr">
        <is>
          <t>非固定</t>
        </is>
      </c>
    </row>
    <row r="1318" ht="16.5" customHeight="1" s="84">
      <c r="A1318" t="inlineStr">
        <is>
          <t>2024-10</t>
        </is>
      </c>
      <c r="B1318" t="inlineStr">
        <is>
          <t>公共電費</t>
        </is>
      </c>
      <c r="C1318" t="n">
        <v>149403</v>
      </c>
      <c r="E1318" t="inlineStr">
        <is>
          <t>非固定</t>
        </is>
      </c>
    </row>
    <row r="1319" ht="16.5" customHeight="1" s="84">
      <c r="A1319" t="inlineStr">
        <is>
          <t>2024-10</t>
        </is>
      </c>
      <c r="B1319" t="inlineStr">
        <is>
          <t>自來水費</t>
        </is>
      </c>
      <c r="C1319" t="n">
        <v>13964</v>
      </c>
      <c r="E1319" t="inlineStr">
        <is>
          <t>非固定</t>
        </is>
      </c>
    </row>
    <row r="1320" ht="16.5" customHeight="1" s="84">
      <c r="A1320" t="inlineStr">
        <is>
          <t>2024-11</t>
        </is>
      </c>
      <c r="B1320" t="inlineStr">
        <is>
          <t>11月零用金撥補</t>
        </is>
      </c>
      <c r="C1320" t="n">
        <v>13276</v>
      </c>
      <c r="D1320" t="inlineStr">
        <is>
          <t>內部轉帳</t>
        </is>
      </c>
      <c r="E1320" t="inlineStr">
        <is>
          <t>非固定</t>
        </is>
      </c>
    </row>
    <row r="1321" ht="16.5" customHeight="1" s="84">
      <c r="A1321" t="inlineStr">
        <is>
          <t>2024-11</t>
        </is>
      </c>
      <c r="B1321" t="inlineStr">
        <is>
          <t>11月管委會出席費用(預領)</t>
        </is>
      </c>
      <c r="C1321" t="n">
        <v>8000</v>
      </c>
      <c r="D1321" t="inlineStr">
        <is>
          <t>內部轉帳</t>
        </is>
      </c>
      <c r="E1321" t="inlineStr">
        <is>
          <t>非固定</t>
        </is>
      </c>
    </row>
    <row r="1322" ht="16.5" customHeight="1" s="84">
      <c r="A1322" t="inlineStr">
        <is>
          <t>2024-11</t>
        </is>
      </c>
      <c r="B1322" t="inlineStr">
        <is>
          <t>11月電梯專用款撥補</t>
        </is>
      </c>
      <c r="C1322" t="n">
        <v>50000</v>
      </c>
      <c r="D1322" t="inlineStr">
        <is>
          <t>內部轉帳</t>
        </is>
      </c>
      <c r="E1322" t="inlineStr">
        <is>
          <t>非固定</t>
        </is>
      </c>
    </row>
    <row r="1323" ht="16.5" customHeight="1" s="84">
      <c r="A1323" t="inlineStr">
        <is>
          <t>2024-11</t>
        </is>
      </c>
      <c r="B1323" t="inlineStr">
        <is>
          <t>11月誠鷹公寓大廈管理服務費</t>
        </is>
      </c>
      <c r="C1323" t="n">
        <v>119700</v>
      </c>
      <c r="D1323" t="inlineStr">
        <is>
          <t>管理服務費</t>
        </is>
      </c>
      <c r="E1323" t="inlineStr">
        <is>
          <t>固定</t>
        </is>
      </c>
    </row>
    <row r="1324" ht="16.5" customHeight="1" s="84">
      <c r="A1324" t="inlineStr">
        <is>
          <t>2024-11</t>
        </is>
      </c>
      <c r="B1324" t="inlineStr">
        <is>
          <t>11月誠鷹特勤保全服務費</t>
        </is>
      </c>
      <c r="C1324" t="n">
        <v>315000</v>
      </c>
      <c r="D1324" t="inlineStr">
        <is>
          <t>保全服務費</t>
        </is>
      </c>
      <c r="E1324" t="inlineStr">
        <is>
          <t>固定</t>
        </is>
      </c>
    </row>
    <row r="1325" ht="15" customHeight="1" s="84">
      <c r="A1325" t="inlineStr">
        <is>
          <t>2024-11</t>
        </is>
      </c>
      <c r="B1325" t="inlineStr">
        <is>
          <t>11月義明清潔服務費</t>
        </is>
      </c>
      <c r="C1325" t="n">
        <v>114000</v>
      </c>
      <c r="D1325" t="inlineStr">
        <is>
          <t>清潔服務費</t>
        </is>
      </c>
      <c r="E1325" t="inlineStr">
        <is>
          <t>固定</t>
        </is>
      </c>
    </row>
    <row r="1326" ht="16.5" customHeight="1" s="84">
      <c r="A1326" t="inlineStr">
        <is>
          <t>2024-11</t>
        </is>
      </c>
      <c r="B1326" t="inlineStr">
        <is>
          <t>11月順達清潔服務費</t>
        </is>
      </c>
      <c r="C1326" t="n">
        <v>114000</v>
      </c>
      <c r="D1326" t="inlineStr">
        <is>
          <t>清潔服務費</t>
        </is>
      </c>
      <c r="E1326" t="inlineStr">
        <is>
          <t>固定</t>
        </is>
      </c>
    </row>
    <row r="1327" ht="16.5" customHeight="1" s="84">
      <c r="A1327" t="inlineStr">
        <is>
          <t>2024-11</t>
        </is>
      </c>
      <c r="B1327" t="inlineStr">
        <is>
          <t>11月崇友電梯保養費</t>
        </is>
      </c>
      <c r="C1327" t="n">
        <v>100000</v>
      </c>
      <c r="D1327" t="inlineStr">
        <is>
          <t>電梯保養與修繕</t>
        </is>
      </c>
      <c r="E1327" t="inlineStr">
        <is>
          <t>固定</t>
        </is>
      </c>
    </row>
    <row r="1328" ht="16.5" customHeight="1" s="84">
      <c r="A1328" t="inlineStr">
        <is>
          <t>2024-11</t>
        </is>
      </c>
      <c r="B1328" t="inlineStr">
        <is>
          <t>11月崇友電梯維修費</t>
        </is>
      </c>
      <c r="C1328" t="n">
        <v>3200</v>
      </c>
      <c r="D1328" t="inlineStr">
        <is>
          <t>電梯保養與修繕</t>
        </is>
      </c>
      <c r="E1328" t="inlineStr">
        <is>
          <t>非固定</t>
        </is>
      </c>
      <c r="F1328" t="inlineStr">
        <is>
          <t>電梯</t>
        </is>
      </c>
    </row>
    <row r="1329" ht="16.5" customHeight="1" s="84">
      <c r="A1329" t="inlineStr">
        <is>
          <t>2024-11</t>
        </is>
      </c>
      <c r="B1329" t="inlineStr">
        <is>
          <t>11月鑫禾機電保養費</t>
        </is>
      </c>
      <c r="C1329" t="n">
        <v>28000</v>
      </c>
      <c r="D1329" t="inlineStr">
        <is>
          <t>機電/消防/弱電/AED</t>
        </is>
      </c>
      <c r="E1329" t="inlineStr">
        <is>
          <t>固定</t>
        </is>
      </c>
    </row>
    <row r="1330" ht="16.5" customHeight="1" s="84">
      <c r="A1330" t="inlineStr">
        <is>
          <t>2024-11</t>
        </is>
      </c>
      <c r="B1330" t="inlineStr">
        <is>
          <t>11月鑫禾機電維修費</t>
        </is>
      </c>
      <c r="C1330" t="n">
        <v>8000</v>
      </c>
      <c r="D1330" t="inlineStr">
        <is>
          <t>機電/消防/弱電/AED</t>
        </is>
      </c>
      <c r="E1330" t="inlineStr">
        <is>
          <t>非固定</t>
        </is>
      </c>
    </row>
    <row r="1331" ht="16.5" customHeight="1" s="84">
      <c r="A1331" t="inlineStr">
        <is>
          <t>2024-11</t>
        </is>
      </c>
      <c r="B1331" t="inlineStr">
        <is>
          <t>11月太古意弱電保養費</t>
        </is>
      </c>
      <c r="C1331" t="n">
        <v>10000</v>
      </c>
      <c r="D1331" t="inlineStr">
        <is>
          <t>機電/消防/弱電/AED</t>
        </is>
      </c>
      <c r="E1331" t="inlineStr">
        <is>
          <t>固定</t>
        </is>
      </c>
    </row>
    <row r="1332" ht="16.5" customHeight="1" s="84">
      <c r="A1332" t="inlineStr">
        <is>
          <t>2024-11</t>
        </is>
      </c>
      <c r="B1332" t="inlineStr">
        <is>
          <t>11月御品網路保養費</t>
        </is>
      </c>
      <c r="C1332" t="n">
        <v>9450</v>
      </c>
      <c r="D1332" t="inlineStr">
        <is>
          <t>機電/消防/弱電/AED</t>
        </is>
      </c>
      <c r="E1332" t="inlineStr">
        <is>
          <t>固定</t>
        </is>
      </c>
    </row>
    <row r="1333" ht="16.5" customHeight="1" s="84">
      <c r="A1333" t="inlineStr">
        <is>
          <t>2024-11</t>
        </is>
      </c>
      <c r="B1333" t="inlineStr">
        <is>
          <t>12月新光電通AED設備月租費</t>
        </is>
      </c>
      <c r="C1333" t="n">
        <v>1500</v>
      </c>
      <c r="D1333" t="inlineStr">
        <is>
          <t>機電/消防/弱電/AED</t>
        </is>
      </c>
      <c r="E1333" t="inlineStr">
        <is>
          <t>固定</t>
        </is>
      </c>
    </row>
    <row r="1334" ht="16.5" customHeight="1" s="84">
      <c r="A1334" t="inlineStr">
        <is>
          <t>2024-11</t>
        </is>
      </c>
      <c r="B1334" t="inlineStr">
        <is>
          <t>11月富賀村園藝景觀修剪維護費</t>
        </is>
      </c>
      <c r="C1334" t="n">
        <v>33000</v>
      </c>
      <c r="D1334" t="inlineStr">
        <is>
          <t>垃圾廢棄物/園藝</t>
        </is>
      </c>
      <c r="E1334" t="inlineStr">
        <is>
          <t>非固定</t>
        </is>
      </c>
    </row>
    <row r="1335" ht="16.5" customHeight="1" s="84">
      <c r="A1335" t="inlineStr">
        <is>
          <t>2024-11</t>
        </is>
      </c>
      <c r="B1335" t="inlineStr">
        <is>
          <t>11月新鑫堯垃圾廢棄物處理費</t>
        </is>
      </c>
      <c r="C1335" t="n">
        <v>37500</v>
      </c>
      <c r="D1335" t="inlineStr">
        <is>
          <t>垃圾廢棄物/園藝</t>
        </is>
      </c>
      <c r="E1335" t="inlineStr">
        <is>
          <t>固定</t>
        </is>
      </c>
    </row>
    <row r="1336" ht="16.5" customHeight="1" s="84">
      <c r="A1336" t="inlineStr">
        <is>
          <t>2024-11</t>
        </is>
      </c>
      <c r="B1336" t="inlineStr">
        <is>
          <t>鋐隆社區清潔用品耗材*2箱</t>
        </is>
      </c>
      <c r="C1336" t="n">
        <v>1008</v>
      </c>
      <c r="D1336" t="inlineStr">
        <is>
          <t>清潔服務費</t>
        </is>
      </c>
      <c r="E1336" t="inlineStr">
        <is>
          <t>非固定</t>
        </is>
      </c>
    </row>
    <row r="1337" ht="15" customHeight="1" s="84">
      <c r="A1337" t="inlineStr">
        <is>
          <t>2024-11</t>
        </is>
      </c>
      <c r="B1337" t="inlineStr">
        <is>
          <t>社區網路費(Y123617)</t>
        </is>
      </c>
      <c r="C1337" t="n">
        <v>1899</v>
      </c>
      <c r="D1337" t="inlineStr">
        <is>
          <t>電話/網路費</t>
        </is>
      </c>
      <c r="E1337" t="inlineStr">
        <is>
          <t>非固定</t>
        </is>
      </c>
    </row>
    <row r="1338" ht="16.5" customHeight="1" s="84">
      <c r="A1338" t="inlineStr">
        <is>
          <t>2024-11</t>
        </is>
      </c>
      <c r="B1338" t="inlineStr">
        <is>
          <t>社區網路費(Y174790)</t>
        </is>
      </c>
      <c r="C1338" t="n">
        <v>1899</v>
      </c>
      <c r="D1338" t="inlineStr">
        <is>
          <t>電話/網路費</t>
        </is>
      </c>
      <c r="E1338" t="inlineStr">
        <is>
          <t>非固定</t>
        </is>
      </c>
    </row>
    <row r="1339" ht="16.5" customHeight="1" s="84">
      <c r="A1339" t="inlineStr">
        <is>
          <t>2024-11</t>
        </is>
      </c>
      <c r="B1339" t="inlineStr">
        <is>
          <t>社區電話費(5630533)</t>
        </is>
      </c>
      <c r="C1339" t="n">
        <v>416</v>
      </c>
      <c r="D1339" t="inlineStr">
        <is>
          <t>電話/網路費</t>
        </is>
      </c>
      <c r="E1339" t="inlineStr">
        <is>
          <t>非固定</t>
        </is>
      </c>
    </row>
    <row r="1340" ht="16.5" customHeight="1" s="84">
      <c r="A1340" t="inlineStr">
        <is>
          <t>2024-11</t>
        </is>
      </c>
      <c r="B1340" t="inlineStr">
        <is>
          <t>10月公共電費</t>
        </is>
      </c>
      <c r="C1340" t="n">
        <v>120004</v>
      </c>
      <c r="D1340" t="inlineStr">
        <is>
          <t>公共水電瓦斯</t>
        </is>
      </c>
      <c r="E1340" t="inlineStr">
        <is>
          <t>非固定</t>
        </is>
      </c>
    </row>
    <row r="1341" ht="16.5" customHeight="1" s="84">
      <c r="A1341" t="inlineStr">
        <is>
          <t>2024-11</t>
        </is>
      </c>
      <c r="B1341" t="inlineStr">
        <is>
          <t>11月公共電費</t>
        </is>
      </c>
      <c r="C1341" t="n">
        <v>107929</v>
      </c>
      <c r="D1341" t="inlineStr">
        <is>
          <t>公共水電瓦斯</t>
        </is>
      </c>
      <c r="E1341" t="inlineStr">
        <is>
          <t>非固定</t>
        </is>
      </c>
    </row>
    <row r="1342" ht="16.5" customHeight="1" s="84">
      <c r="A1342" t="inlineStr">
        <is>
          <t>2024-11</t>
        </is>
      </c>
      <c r="B1342" t="inlineStr">
        <is>
          <t>自來水費</t>
        </is>
      </c>
      <c r="C1342" t="n">
        <v>0</v>
      </c>
      <c r="D1342" t="inlineStr">
        <is>
          <t>公共水電瓦斯</t>
        </is>
      </c>
      <c r="E1342" t="inlineStr">
        <is>
          <t>非固定</t>
        </is>
      </c>
    </row>
    <row r="1343" ht="16.5" customHeight="1" s="84">
      <c r="A1343" t="inlineStr">
        <is>
          <t>2024-12</t>
        </is>
      </c>
      <c r="B1343" t="inlineStr">
        <is>
          <t>12月零用金撥補</t>
        </is>
      </c>
      <c r="C1343" t="n">
        <v>4161</v>
      </c>
      <c r="D1343" t="inlineStr">
        <is>
          <t>內部轉帳</t>
        </is>
      </c>
      <c r="E1343" t="inlineStr">
        <is>
          <t>非固定</t>
        </is>
      </c>
    </row>
    <row r="1344" ht="16.5" customHeight="1" s="84">
      <c r="A1344" t="inlineStr">
        <is>
          <t>2024-12</t>
        </is>
      </c>
      <c r="B1344" t="inlineStr">
        <is>
          <t>12月管委會出席費用（預領）</t>
        </is>
      </c>
      <c r="C1344" t="n">
        <v>8000</v>
      </c>
      <c r="D1344" t="inlineStr">
        <is>
          <t>內部轉帳</t>
        </is>
      </c>
      <c r="E1344" t="inlineStr">
        <is>
          <t>非固定</t>
        </is>
      </c>
    </row>
    <row r="1345" ht="16.5" customHeight="1" s="84">
      <c r="A1345" t="inlineStr">
        <is>
          <t>2024-12</t>
        </is>
      </c>
      <c r="B1345" t="inlineStr">
        <is>
          <t>12月崇友電梯保養費</t>
        </is>
      </c>
      <c r="C1345" t="n">
        <v>100000</v>
      </c>
      <c r="D1345" t="inlineStr">
        <is>
          <t>電梯保養與修繕</t>
        </is>
      </c>
      <c r="E1345" t="inlineStr">
        <is>
          <t>固定</t>
        </is>
      </c>
    </row>
    <row r="1346" ht="16.5" customHeight="1" s="84">
      <c r="A1346" t="inlineStr">
        <is>
          <t>2024-12</t>
        </is>
      </c>
      <c r="B1346" t="inlineStr">
        <is>
          <t>12月誠鷹公寓大廈管理服務費</t>
        </is>
      </c>
      <c r="C1346" t="n">
        <v>119700</v>
      </c>
      <c r="D1346" t="inlineStr">
        <is>
          <t>管理服務費</t>
        </is>
      </c>
      <c r="E1346" t="inlineStr">
        <is>
          <t>固定</t>
        </is>
      </c>
    </row>
    <row r="1347" ht="16.5" customHeight="1" s="84">
      <c r="A1347" t="inlineStr">
        <is>
          <t>2024-12</t>
        </is>
      </c>
      <c r="B1347" t="inlineStr">
        <is>
          <t>12月誠鷹特勤保全服務費</t>
        </is>
      </c>
      <c r="C1347" t="n">
        <v>315000</v>
      </c>
      <c r="D1347" t="inlineStr">
        <is>
          <t>保全服務費</t>
        </is>
      </c>
      <c r="E1347" t="inlineStr">
        <is>
          <t>固定</t>
        </is>
      </c>
    </row>
    <row r="1348" ht="16.5" customHeight="1" s="84">
      <c r="A1348" t="inlineStr">
        <is>
          <t>2024-12</t>
        </is>
      </c>
      <c r="B1348" t="inlineStr">
        <is>
          <t>12月義明清潔服務費</t>
        </is>
      </c>
      <c r="C1348" t="n">
        <v>123000</v>
      </c>
      <c r="D1348" t="inlineStr">
        <is>
          <t>清潔服務費</t>
        </is>
      </c>
      <c r="E1348" t="inlineStr">
        <is>
          <t>固定</t>
        </is>
      </c>
    </row>
    <row r="1349" ht="16.5" customHeight="1" s="84">
      <c r="A1349" t="inlineStr">
        <is>
          <t>2024-12</t>
        </is>
      </c>
      <c r="B1349" t="inlineStr">
        <is>
          <t>12月順達清潔服務費</t>
        </is>
      </c>
      <c r="C1349" t="n">
        <v>123000</v>
      </c>
      <c r="D1349" t="inlineStr">
        <is>
          <t>清潔服務費</t>
        </is>
      </c>
      <c r="E1349" t="inlineStr">
        <is>
          <t>固定</t>
        </is>
      </c>
    </row>
    <row r="1350" ht="15" customHeight="1" s="84">
      <c r="A1350" t="inlineStr">
        <is>
          <t>2024-12</t>
        </is>
      </c>
      <c r="B1350" t="inlineStr">
        <is>
          <t>12月鑫禾機電保養費</t>
        </is>
      </c>
      <c r="C1350" t="n">
        <v>28000</v>
      </c>
      <c r="D1350" t="inlineStr">
        <is>
          <t>機電/消防/弱電/AED</t>
        </is>
      </c>
      <c r="E1350" t="inlineStr">
        <is>
          <t>固定</t>
        </is>
      </c>
    </row>
    <row r="1351" ht="16.5" customHeight="1" s="84">
      <c r="A1351" t="inlineStr">
        <is>
          <t>2024-12</t>
        </is>
      </c>
      <c r="B1351" t="inlineStr">
        <is>
          <t>12月太古意弱電保養費</t>
        </is>
      </c>
      <c r="C1351" t="n">
        <v>10000</v>
      </c>
      <c r="D1351" t="inlineStr">
        <is>
          <t>機電/消防/弱電/AED</t>
        </is>
      </c>
      <c r="E1351" t="inlineStr">
        <is>
          <t>固定</t>
        </is>
      </c>
    </row>
    <row r="1352" ht="16.5" customHeight="1" s="84">
      <c r="A1352" t="inlineStr">
        <is>
          <t>2024-12</t>
        </is>
      </c>
      <c r="B1352" t="inlineStr">
        <is>
          <t>12月御品網路保養費</t>
        </is>
      </c>
      <c r="C1352" t="n">
        <v>9450</v>
      </c>
      <c r="D1352" t="inlineStr">
        <is>
          <t>機電/消防/弱電/AED</t>
        </is>
      </c>
      <c r="E1352" t="inlineStr">
        <is>
          <t>固定</t>
        </is>
      </c>
    </row>
    <row r="1353" ht="16.5" customHeight="1" s="84">
      <c r="A1353" t="inlineStr">
        <is>
          <t>2024-12</t>
        </is>
      </c>
      <c r="B1353" t="inlineStr">
        <is>
          <t>1月新光電通AED設備月租費</t>
        </is>
      </c>
      <c r="C1353" t="n">
        <v>1500</v>
      </c>
      <c r="D1353" t="inlineStr">
        <is>
          <t>機電/消防/弱電/AED</t>
        </is>
      </c>
      <c r="E1353" t="inlineStr">
        <is>
          <t>固定</t>
        </is>
      </c>
    </row>
    <row r="1354" ht="16.5" customHeight="1" s="84">
      <c r="A1354" t="inlineStr">
        <is>
          <t>2024-12</t>
        </is>
      </c>
      <c r="B1354" t="inlineStr">
        <is>
          <t>12月新鑫堯垃圾廢棄物處理費</t>
        </is>
      </c>
      <c r="C1354" t="n">
        <v>37500</v>
      </c>
      <c r="D1354" t="inlineStr">
        <is>
          <t>垃圾廢棄物/園藝</t>
        </is>
      </c>
      <c r="E1354" t="inlineStr">
        <is>
          <t>固定</t>
        </is>
      </c>
    </row>
    <row r="1355" ht="16.5" customHeight="1" s="84">
      <c r="A1355" t="inlineStr">
        <is>
          <t>2024-12</t>
        </is>
      </c>
      <c r="B1355" t="inlineStr">
        <is>
          <t>富賀村園藝景觀修剪維護費(2個月/次)</t>
        </is>
      </c>
      <c r="C1355" t="n">
        <v>0</v>
      </c>
      <c r="D1355" t="inlineStr">
        <is>
          <t>垃圾廢棄物/園藝</t>
        </is>
      </c>
      <c r="E1355" t="inlineStr">
        <is>
          <t>固定</t>
        </is>
      </c>
    </row>
    <row r="1356" ht="16.5" customHeight="1" s="84">
      <c r="A1356" t="inlineStr">
        <is>
          <t>2024-12</t>
        </is>
      </c>
      <c r="B1356" t="inlineStr">
        <is>
          <t>鋐隆社區清潔用品耗材</t>
        </is>
      </c>
      <c r="C1356" t="n">
        <v>1922</v>
      </c>
      <c r="D1356" t="inlineStr">
        <is>
          <t>清潔服務費</t>
        </is>
      </c>
      <c r="E1356" t="inlineStr">
        <is>
          <t>非固定</t>
        </is>
      </c>
    </row>
    <row r="1357" ht="16.5" customHeight="1" s="84">
      <c r="A1357" t="inlineStr">
        <is>
          <t>2024-12</t>
        </is>
      </c>
      <c r="B1357" t="inlineStr">
        <is>
          <t>12月鑫禾機電修繕費</t>
        </is>
      </c>
      <c r="C1357" t="n">
        <v>11990</v>
      </c>
      <c r="D1357" t="inlineStr">
        <is>
          <t>機電/消防/弱電/AED</t>
        </is>
      </c>
      <c r="E1357" t="inlineStr">
        <is>
          <t>非固定</t>
        </is>
      </c>
    </row>
    <row r="1358" ht="16.5" customHeight="1" s="84">
      <c r="A1358" t="inlineStr">
        <is>
          <t>2024-12</t>
        </is>
      </c>
      <c r="B1358" t="inlineStr">
        <is>
          <t>11月新鑫堯垃圾廢棄物處理費，超額9.5桶</t>
        </is>
      </c>
      <c r="C1358" t="n">
        <v>6175</v>
      </c>
      <c r="D1358" t="inlineStr">
        <is>
          <t>垃圾廢棄物/園藝</t>
        </is>
      </c>
      <c r="E1358" t="inlineStr">
        <is>
          <t>非固定</t>
        </is>
      </c>
    </row>
    <row r="1359" ht="16.5" customHeight="1" s="84">
      <c r="A1359" t="inlineStr">
        <is>
          <t>2024-12</t>
        </is>
      </c>
      <c r="B1359" t="inlineStr">
        <is>
          <t>乙棟BWT過濾器彈簧、主機板、電磁閥故障更新</t>
        </is>
      </c>
      <c r="C1359" t="n">
        <v>8500</v>
      </c>
      <c r="D1359" t="inlineStr">
        <is>
          <t>其他支出</t>
        </is>
      </c>
      <c r="E1359" t="inlineStr">
        <is>
          <t>非固定</t>
        </is>
      </c>
    </row>
    <row r="1360" ht="16.5" customHeight="1" s="84">
      <c r="A1360" t="inlineStr">
        <is>
          <t>2024-12</t>
        </is>
      </c>
      <c r="B1360" t="inlineStr">
        <is>
          <t>晴揚氯錠(3吋90%20KG*15桶) 110*300KG</t>
        </is>
      </c>
      <c r="C1360" t="n">
        <v>33000</v>
      </c>
      <c r="D1360" t="inlineStr">
        <is>
          <t>工程維修/購置</t>
        </is>
      </c>
      <c r="E1360" t="inlineStr">
        <is>
          <t>非固定</t>
        </is>
      </c>
    </row>
    <row r="1361" ht="16.5" customHeight="1" s="84">
      <c r="A1361" t="inlineStr">
        <is>
          <t>2024-12</t>
        </is>
      </c>
      <c r="B1361" t="inlineStr">
        <is>
          <t>B3地下室187車位旁人孔蓋破損更新</t>
        </is>
      </c>
      <c r="C1361" t="n">
        <v>18500</v>
      </c>
      <c r="D1361" t="inlineStr">
        <is>
          <t>其他支出</t>
        </is>
      </c>
      <c r="E1361" t="inlineStr">
        <is>
          <t>非固定</t>
        </is>
      </c>
    </row>
    <row r="1362" ht="15" customHeight="1" s="84">
      <c r="A1362" t="inlineStr">
        <is>
          <t>2024-12</t>
        </is>
      </c>
      <c r="B1362" t="inlineStr">
        <is>
          <t>消防水帶過期更新424條</t>
        </is>
      </c>
      <c r="C1362" t="n">
        <v>416000</v>
      </c>
      <c r="D1362" t="inlineStr">
        <is>
          <t>機電/消防/弱電/AED</t>
        </is>
      </c>
      <c r="E1362" t="inlineStr">
        <is>
          <t>非固定</t>
        </is>
      </c>
    </row>
    <row r="1363" ht="16.5" customHeight="1" s="84">
      <c r="A1363" t="inlineStr">
        <is>
          <t>2024-12</t>
        </is>
      </c>
      <c r="B1363" t="inlineStr">
        <is>
          <t>丁棟RF防火門地鉸練/喇叭鎖、乙棟B3F梯廳門門弓器故障更新</t>
        </is>
      </c>
      <c r="C1363" t="n">
        <v>8925</v>
      </c>
      <c r="D1363" t="inlineStr">
        <is>
          <t>其他支出</t>
        </is>
      </c>
      <c r="E1363" t="inlineStr">
        <is>
          <t>非固定</t>
        </is>
      </c>
    </row>
    <row r="1364" ht="16.5" customHeight="1" s="84">
      <c r="A1364" t="inlineStr">
        <is>
          <t>2024-12</t>
        </is>
      </c>
      <c r="B1364" t="inlineStr">
        <is>
          <t>社區電話費(5630533)</t>
        </is>
      </c>
      <c r="C1364" t="n">
        <v>947</v>
      </c>
      <c r="D1364" t="inlineStr">
        <is>
          <t>電話/網路費</t>
        </is>
      </c>
      <c r="E1364" t="inlineStr">
        <is>
          <t>非固定</t>
        </is>
      </c>
    </row>
    <row r="1365" ht="16.5" customHeight="1" s="84">
      <c r="A1365" t="inlineStr">
        <is>
          <t>2024-12</t>
        </is>
      </c>
      <c r="B1365" t="inlineStr">
        <is>
          <t>社區網路費(Y123617)</t>
        </is>
      </c>
      <c r="C1365" t="n">
        <v>1899</v>
      </c>
      <c r="D1365" t="inlineStr">
        <is>
          <t>電話/網路費</t>
        </is>
      </c>
      <c r="E1365" t="inlineStr">
        <is>
          <t>非固定</t>
        </is>
      </c>
    </row>
    <row r="1366" ht="16.5" customHeight="1" s="84">
      <c r="A1366" t="inlineStr">
        <is>
          <t>2024-12</t>
        </is>
      </c>
      <c r="B1366" t="inlineStr">
        <is>
          <t>社區網路費(Y174790)</t>
        </is>
      </c>
      <c r="C1366" t="n">
        <v>1899</v>
      </c>
      <c r="D1366" t="inlineStr">
        <is>
          <t>電話/網路費</t>
        </is>
      </c>
      <c r="E1366" t="inlineStr">
        <is>
          <t>非固定</t>
        </is>
      </c>
    </row>
    <row r="1367" ht="15" customHeight="1" s="84">
      <c r="A1367" t="inlineStr">
        <is>
          <t>2024-12</t>
        </is>
      </c>
      <c r="B1367" t="inlineStr">
        <is>
          <t>12月公共電費</t>
        </is>
      </c>
      <c r="C1367" t="n">
        <v>97375</v>
      </c>
      <c r="D1367" t="inlineStr">
        <is>
          <t>公共水電瓦斯</t>
        </is>
      </c>
      <c r="E1367" t="inlineStr">
        <is>
          <t>非固定</t>
        </is>
      </c>
    </row>
    <row r="1368" ht="16.5" customHeight="1" s="84">
      <c r="A1368" t="inlineStr">
        <is>
          <t>2024-12</t>
        </is>
      </c>
      <c r="B1368" t="inlineStr">
        <is>
          <t>自來水費</t>
        </is>
      </c>
      <c r="C1368" t="n">
        <v>13635</v>
      </c>
      <c r="D1368" t="inlineStr">
        <is>
          <t>公共水電瓦斯</t>
        </is>
      </c>
      <c r="E1368" t="inlineStr">
        <is>
          <t>非固定</t>
        </is>
      </c>
    </row>
    <row r="1369" ht="16.5" customHeight="1" s="84">
      <c r="A1369" t="inlineStr">
        <is>
          <t>2025-01</t>
        </is>
      </c>
      <c r="B1369" t="inlineStr">
        <is>
          <t>1月零用金撥補</t>
        </is>
      </c>
      <c r="C1369" t="n">
        <v>15633</v>
      </c>
      <c r="D1369" t="inlineStr">
        <is>
          <t>內部轉帳</t>
        </is>
      </c>
      <c r="E1369" t="inlineStr">
        <is>
          <t>非固定</t>
        </is>
      </c>
    </row>
    <row r="1370" ht="16.5" customHeight="1" s="84">
      <c r="A1370" t="inlineStr">
        <is>
          <t>2025-01</t>
        </is>
      </c>
      <c r="B1370" t="inlineStr">
        <is>
          <t>1月管委會出席費用（預領）</t>
        </is>
      </c>
      <c r="C1370" t="n">
        <v>8000</v>
      </c>
      <c r="D1370" t="inlineStr">
        <is>
          <t>內部轉帳</t>
        </is>
      </c>
      <c r="E1370" t="inlineStr">
        <is>
          <t>非固定</t>
        </is>
      </c>
    </row>
    <row r="1371" ht="16.5" customHeight="1" s="84">
      <c r="A1371" t="inlineStr">
        <is>
          <t>2025-01</t>
        </is>
      </c>
      <c r="B1371" t="inlineStr">
        <is>
          <t>12月電梯專用款撥補（每月固定撥補至電梯專用帳戶） 1月電梯專用款撥補（每月固定撥補至電梯專用帳戶）</t>
        </is>
      </c>
      <c r="C1371" t="n">
        <v>100000</v>
      </c>
      <c r="D1371" t="inlineStr">
        <is>
          <t>內部轉帳</t>
        </is>
      </c>
      <c r="E1371" t="inlineStr">
        <is>
          <t>非固定</t>
        </is>
      </c>
    </row>
    <row r="1372" ht="16.5" customHeight="1" s="84">
      <c r="A1372" t="inlineStr">
        <is>
          <t>2025-01</t>
        </is>
      </c>
      <c r="B1372" t="inlineStr">
        <is>
          <t>1月崇友電梯保養費</t>
        </is>
      </c>
      <c r="C1372" t="n">
        <v>100000</v>
      </c>
      <c r="D1372" t="inlineStr">
        <is>
          <t>電梯保養與修繕</t>
        </is>
      </c>
      <c r="E1372" t="inlineStr">
        <is>
          <t>固定</t>
        </is>
      </c>
    </row>
    <row r="1373" ht="16.5" customHeight="1" s="84">
      <c r="A1373" t="inlineStr">
        <is>
          <t>2025-01</t>
        </is>
      </c>
      <c r="B1373" t="inlineStr">
        <is>
          <t>1月誠鷹公寓大廈管理服務費</t>
        </is>
      </c>
      <c r="C1373" t="n">
        <v>119700</v>
      </c>
      <c r="D1373" t="inlineStr">
        <is>
          <t>管理服務費</t>
        </is>
      </c>
      <c r="E1373" t="inlineStr">
        <is>
          <t>固定</t>
        </is>
      </c>
    </row>
    <row r="1374" ht="16.5" customHeight="1" s="84">
      <c r="A1374" t="inlineStr">
        <is>
          <t>2025-01</t>
        </is>
      </c>
      <c r="B1374" t="inlineStr">
        <is>
          <t>1月誠鷹特勤保全服務費</t>
        </is>
      </c>
      <c r="C1374" t="n">
        <v>315000</v>
      </c>
      <c r="D1374" t="inlineStr">
        <is>
          <t>保全服務費</t>
        </is>
      </c>
      <c r="E1374" t="inlineStr">
        <is>
          <t>固定</t>
        </is>
      </c>
    </row>
    <row r="1375" ht="16.5" customHeight="1" s="84">
      <c r="A1375" t="inlineStr">
        <is>
          <t>2025-01</t>
        </is>
      </c>
      <c r="B1375" t="inlineStr">
        <is>
          <t>1月義明清潔服務費</t>
        </is>
      </c>
      <c r="C1375" t="n">
        <v>123000</v>
      </c>
      <c r="D1375" t="inlineStr">
        <is>
          <t>清潔服務費</t>
        </is>
      </c>
      <c r="E1375" t="inlineStr">
        <is>
          <t>固定</t>
        </is>
      </c>
    </row>
    <row r="1376" ht="16.5" customHeight="1" s="84">
      <c r="A1376" t="inlineStr">
        <is>
          <t>2025-01</t>
        </is>
      </c>
      <c r="B1376" t="inlineStr">
        <is>
          <t>1月順達清潔服務費</t>
        </is>
      </c>
      <c r="C1376" t="n">
        <v>123000</v>
      </c>
      <c r="D1376" t="inlineStr">
        <is>
          <t>清潔服務費</t>
        </is>
      </c>
      <c r="E1376" t="inlineStr">
        <is>
          <t>固定</t>
        </is>
      </c>
    </row>
    <row r="1377" ht="16.5" customHeight="1" s="84">
      <c r="A1377" t="inlineStr">
        <is>
          <t>2025-01</t>
        </is>
      </c>
      <c r="B1377" t="inlineStr">
        <is>
          <t>1月長樂機電保養費</t>
        </is>
      </c>
      <c r="C1377" t="n">
        <v>25200</v>
      </c>
      <c r="D1377" t="inlineStr">
        <is>
          <t>機電/消防/弱電/AED</t>
        </is>
      </c>
      <c r="E1377" t="inlineStr">
        <is>
          <t>固定</t>
        </is>
      </c>
    </row>
    <row r="1378" ht="16.5" customHeight="1" s="84">
      <c r="A1378" t="inlineStr">
        <is>
          <t>2025-01</t>
        </is>
      </c>
      <c r="B1378" t="inlineStr">
        <is>
          <t>1月太古意弱電保養費</t>
        </is>
      </c>
      <c r="C1378" t="n">
        <v>10000</v>
      </c>
      <c r="D1378" t="inlineStr">
        <is>
          <t>機電/消防/弱電/AED</t>
        </is>
      </c>
      <c r="E1378" t="inlineStr">
        <is>
          <t>固定</t>
        </is>
      </c>
    </row>
    <row r="1379" ht="16.5" customHeight="1" s="84">
      <c r="A1379" t="inlineStr">
        <is>
          <t>2025-01</t>
        </is>
      </c>
      <c r="B1379" t="inlineStr">
        <is>
          <t>1月新鑫堯垃圾廢棄物處理費</t>
        </is>
      </c>
      <c r="C1379" t="n">
        <v>37500</v>
      </c>
      <c r="D1379" t="inlineStr">
        <is>
          <t>垃圾廢棄物/園藝</t>
        </is>
      </c>
      <c r="E1379" t="inlineStr">
        <is>
          <t>固定</t>
        </is>
      </c>
    </row>
    <row r="1380" ht="16.5" customHeight="1" s="84">
      <c r="A1380" t="inlineStr">
        <is>
          <t>2025-01</t>
        </is>
      </c>
      <c r="B1380" t="inlineStr">
        <is>
          <t>祐順加油站添加柴油450公升</t>
        </is>
      </c>
      <c r="C1380" t="n">
        <v>13600</v>
      </c>
      <c r="D1380" t="inlineStr">
        <is>
          <t>垃圾廢棄物/園藝</t>
        </is>
      </c>
      <c r="E1380" t="inlineStr">
        <is>
          <t>非固定</t>
        </is>
      </c>
    </row>
    <row r="1381" ht="16.5" customHeight="1" s="84">
      <c r="A1381" t="inlineStr">
        <is>
          <t>2025-01</t>
        </is>
      </c>
      <c r="B1381" t="inlineStr">
        <is>
          <t>崇友電梯安檢費</t>
        </is>
      </c>
      <c r="C1381" t="n">
        <v>14175</v>
      </c>
      <c r="D1381" t="inlineStr">
        <is>
          <t>電梯保養與修繕</t>
        </is>
      </c>
      <c r="E1381" t="inlineStr">
        <is>
          <t>非固定</t>
        </is>
      </c>
      <c r="F1381" t="inlineStr">
        <is>
          <t>電梯</t>
        </is>
      </c>
    </row>
    <row r="1382" ht="15" customHeight="1" s="84">
      <c r="A1382" t="inlineStr">
        <is>
          <t>2025-01</t>
        </is>
      </c>
      <c r="B1382" t="inlineStr">
        <is>
          <t>1月鑫禾機電設備修繕費</t>
        </is>
      </c>
      <c r="C1382" t="n">
        <v>10899</v>
      </c>
      <c r="D1382" t="inlineStr">
        <is>
          <t>機電/消防/弱電/AED</t>
        </is>
      </c>
      <c r="E1382" t="inlineStr">
        <is>
          <t>非固定</t>
        </is>
      </c>
    </row>
    <row r="1383" ht="16.5" customHeight="1" s="84">
      <c r="A1383" t="inlineStr">
        <is>
          <t>2025-01</t>
        </is>
      </c>
      <c r="B1383" t="inlineStr">
        <is>
          <t>1月鑫禾機電消防工程檢修費</t>
        </is>
      </c>
      <c r="C1383" t="n">
        <v>88736</v>
      </c>
      <c r="D1383" t="inlineStr">
        <is>
          <t>機電/消防/弱電/AED</t>
        </is>
      </c>
      <c r="E1383" t="inlineStr">
        <is>
          <t>非固定</t>
        </is>
      </c>
    </row>
    <row r="1384" ht="16.5" customHeight="1" s="84">
      <c r="A1384" t="inlineStr">
        <is>
          <t>2025-01</t>
        </is>
      </c>
      <c r="B1384" t="inlineStr">
        <is>
          <t>1月長樂機電修繕費</t>
        </is>
      </c>
      <c r="C1384" t="n">
        <v>2237</v>
      </c>
      <c r="D1384" t="inlineStr">
        <is>
          <t>機電/消防/弱電/AED</t>
        </is>
      </c>
      <c r="E1384" t="inlineStr">
        <is>
          <t>非固定</t>
        </is>
      </c>
    </row>
    <row r="1385" ht="16.5" customHeight="1" s="84">
      <c r="A1385" t="inlineStr">
        <is>
          <t>2025-01</t>
        </is>
      </c>
      <c r="B1385" t="inlineStr">
        <is>
          <t>12月新鑫堯垃圾廢棄物處理費，超額9桶</t>
        </is>
      </c>
      <c r="C1385" t="n">
        <v>5850</v>
      </c>
      <c r="D1385" t="inlineStr">
        <is>
          <t>垃圾廢棄物/園藝</t>
        </is>
      </c>
      <c r="E1385" t="inlineStr">
        <is>
          <t>非固定</t>
        </is>
      </c>
    </row>
    <row r="1386" ht="16.5" customHeight="1" s="84">
      <c r="A1386" t="inlineStr">
        <is>
          <t>2025-01</t>
        </is>
      </c>
      <c r="B1386" t="inlineStr">
        <is>
          <t>12月富賀村園藝樹木修剪費</t>
        </is>
      </c>
      <c r="C1386" t="n">
        <v>25500</v>
      </c>
      <c r="D1386" t="inlineStr">
        <is>
          <t>垃圾廢棄物/園藝</t>
        </is>
      </c>
      <c r="E1386" t="inlineStr">
        <is>
          <t>非固定</t>
        </is>
      </c>
    </row>
    <row r="1387" ht="16.5" customHeight="1" s="84">
      <c r="A1387" t="inlineStr">
        <is>
          <t>2025-01</t>
        </is>
      </c>
      <c r="B1387" t="inlineStr">
        <is>
          <t>1月富賀村園藝材料田園土</t>
        </is>
      </c>
      <c r="C1387" t="n">
        <v>2000</v>
      </c>
      <c r="D1387" t="inlineStr">
        <is>
          <t>垃圾廢棄物/園藝</t>
        </is>
      </c>
      <c r="E1387" t="inlineStr">
        <is>
          <t>非固定</t>
        </is>
      </c>
    </row>
    <row r="1388" ht="16.5" customHeight="1" s="84">
      <c r="A1388" t="inlineStr">
        <is>
          <t>2025-01</t>
        </is>
      </c>
      <c r="B1388" t="inlineStr">
        <is>
          <t>1月鋐隆社區清潔用品耗材</t>
        </is>
      </c>
      <c r="C1388" t="n">
        <v>2016</v>
      </c>
      <c r="D1388" t="inlineStr">
        <is>
          <t>清潔服務費</t>
        </is>
      </c>
      <c r="E1388" t="inlineStr">
        <is>
          <t>非固定</t>
        </is>
      </c>
    </row>
    <row r="1389" ht="16.5" customHeight="1" s="84">
      <c r="A1389" t="inlineStr">
        <is>
          <t>2025-01</t>
        </is>
      </c>
      <c r="B1389" t="inlineStr">
        <is>
          <t>社區電話費(5630533)</t>
        </is>
      </c>
      <c r="C1389" t="n">
        <v>0</v>
      </c>
      <c r="D1389" t="inlineStr">
        <is>
          <t>電話/網路費</t>
        </is>
      </c>
      <c r="E1389" t="inlineStr">
        <is>
          <t>非固定</t>
        </is>
      </c>
    </row>
    <row r="1390" ht="16.5" customHeight="1" s="84">
      <c r="A1390" t="inlineStr">
        <is>
          <t>2025-01</t>
        </is>
      </c>
      <c r="B1390" t="inlineStr">
        <is>
          <t>社區網路費(Y123617)</t>
        </is>
      </c>
      <c r="C1390" t="n">
        <v>0</v>
      </c>
      <c r="D1390" t="inlineStr">
        <is>
          <t>電話/網路費</t>
        </is>
      </c>
      <c r="E1390" t="inlineStr">
        <is>
          <t>非固定</t>
        </is>
      </c>
    </row>
    <row r="1391" ht="15" customHeight="1" s="84">
      <c r="A1391" t="inlineStr">
        <is>
          <t>2025-01</t>
        </is>
      </c>
      <c r="B1391" t="inlineStr">
        <is>
          <t>社區網路費(Y174790)</t>
        </is>
      </c>
      <c r="C1391" t="n">
        <v>0</v>
      </c>
      <c r="D1391" t="inlineStr">
        <is>
          <t>電話/網路費</t>
        </is>
      </c>
      <c r="E1391" t="inlineStr">
        <is>
          <t>非固定</t>
        </is>
      </c>
    </row>
    <row r="1392" ht="16.5" customHeight="1" s="84">
      <c r="A1392" t="inlineStr">
        <is>
          <t>2025-01</t>
        </is>
      </c>
      <c r="B1392" t="inlineStr">
        <is>
          <t>1月公共電費</t>
        </is>
      </c>
      <c r="C1392" t="n">
        <v>0</v>
      </c>
      <c r="D1392" t="inlineStr">
        <is>
          <t>公共水電瓦斯</t>
        </is>
      </c>
      <c r="E1392" t="inlineStr">
        <is>
          <t>非固定</t>
        </is>
      </c>
    </row>
    <row r="1393" ht="16.5" customHeight="1" s="84">
      <c r="A1393" t="inlineStr">
        <is>
          <t>2025-01</t>
        </is>
      </c>
      <c r="B1393" t="inlineStr">
        <is>
          <t>自來水費</t>
        </is>
      </c>
      <c r="C1393" t="n">
        <v>0</v>
      </c>
      <c r="D1393" t="inlineStr">
        <is>
          <t>公共水電瓦斯</t>
        </is>
      </c>
      <c r="E1393" t="inlineStr">
        <is>
          <t>非固定</t>
        </is>
      </c>
    </row>
    <row r="1394" ht="16.5" customHeight="1" s="84">
      <c r="A1394" t="inlineStr">
        <is>
          <t>2025-02</t>
        </is>
      </c>
      <c r="B1394" t="inlineStr">
        <is>
          <t>社區電話費(5630533)</t>
        </is>
      </c>
      <c r="C1394" t="n">
        <v>955</v>
      </c>
      <c r="D1394" t="inlineStr">
        <is>
          <t>電話/網路費</t>
        </is>
      </c>
      <c r="E1394" t="inlineStr">
        <is>
          <t>非固定</t>
        </is>
      </c>
    </row>
    <row r="1395" ht="16.5" customHeight="1" s="84">
      <c r="A1395" t="inlineStr">
        <is>
          <t>2025-02</t>
        </is>
      </c>
      <c r="B1395" t="inlineStr">
        <is>
          <t>社區網路費(Y123617)</t>
        </is>
      </c>
      <c r="C1395" t="n">
        <v>1899</v>
      </c>
      <c r="D1395" t="inlineStr">
        <is>
          <t>電話/網路費</t>
        </is>
      </c>
      <c r="E1395" t="inlineStr">
        <is>
          <t>非固定</t>
        </is>
      </c>
    </row>
    <row r="1396" ht="16.5" customHeight="1" s="84">
      <c r="A1396" t="inlineStr">
        <is>
          <t>2025-02</t>
        </is>
      </c>
      <c r="B1396" t="inlineStr">
        <is>
          <t>社區網路費(Y174790)</t>
        </is>
      </c>
      <c r="C1396" t="n">
        <v>1899</v>
      </c>
      <c r="D1396" t="inlineStr">
        <is>
          <t>電話/網路費</t>
        </is>
      </c>
      <c r="E1396" t="inlineStr">
        <is>
          <t>非固定</t>
        </is>
      </c>
    </row>
    <row r="1397" ht="16.5" customHeight="1" s="84">
      <c r="A1397" t="inlineStr">
        <is>
          <t>2025-02</t>
        </is>
      </c>
      <c r="B1397" t="inlineStr">
        <is>
          <t>1月公共電費</t>
        </is>
      </c>
      <c r="C1397" t="n">
        <v>97854</v>
      </c>
      <c r="D1397" t="inlineStr">
        <is>
          <t>公共水電瓦斯</t>
        </is>
      </c>
      <c r="E1397" t="inlineStr">
        <is>
          <t>非固定</t>
        </is>
      </c>
    </row>
    <row r="1398" ht="16.5" customHeight="1" s="84">
      <c r="A1398" t="inlineStr">
        <is>
          <t>2025-02</t>
        </is>
      </c>
      <c r="B1398" t="inlineStr">
        <is>
          <t>自來水費</t>
        </is>
      </c>
      <c r="C1398" t="n">
        <v>8726</v>
      </c>
      <c r="D1398" t="inlineStr">
        <is>
          <t>公共水電瓦斯</t>
        </is>
      </c>
      <c r="E1398" t="inlineStr">
        <is>
          <t>非固定</t>
        </is>
      </c>
    </row>
    <row r="1399" ht="16.5" customHeight="1" s="84">
      <c r="A1399" t="inlineStr">
        <is>
          <t>2025-03</t>
        </is>
      </c>
      <c r="B1399" t="inlineStr">
        <is>
          <t>2月零用金撥補</t>
        </is>
      </c>
      <c r="C1399" t="n">
        <v>14751</v>
      </c>
      <c r="D1399" t="inlineStr">
        <is>
          <t>內部轉帳</t>
        </is>
      </c>
      <c r="E1399" t="inlineStr">
        <is>
          <t>非固定</t>
        </is>
      </c>
    </row>
    <row r="1400" ht="16.5" customHeight="1" s="84">
      <c r="A1400" t="inlineStr">
        <is>
          <t>2025-03</t>
        </is>
      </c>
      <c r="B1400" t="inlineStr">
        <is>
          <t>2月管委會出席費用（預領）</t>
        </is>
      </c>
      <c r="C1400" t="n">
        <v>8000</v>
      </c>
      <c r="D1400" t="inlineStr">
        <is>
          <t>內部轉帳</t>
        </is>
      </c>
      <c r="E1400" t="inlineStr">
        <is>
          <t>非固定</t>
        </is>
      </c>
    </row>
    <row r="1401" ht="16.5" customHeight="1" s="84">
      <c r="A1401" t="inlineStr">
        <is>
          <t>2025-03</t>
        </is>
      </c>
      <c r="B1401" t="inlineStr">
        <is>
          <t>2月電梯專用款撥補（每月固定撥補至電梯專用帳戶）</t>
        </is>
      </c>
      <c r="C1401" t="n">
        <v>50000</v>
      </c>
      <c r="D1401" t="inlineStr">
        <is>
          <t>內部轉帳</t>
        </is>
      </c>
      <c r="E1401" t="inlineStr">
        <is>
          <t>非固定</t>
        </is>
      </c>
    </row>
    <row r="1402" ht="16.5" customHeight="1" s="84">
      <c r="A1402" t="inlineStr">
        <is>
          <t>2025-03</t>
        </is>
      </c>
      <c r="B1402" t="inlineStr">
        <is>
          <t>鑫禾113年度汙水輸水費</t>
        </is>
      </c>
      <c r="C1402" t="n">
        <v>19000</v>
      </c>
      <c r="D1402" t="inlineStr">
        <is>
          <t>工程維修/購置</t>
        </is>
      </c>
      <c r="E1402" t="inlineStr">
        <is>
          <t>非固定</t>
        </is>
      </c>
    </row>
    <row r="1403" ht="16.5" customHeight="1" s="84">
      <c r="A1403" t="inlineStr">
        <is>
          <t>2025-03</t>
        </is>
      </c>
      <c r="B1403" t="inlineStr">
        <is>
          <t>2月誠鷹公寓大廈管理服務費</t>
        </is>
      </c>
      <c r="C1403" t="n">
        <v>119700</v>
      </c>
      <c r="D1403" t="inlineStr">
        <is>
          <t>管理服務費</t>
        </is>
      </c>
      <c r="E1403" t="inlineStr">
        <is>
          <t>固定</t>
        </is>
      </c>
    </row>
    <row r="1404" ht="16.5" customHeight="1" s="84">
      <c r="A1404" t="inlineStr">
        <is>
          <t>2025-03</t>
        </is>
      </c>
      <c r="B1404" t="inlineStr">
        <is>
          <t>2月誠鷹特勤保全服務費</t>
        </is>
      </c>
      <c r="C1404" t="n">
        <v>315000</v>
      </c>
      <c r="D1404" t="inlineStr">
        <is>
          <t>保全服務費</t>
        </is>
      </c>
      <c r="E1404" t="inlineStr">
        <is>
          <t>固定</t>
        </is>
      </c>
    </row>
    <row r="1405" ht="15" customHeight="1" s="84">
      <c r="A1405" t="inlineStr">
        <is>
          <t>2025-03</t>
        </is>
      </c>
      <c r="B1405" t="inlineStr">
        <is>
          <t>2月義明清潔服務費</t>
        </is>
      </c>
      <c r="C1405" t="n">
        <v>123000</v>
      </c>
      <c r="D1405" t="inlineStr">
        <is>
          <t>清潔服務費</t>
        </is>
      </c>
      <c r="E1405" t="inlineStr">
        <is>
          <t>固定</t>
        </is>
      </c>
    </row>
    <row r="1406" ht="16.5" customHeight="1" s="84">
      <c r="A1406" t="inlineStr">
        <is>
          <t>2025-03</t>
        </is>
      </c>
      <c r="B1406" t="inlineStr">
        <is>
          <t>2月順達清潔服務費</t>
        </is>
      </c>
      <c r="C1406" t="n">
        <v>123000</v>
      </c>
      <c r="D1406" t="inlineStr">
        <is>
          <t>清潔服務費</t>
        </is>
      </c>
      <c r="E1406" t="inlineStr">
        <is>
          <t>固定</t>
        </is>
      </c>
    </row>
    <row r="1407" ht="16.5" customHeight="1" s="84">
      <c r="A1407" t="inlineStr">
        <is>
          <t>2025-03</t>
        </is>
      </c>
      <c r="B1407" t="inlineStr">
        <is>
          <t>2月長樂機電保養費</t>
        </is>
      </c>
      <c r="C1407" t="n">
        <v>25200</v>
      </c>
      <c r="D1407" t="inlineStr">
        <is>
          <t>機電/消防/弱電/AED</t>
        </is>
      </c>
      <c r="E1407" t="inlineStr">
        <is>
          <t>固定</t>
        </is>
      </c>
    </row>
    <row r="1408" ht="16.5" customHeight="1" s="84">
      <c r="A1408" t="inlineStr">
        <is>
          <t>2025-03</t>
        </is>
      </c>
      <c r="B1408" t="inlineStr">
        <is>
          <t>12月太古意弱電保養費+無線網卡(桌機用)</t>
        </is>
      </c>
      <c r="C1408" t="n">
        <v>10000</v>
      </c>
      <c r="D1408" t="inlineStr">
        <is>
          <t>機電/消防/弱電/AED</t>
        </is>
      </c>
      <c r="E1408" t="inlineStr">
        <is>
          <t>固定</t>
        </is>
      </c>
    </row>
    <row r="1409" ht="16.5" customHeight="1" s="84">
      <c r="A1409" t="inlineStr">
        <is>
          <t>2025-03</t>
        </is>
      </c>
      <c r="B1409" t="inlineStr">
        <is>
          <t>1月、2月御品網路保養費+無線網卡</t>
        </is>
      </c>
      <c r="C1409" t="n">
        <v>19349</v>
      </c>
      <c r="D1409" t="inlineStr">
        <is>
          <t>機電/消防/弱電/AED</t>
        </is>
      </c>
      <c r="E1409" t="inlineStr">
        <is>
          <t>固定</t>
        </is>
      </c>
    </row>
    <row r="1410" ht="16.5" customHeight="1" s="84">
      <c r="A1410" t="inlineStr">
        <is>
          <t>2025-03</t>
        </is>
      </c>
      <c r="B1410" t="inlineStr">
        <is>
          <t>2、3月新光電通AED設備月租費</t>
        </is>
      </c>
      <c r="C1410" t="n">
        <v>3000</v>
      </c>
      <c r="D1410" t="inlineStr">
        <is>
          <t>機電/消防/弱電/AED</t>
        </is>
      </c>
      <c r="E1410" t="inlineStr">
        <is>
          <t>固定</t>
        </is>
      </c>
    </row>
    <row r="1411" ht="16.5" customHeight="1" s="84">
      <c r="A1411" t="inlineStr">
        <is>
          <t>2025-03</t>
        </is>
      </c>
      <c r="B1411" t="inlineStr">
        <is>
          <t>2月新鑫堯垃圾廢棄物處理費</t>
        </is>
      </c>
      <c r="C1411" t="n">
        <v>37500</v>
      </c>
      <c r="D1411" t="inlineStr">
        <is>
          <t>垃圾廢棄物/園藝</t>
        </is>
      </c>
      <c r="E1411" t="inlineStr">
        <is>
          <t>固定</t>
        </is>
      </c>
    </row>
    <row r="1412" ht="15" customHeight="1" s="84">
      <c r="A1412" t="inlineStr">
        <is>
          <t>2025-03</t>
        </is>
      </c>
      <c r="B1412" t="inlineStr">
        <is>
          <t>1月富賀村園藝景觀修剪維護費(2個月/次)</t>
        </is>
      </c>
      <c r="C1412" t="n">
        <v>33000</v>
      </c>
      <c r="D1412" t="inlineStr">
        <is>
          <t>垃圾廢棄物/園藝</t>
        </is>
      </c>
      <c r="E1412" t="inlineStr">
        <is>
          <t>固定</t>
        </is>
      </c>
    </row>
    <row r="1413" ht="16.5" customHeight="1" s="84">
      <c r="A1413" t="inlineStr">
        <is>
          <t>2025-03</t>
        </is>
      </c>
      <c r="B1413" t="inlineStr">
        <is>
          <t>鋐隆社區清潔用品耗材</t>
        </is>
      </c>
      <c r="C1413" t="n">
        <v>5122</v>
      </c>
      <c r="D1413" t="inlineStr">
        <is>
          <t>清潔服務費</t>
        </is>
      </c>
      <c r="E1413" t="inlineStr">
        <is>
          <t>非固定</t>
        </is>
      </c>
    </row>
    <row r="1414" ht="16.5" customHeight="1" s="84">
      <c r="A1414" t="inlineStr">
        <is>
          <t>2025-03</t>
        </is>
      </c>
      <c r="B1414" t="inlineStr">
        <is>
          <t>2月長樂機電修繕費</t>
        </is>
      </c>
      <c r="C1414" t="n">
        <v>110654</v>
      </c>
      <c r="D1414" t="inlineStr">
        <is>
          <t>機電/消防/弱電/AED</t>
        </is>
      </c>
      <c r="E1414" t="inlineStr">
        <is>
          <t>非固定</t>
        </is>
      </c>
    </row>
    <row r="1415" ht="16.5" customHeight="1" s="84">
      <c r="A1415" t="inlineStr">
        <is>
          <t>2025-03</t>
        </is>
      </c>
      <c r="B1415" t="inlineStr">
        <is>
          <t>大同發電機原廠更新啟動馬達*2顆</t>
        </is>
      </c>
      <c r="C1415" t="n">
        <v>202377</v>
      </c>
      <c r="D1415" t="inlineStr">
        <is>
          <t>其他支出</t>
        </is>
      </c>
      <c r="E1415" t="inlineStr">
        <is>
          <t>非固定</t>
        </is>
      </c>
    </row>
    <row r="1416" ht="16.5" customHeight="1" s="84">
      <c r="A1416" t="inlineStr">
        <is>
          <t>2025-03</t>
        </is>
      </c>
      <c r="B1416" t="inlineStr">
        <is>
          <t>2月太古意弱電保養費</t>
        </is>
      </c>
      <c r="C1416" t="n">
        <v>29461</v>
      </c>
      <c r="D1416" t="inlineStr">
        <is>
          <t>機電/消防/弱電/AED</t>
        </is>
      </c>
      <c r="E1416" t="inlineStr">
        <is>
          <t>非固定</t>
        </is>
      </c>
    </row>
    <row r="1417" ht="16.5" customHeight="1" s="84">
      <c r="A1417" t="inlineStr">
        <is>
          <t>2025-03</t>
        </is>
      </c>
      <c r="B1417" t="inlineStr">
        <is>
          <t>過年新鑫堯加收垃圾廢棄物</t>
        </is>
      </c>
      <c r="C1417" t="n">
        <v>5000</v>
      </c>
      <c r="D1417" t="inlineStr">
        <is>
          <t>垃圾廢棄物/園藝</t>
        </is>
      </c>
      <c r="E1417" t="inlineStr">
        <is>
          <t>非固定</t>
        </is>
      </c>
    </row>
    <row r="1418" ht="16.5" customHeight="1" s="84">
      <c r="A1418" t="inlineStr">
        <is>
          <t>2025-03</t>
        </is>
      </c>
      <c r="B1418" t="inlineStr">
        <is>
          <t>社區電話費(5630533)</t>
        </is>
      </c>
      <c r="C1418" t="n">
        <v>1938</v>
      </c>
      <c r="D1418" t="inlineStr">
        <is>
          <t>電話/網路費</t>
        </is>
      </c>
      <c r="E1418" t="inlineStr">
        <is>
          <t>非固定</t>
        </is>
      </c>
    </row>
    <row r="1419" ht="16.5" customHeight="1" s="84">
      <c r="A1419" t="inlineStr">
        <is>
          <t>2025-03</t>
        </is>
      </c>
      <c r="B1419" t="inlineStr">
        <is>
          <t>社區網路費(Y123617)</t>
        </is>
      </c>
      <c r="C1419" t="n">
        <v>3798</v>
      </c>
      <c r="D1419" t="inlineStr">
        <is>
          <t>電話/網路費</t>
        </is>
      </c>
      <c r="E1419" t="inlineStr">
        <is>
          <t>非固定</t>
        </is>
      </c>
    </row>
    <row r="1420" ht="16.5" customHeight="1" s="84">
      <c r="A1420" t="inlineStr">
        <is>
          <t>2025-03</t>
        </is>
      </c>
      <c r="B1420" t="inlineStr">
        <is>
          <t>社區網路費(Y174790)</t>
        </is>
      </c>
      <c r="C1420" t="n">
        <v>3798</v>
      </c>
      <c r="D1420" t="inlineStr">
        <is>
          <t>電話/網路費</t>
        </is>
      </c>
      <c r="E1420" t="inlineStr">
        <is>
          <t>非固定</t>
        </is>
      </c>
    </row>
    <row r="1421" ht="15" customHeight="1" s="84">
      <c r="A1421" t="inlineStr">
        <is>
          <t>2025-03</t>
        </is>
      </c>
      <c r="B1421" t="inlineStr">
        <is>
          <t>1月公共電費</t>
        </is>
      </c>
      <c r="C1421" t="n">
        <v>108145</v>
      </c>
      <c r="D1421" t="inlineStr">
        <is>
          <t>公共水電瓦斯</t>
        </is>
      </c>
      <c r="E1421" t="inlineStr">
        <is>
          <t>非固定</t>
        </is>
      </c>
    </row>
    <row r="1422" ht="16.5" customHeight="1" s="84">
      <c r="A1422" t="inlineStr">
        <is>
          <t>2025-03</t>
        </is>
      </c>
      <c r="B1422" t="inlineStr">
        <is>
          <t>自來水費</t>
        </is>
      </c>
      <c r="C1422" t="n">
        <v>0</v>
      </c>
      <c r="D1422" t="inlineStr">
        <is>
          <t>公共水電瓦斯</t>
        </is>
      </c>
      <c r="E1422" t="inlineStr">
        <is>
          <t>非固定</t>
        </is>
      </c>
    </row>
    <row r="1423" ht="16.5" customHeight="1" s="84">
      <c r="A1423" t="inlineStr">
        <is>
          <t>2025-04</t>
        </is>
      </c>
      <c r="B1423" t="inlineStr">
        <is>
          <t>3月誠鷹公寓大廈管理服務費</t>
        </is>
      </c>
      <c r="C1423" t="n">
        <v>119700</v>
      </c>
      <c r="D1423" t="inlineStr">
        <is>
          <t>管理服務費</t>
        </is>
      </c>
      <c r="E1423" t="inlineStr">
        <is>
          <t>固定</t>
        </is>
      </c>
    </row>
    <row r="1424" ht="16.5" customHeight="1" s="84">
      <c r="A1424" t="inlineStr">
        <is>
          <t>2025-04</t>
        </is>
      </c>
      <c r="B1424" t="inlineStr">
        <is>
          <t>3月誠鷹特勤保全服務費</t>
        </is>
      </c>
      <c r="C1424" t="n">
        <v>315000</v>
      </c>
      <c r="D1424" t="inlineStr">
        <is>
          <t>保全服務費</t>
        </is>
      </c>
      <c r="E1424" t="inlineStr">
        <is>
          <t>固定</t>
        </is>
      </c>
    </row>
    <row r="1425" ht="16.5" customHeight="1" s="84">
      <c r="A1425" t="inlineStr">
        <is>
          <t>2025-04</t>
        </is>
      </c>
      <c r="B1425" t="inlineStr">
        <is>
          <t>3月義明清潔服務費</t>
        </is>
      </c>
      <c r="C1425" t="n">
        <v>123000</v>
      </c>
      <c r="D1425" t="inlineStr">
        <is>
          <t>清潔服務費</t>
        </is>
      </c>
      <c r="E1425" t="inlineStr">
        <is>
          <t>固定</t>
        </is>
      </c>
    </row>
    <row r="1426" ht="16.5" customHeight="1" s="84">
      <c r="A1426" t="inlineStr">
        <is>
          <t>2025-04</t>
        </is>
      </c>
      <c r="B1426" t="inlineStr">
        <is>
          <t>3月順達清潔服務費</t>
        </is>
      </c>
      <c r="C1426" t="n">
        <v>123000</v>
      </c>
      <c r="D1426" t="inlineStr">
        <is>
          <t>清潔服務費</t>
        </is>
      </c>
      <c r="E1426" t="inlineStr">
        <is>
          <t>固定</t>
        </is>
      </c>
    </row>
    <row r="1427" ht="16.5" customHeight="1" s="84">
      <c r="A1427" t="inlineStr">
        <is>
          <t>2025-04</t>
        </is>
      </c>
      <c r="B1427" t="inlineStr">
        <is>
          <t>3月崇友電梯保養費</t>
        </is>
      </c>
      <c r="C1427" t="n">
        <v>100000</v>
      </c>
      <c r="D1427" t="inlineStr">
        <is>
          <t>電梯保養與修繕</t>
        </is>
      </c>
      <c r="E1427" t="inlineStr">
        <is>
          <t>固定</t>
        </is>
      </c>
    </row>
    <row r="1428" ht="16.5" customHeight="1" s="84">
      <c r="A1428" t="inlineStr">
        <is>
          <t>2025-04</t>
        </is>
      </c>
      <c r="B1428" t="inlineStr">
        <is>
          <t>3月電梯專用款撥補（每月固定撥補至電梯專用帳戶）</t>
        </is>
      </c>
      <c r="C1428" t="n">
        <v>50000</v>
      </c>
      <c r="D1428" t="inlineStr">
        <is>
          <t>內部轉帳</t>
        </is>
      </c>
      <c r="E1428" t="inlineStr">
        <is>
          <t>固定</t>
        </is>
      </c>
    </row>
    <row r="1429" ht="16.5" customHeight="1" s="84">
      <c r="A1429" t="inlineStr">
        <is>
          <t>2025-04</t>
        </is>
      </c>
      <c r="B1429" t="inlineStr">
        <is>
          <t>3月長樂機電保養費</t>
        </is>
      </c>
      <c r="C1429" t="n">
        <v>25200</v>
      </c>
      <c r="D1429" t="inlineStr">
        <is>
          <t>機電/消防/弱電/AED</t>
        </is>
      </c>
      <c r="E1429" t="inlineStr">
        <is>
          <t>固定</t>
        </is>
      </c>
    </row>
    <row r="1430" ht="16.5" customHeight="1" s="84">
      <c r="A1430" t="inlineStr">
        <is>
          <t>2025-04</t>
        </is>
      </c>
      <c r="B1430" t="inlineStr">
        <is>
          <t>3月御品網路保養費</t>
        </is>
      </c>
      <c r="C1430" t="n">
        <v>9450</v>
      </c>
      <c r="D1430" t="inlineStr">
        <is>
          <t>機電/消防/弱電/AED</t>
        </is>
      </c>
      <c r="E1430" t="inlineStr">
        <is>
          <t>固定</t>
        </is>
      </c>
    </row>
    <row r="1431" ht="16.5" customHeight="1" s="84">
      <c r="A1431" t="inlineStr">
        <is>
          <t>2025-04</t>
        </is>
      </c>
      <c r="B1431" t="inlineStr">
        <is>
          <t>4月新光電通AED設備月租費</t>
        </is>
      </c>
      <c r="C1431" t="n">
        <v>1500</v>
      </c>
      <c r="D1431" t="inlineStr">
        <is>
          <t>機電/消防/弱電/AED</t>
        </is>
      </c>
      <c r="E1431" t="inlineStr">
        <is>
          <t>固定</t>
        </is>
      </c>
    </row>
    <row r="1432" ht="16.5" customHeight="1" s="84">
      <c r="A1432" t="inlineStr">
        <is>
          <t>2025-04</t>
        </is>
      </c>
      <c r="B1432" t="inlineStr">
        <is>
          <t>3月新鑫堯垃圾廢棄物處理費</t>
        </is>
      </c>
      <c r="C1432" t="n">
        <v>37500</v>
      </c>
      <c r="D1432" t="inlineStr">
        <is>
          <t>垃圾廢棄物/園藝</t>
        </is>
      </c>
      <c r="E1432" t="inlineStr">
        <is>
          <t>固定</t>
        </is>
      </c>
    </row>
    <row r="1433" ht="16.5" customHeight="1" s="84">
      <c r="A1433" t="inlineStr">
        <is>
          <t>2025-04</t>
        </is>
      </c>
      <c r="B1433" t="inlineStr">
        <is>
          <t>3月富賀村園藝景觀修剪維護費(2個月/次)</t>
        </is>
      </c>
      <c r="C1433" t="n">
        <v>33000</v>
      </c>
      <c r="D1433" t="inlineStr">
        <is>
          <t>垃圾廢棄物/園藝</t>
        </is>
      </c>
      <c r="E1433" t="inlineStr">
        <is>
          <t>固定</t>
        </is>
      </c>
    </row>
    <row r="1434" ht="16.5" customHeight="1" s="84">
      <c r="A1434" t="inlineStr">
        <is>
          <t>2025-04</t>
        </is>
      </c>
      <c r="B1434" t="inlineStr">
        <is>
          <t>3月零用金撥補</t>
        </is>
      </c>
      <c r="C1434" t="n">
        <v>20067</v>
      </c>
      <c r="D1434" t="inlineStr">
        <is>
          <t>內部轉帳</t>
        </is>
      </c>
      <c r="E1434" t="inlineStr">
        <is>
          <t>非固定</t>
        </is>
      </c>
    </row>
    <row r="1435" ht="16.5" customHeight="1" s="84">
      <c r="A1435" t="inlineStr">
        <is>
          <t>2025-04</t>
        </is>
      </c>
      <c r="B1435" t="inlineStr">
        <is>
          <t>4月管委會出席費用（預領）</t>
        </is>
      </c>
      <c r="C1435" t="n">
        <v>8000</v>
      </c>
      <c r="D1435" t="inlineStr">
        <is>
          <t>內部轉帳</t>
        </is>
      </c>
      <c r="E1435" t="inlineStr">
        <is>
          <t>非固定</t>
        </is>
      </c>
    </row>
    <row r="1436" ht="16.5" customHeight="1" s="84">
      <c r="A1436" t="inlineStr">
        <is>
          <t>2025-04</t>
        </is>
      </c>
      <c r="B1436" t="inlineStr">
        <is>
          <t>鋐隆社區清潔用品耗材</t>
        </is>
      </c>
      <c r="C1436" t="n">
        <v>6253</v>
      </c>
      <c r="D1436" t="inlineStr">
        <is>
          <t>清潔服務費</t>
        </is>
      </c>
      <c r="E1436" t="inlineStr">
        <is>
          <t>非固定</t>
        </is>
      </c>
    </row>
    <row r="1437" ht="16.5" customHeight="1" s="84">
      <c r="A1437" t="inlineStr">
        <is>
          <t>2025-04</t>
        </is>
      </c>
      <c r="B1437" t="inlineStr">
        <is>
          <t>3月長樂機電修繕費、丁棟B3下水塔浮球開關</t>
        </is>
      </c>
      <c r="C1437" t="n">
        <v>60029</v>
      </c>
      <c r="D1437" t="inlineStr">
        <is>
          <t>機電/消防/弱電/AED</t>
        </is>
      </c>
      <c r="E1437" t="inlineStr">
        <is>
          <t>非固定</t>
        </is>
      </c>
    </row>
    <row r="1438" ht="16.5" customHeight="1" s="84">
      <c r="A1438" t="inlineStr">
        <is>
          <t>2025-04</t>
        </is>
      </c>
      <c r="B1438" t="inlineStr">
        <is>
          <t>B3汙水自動控制系統改善工程(升等、移機、安全、警示)</t>
        </is>
      </c>
      <c r="C1438" t="n">
        <v>199000</v>
      </c>
      <c r="D1438" t="inlineStr">
        <is>
          <t>工程維修/購置</t>
        </is>
      </c>
      <c r="E1438" t="inlineStr">
        <is>
          <t>非固定</t>
        </is>
      </c>
    </row>
    <row r="1439" ht="16.5" customHeight="1" s="84">
      <c r="A1439" t="inlineStr">
        <is>
          <t>2025-04</t>
        </is>
      </c>
      <c r="B1439" t="inlineStr">
        <is>
          <t>弱電車道入口柵欄機更新、戊棟電梯加裝影像抗干擾器</t>
        </is>
      </c>
      <c r="C1439" t="n">
        <v>53655</v>
      </c>
      <c r="D1439" t="inlineStr">
        <is>
          <t>機電/消防/弱電/AED</t>
        </is>
      </c>
      <c r="E1439" t="inlineStr">
        <is>
          <t>非固定</t>
        </is>
      </c>
      <c r="F1439" t="inlineStr">
        <is>
          <t>電梯</t>
        </is>
      </c>
    </row>
    <row r="1440" ht="16.5" customHeight="1" s="84">
      <c r="A1440" t="inlineStr">
        <is>
          <t>2025-04</t>
        </is>
      </c>
      <c r="B1440" t="inlineStr">
        <is>
          <t>電梯微壓按鈕故障*24顆、乙棟3號電梯CCU基板故障</t>
        </is>
      </c>
      <c r="C1440" t="n">
        <v>19000</v>
      </c>
      <c r="D1440" t="inlineStr">
        <is>
          <t>工程維修/購置</t>
        </is>
      </c>
      <c r="E1440" t="inlineStr">
        <is>
          <t>非固定</t>
        </is>
      </c>
      <c r="F1440" t="inlineStr">
        <is>
          <t>電梯</t>
        </is>
      </c>
    </row>
    <row r="1441" ht="16.5" customHeight="1" s="84">
      <c r="A1441" t="inlineStr">
        <is>
          <t>2025-04</t>
        </is>
      </c>
      <c r="B1441" t="inlineStr">
        <is>
          <t>抽水肥4車共16噸、B3汙水淹水夜間配合抽汙水4車共16噸</t>
        </is>
      </c>
      <c r="C1441" t="n">
        <v>23000</v>
      </c>
      <c r="D1441" t="inlineStr">
        <is>
          <t>垃圾廢棄物/園藝</t>
        </is>
      </c>
      <c r="E1441" t="inlineStr">
        <is>
          <t>非固定</t>
        </is>
      </c>
    </row>
    <row r="1442" ht="16.5" customHeight="1" s="84">
      <c r="A1442" t="inlineStr">
        <is>
          <t>2025-04</t>
        </is>
      </c>
      <c r="B1442" t="inlineStr">
        <is>
          <t>一樓挑高39支、B1-34支汙廢水管高壓水刀內視鏡清洗</t>
        </is>
      </c>
      <c r="C1442" t="n">
        <v>222800</v>
      </c>
      <c r="D1442" t="inlineStr">
        <is>
          <t>其他支出</t>
        </is>
      </c>
      <c r="E1442" t="inlineStr">
        <is>
          <t>非固定</t>
        </is>
      </c>
    </row>
    <row r="1443" ht="16.5" customHeight="1" s="84">
      <c r="A1443" t="inlineStr">
        <is>
          <t>2025-04</t>
        </is>
      </c>
      <c r="B1443" t="inlineStr">
        <is>
          <t>健身房勾腿鋼索破皮更新、蹬腿坐墊車架斷裂焊接費用</t>
        </is>
      </c>
      <c r="C1443" t="n">
        <v>4200</v>
      </c>
      <c r="D1443" t="inlineStr">
        <is>
          <t>其他支出</t>
        </is>
      </c>
      <c r="E1443" t="inlineStr">
        <is>
          <t>非固定</t>
        </is>
      </c>
    </row>
    <row r="1444" ht="16.5" customHeight="1" s="84">
      <c r="A1444" t="inlineStr">
        <is>
          <t>2025-04</t>
        </is>
      </c>
      <c r="B1444" t="inlineStr">
        <is>
          <t>中繼器故障更新、汙水專用滾珠浮球更新</t>
        </is>
      </c>
      <c r="C1444" t="n">
        <v>4500</v>
      </c>
      <c r="D1444" t="inlineStr">
        <is>
          <t>工程維修/購置</t>
        </is>
      </c>
      <c r="E1444" t="inlineStr">
        <is>
          <t>非固定</t>
        </is>
      </c>
      <c r="F1444" t="inlineStr">
        <is>
          <t>納管</t>
        </is>
      </c>
    </row>
    <row r="1445" ht="16.5" customHeight="1" s="84">
      <c r="A1445" t="inlineStr">
        <is>
          <t>2025-04</t>
        </is>
      </c>
      <c r="B1445" t="inlineStr">
        <is>
          <t>114年第10屆第1次區權會會議出席費(含委託書)*288人</t>
        </is>
      </c>
      <c r="C1445" t="n">
        <v>144000</v>
      </c>
      <c r="D1445" t="inlineStr">
        <is>
          <t>行政/會議/律師</t>
        </is>
      </c>
      <c r="E1445" t="inlineStr">
        <is>
          <t>非固定</t>
        </is>
      </c>
    </row>
    <row r="1446" ht="16.5" customHeight="1" s="84">
      <c r="A1446" t="inlineStr">
        <is>
          <t>2025-04</t>
        </is>
      </c>
      <c r="B1446" t="inlineStr">
        <is>
          <t>公共管道預留排水口未有效封閉造成K2住戶財損</t>
        </is>
      </c>
      <c r="C1446" t="n">
        <v>14500</v>
      </c>
      <c r="D1446" t="inlineStr">
        <is>
          <t>其他支出</t>
        </is>
      </c>
      <c r="E1446" t="inlineStr">
        <is>
          <t>非固定</t>
        </is>
      </c>
    </row>
    <row r="1447" ht="16.5" customHeight="1" s="84">
      <c r="A1447" t="inlineStr">
        <is>
          <t>2025-04</t>
        </is>
      </c>
      <c r="B1447" t="inlineStr">
        <is>
          <t>崇和路人行道政府接汙水管用＃654燒面石材地磚62才</t>
        </is>
      </c>
      <c r="C1447" t="n">
        <v>21370</v>
      </c>
      <c r="D1447" t="inlineStr">
        <is>
          <t>工程維修/購置</t>
        </is>
      </c>
      <c r="E1447" t="inlineStr">
        <is>
          <t>非固定</t>
        </is>
      </c>
      <c r="F1447" t="inlineStr">
        <is>
          <t>納管</t>
        </is>
      </c>
    </row>
    <row r="1448" ht="16.5" customHeight="1" s="84">
      <c r="A1448" t="inlineStr">
        <is>
          <t>2025-04</t>
        </is>
      </c>
      <c r="B1448" t="inlineStr">
        <is>
          <t>社區電話費(5630533)</t>
        </is>
      </c>
      <c r="C1448" t="n">
        <v>986</v>
      </c>
      <c r="D1448" t="inlineStr">
        <is>
          <t>電話/網路費</t>
        </is>
      </c>
      <c r="E1448" t="inlineStr">
        <is>
          <t>非固定</t>
        </is>
      </c>
    </row>
    <row r="1449" ht="16.5" customHeight="1" s="84">
      <c r="A1449" t="inlineStr">
        <is>
          <t>2025-04</t>
        </is>
      </c>
      <c r="B1449" t="inlineStr">
        <is>
          <t>社區網路費(Y123617)</t>
        </is>
      </c>
      <c r="C1449" t="n">
        <v>1899</v>
      </c>
      <c r="D1449" t="inlineStr">
        <is>
          <t>電話/網路費</t>
        </is>
      </c>
      <c r="E1449" t="inlineStr">
        <is>
          <t>非固定</t>
        </is>
      </c>
    </row>
    <row r="1450" ht="16.5" customHeight="1" s="84">
      <c r="A1450" t="inlineStr">
        <is>
          <t>2025-04</t>
        </is>
      </c>
      <c r="B1450" t="inlineStr">
        <is>
          <t>社區網路費(Y174790)</t>
        </is>
      </c>
      <c r="C1450" t="n">
        <v>1899</v>
      </c>
      <c r="D1450" t="inlineStr">
        <is>
          <t>電話/網路費</t>
        </is>
      </c>
      <c r="E1450" t="inlineStr">
        <is>
          <t>非固定</t>
        </is>
      </c>
    </row>
    <row r="1451" ht="16.5" customHeight="1" s="84">
      <c r="A1451" t="inlineStr">
        <is>
          <t>2025-04</t>
        </is>
      </c>
      <c r="B1451" t="inlineStr">
        <is>
          <t>3月公共電費</t>
        </is>
      </c>
      <c r="C1451" t="n">
        <v>112914</v>
      </c>
      <c r="D1451" t="inlineStr">
        <is>
          <t>公共水電瓦斯</t>
        </is>
      </c>
      <c r="E1451" t="inlineStr">
        <is>
          <t>非固定</t>
        </is>
      </c>
    </row>
    <row r="1452" ht="16.5" customHeight="1" s="84">
      <c r="A1452" t="inlineStr">
        <is>
          <t>2025-04</t>
        </is>
      </c>
      <c r="B1452" t="inlineStr">
        <is>
          <t>自來水費</t>
        </is>
      </c>
      <c r="C1452" t="n">
        <v>10636</v>
      </c>
      <c r="D1452" t="inlineStr">
        <is>
          <t>公共水電瓦斯</t>
        </is>
      </c>
      <c r="E1452" t="inlineStr">
        <is>
          <t>非固定</t>
        </is>
      </c>
    </row>
    <row r="1453" ht="16.5" customHeight="1" s="84">
      <c r="A1453" t="inlineStr">
        <is>
          <t>2025-05</t>
        </is>
      </c>
      <c r="B1453" t="inlineStr">
        <is>
          <t>4月誠鷹公寓大廈管理服務費</t>
        </is>
      </c>
      <c r="C1453" t="n">
        <v>119700</v>
      </c>
      <c r="D1453" t="inlineStr">
        <is>
          <t>管理服務費</t>
        </is>
      </c>
      <c r="E1453" t="inlineStr">
        <is>
          <t>固定</t>
        </is>
      </c>
    </row>
    <row r="1454" ht="16.5" customHeight="1" s="84">
      <c r="A1454" t="inlineStr">
        <is>
          <t>2025-05</t>
        </is>
      </c>
      <c r="B1454" t="inlineStr">
        <is>
          <t>4月誠鷹特勤保全服務費</t>
        </is>
      </c>
      <c r="C1454" t="n">
        <v>315000</v>
      </c>
      <c r="D1454" t="inlineStr">
        <is>
          <t>保全服務費</t>
        </is>
      </c>
      <c r="E1454" t="inlineStr">
        <is>
          <t>固定</t>
        </is>
      </c>
    </row>
    <row r="1455" ht="16.5" customHeight="1" s="84">
      <c r="A1455" t="inlineStr">
        <is>
          <t>2025-05</t>
        </is>
      </c>
      <c r="B1455" t="inlineStr">
        <is>
          <t>4月義明清潔服務費</t>
        </is>
      </c>
      <c r="C1455" t="n">
        <v>123000</v>
      </c>
      <c r="D1455" t="inlineStr">
        <is>
          <t>清潔服務費</t>
        </is>
      </c>
      <c r="E1455" t="inlineStr">
        <is>
          <t>固定</t>
        </is>
      </c>
    </row>
    <row r="1456" ht="16.5" customHeight="1" s="84">
      <c r="A1456" t="inlineStr">
        <is>
          <t>2025-05</t>
        </is>
      </c>
      <c r="B1456" t="inlineStr">
        <is>
          <t>4月順達清潔服務費</t>
        </is>
      </c>
      <c r="C1456" t="n">
        <v>123000</v>
      </c>
      <c r="D1456" t="inlineStr">
        <is>
          <t>清潔服務費</t>
        </is>
      </c>
      <c r="E1456" t="inlineStr">
        <is>
          <t>固定</t>
        </is>
      </c>
    </row>
    <row r="1457" ht="16.5" customHeight="1" s="84">
      <c r="A1457" t="inlineStr">
        <is>
          <t>2025-05</t>
        </is>
      </c>
      <c r="B1457" t="inlineStr">
        <is>
          <t>4月崇友電梯保養費</t>
        </is>
      </c>
      <c r="C1457" t="n">
        <v>100000</v>
      </c>
      <c r="D1457" t="inlineStr">
        <is>
          <t>電梯保養與修繕</t>
        </is>
      </c>
      <c r="E1457" t="inlineStr">
        <is>
          <t>固定</t>
        </is>
      </c>
    </row>
    <row r="1458" ht="16.5" customHeight="1" s="84">
      <c r="A1458" t="inlineStr">
        <is>
          <t>2025-05</t>
        </is>
      </c>
      <c r="B1458" t="inlineStr">
        <is>
          <t>4月電梯專用款撥補（每月固定撥補至電梯專用帳戶）</t>
        </is>
      </c>
      <c r="C1458" t="n">
        <v>50000</v>
      </c>
      <c r="D1458" t="inlineStr">
        <is>
          <t>內部轉帳</t>
        </is>
      </c>
      <c r="E1458" t="inlineStr">
        <is>
          <t>固定</t>
        </is>
      </c>
    </row>
    <row r="1459" ht="16.5" customHeight="1" s="84">
      <c r="A1459" t="inlineStr">
        <is>
          <t>2025-05</t>
        </is>
      </c>
      <c r="B1459" t="inlineStr">
        <is>
          <t>4月長樂機電保養費</t>
        </is>
      </c>
      <c r="C1459" t="n">
        <v>25200</v>
      </c>
      <c r="D1459" t="inlineStr">
        <is>
          <t>機電/消防/弱電/AED</t>
        </is>
      </c>
      <c r="E1459" t="inlineStr">
        <is>
          <t>固定</t>
        </is>
      </c>
    </row>
    <row r="1460" ht="16.5" customHeight="1" s="84">
      <c r="A1460" t="inlineStr">
        <is>
          <t>2025-05</t>
        </is>
      </c>
      <c r="B1460" t="inlineStr">
        <is>
          <t>4月太古意弱電保養費</t>
        </is>
      </c>
      <c r="C1460" t="n">
        <v>10000</v>
      </c>
      <c r="D1460" t="inlineStr">
        <is>
          <t>機電/消防/弱電/AED</t>
        </is>
      </c>
      <c r="E1460" t="inlineStr">
        <is>
          <t>固定</t>
        </is>
      </c>
    </row>
    <row r="1461" ht="16.5" customHeight="1" s="84">
      <c r="A1461" t="inlineStr">
        <is>
          <t>2025-05</t>
        </is>
      </c>
      <c r="B1461" t="inlineStr">
        <is>
          <t>4月御品網路保養費</t>
        </is>
      </c>
      <c r="C1461" t="n">
        <v>9450</v>
      </c>
      <c r="D1461" t="inlineStr">
        <is>
          <t>機電/消防/弱電/AED</t>
        </is>
      </c>
      <c r="E1461" t="inlineStr">
        <is>
          <t>固定</t>
        </is>
      </c>
    </row>
    <row r="1462" ht="16.5" customHeight="1" s="84">
      <c r="A1462" t="inlineStr">
        <is>
          <t>2025-05</t>
        </is>
      </c>
      <c r="B1462" t="inlineStr">
        <is>
          <t>5月新光電通AED設備月租費</t>
        </is>
      </c>
      <c r="C1462" t="n">
        <v>1500</v>
      </c>
      <c r="D1462" t="inlineStr">
        <is>
          <t>機電/消防/弱電/AED</t>
        </is>
      </c>
      <c r="E1462" t="inlineStr">
        <is>
          <t>固定</t>
        </is>
      </c>
    </row>
    <row r="1463" ht="16.5" customHeight="1" s="84">
      <c r="A1463" t="inlineStr">
        <is>
          <t>2025-05</t>
        </is>
      </c>
      <c r="B1463" t="inlineStr">
        <is>
          <t>4月新鑫堯垃圾廢棄物處理費</t>
        </is>
      </c>
      <c r="C1463" t="n">
        <v>37500</v>
      </c>
      <c r="D1463" t="inlineStr">
        <is>
          <t>垃圾廢棄物/園藝</t>
        </is>
      </c>
      <c r="E1463" t="inlineStr">
        <is>
          <t>固定</t>
        </is>
      </c>
    </row>
    <row r="1464" ht="16.5" customHeight="1" s="84">
      <c r="A1464" t="inlineStr">
        <is>
          <t>2025-05</t>
        </is>
      </c>
      <c r="B1464" t="inlineStr">
        <is>
          <t>4月富賀村園藝景觀修剪維護費(2個月/次)</t>
        </is>
      </c>
      <c r="C1464" t="n">
        <v>0</v>
      </c>
      <c r="D1464" t="inlineStr">
        <is>
          <t>垃圾廢棄物/園藝</t>
        </is>
      </c>
      <c r="E1464" t="inlineStr">
        <is>
          <t>固定</t>
        </is>
      </c>
    </row>
    <row r="1465" ht="16.5" customHeight="1" s="84">
      <c r="A1465" t="inlineStr">
        <is>
          <t>2025-05</t>
        </is>
      </c>
      <c r="B1465" t="inlineStr">
        <is>
          <t>2月電梯修繕費</t>
        </is>
      </c>
      <c r="C1465" t="n">
        <v>100000</v>
      </c>
      <c r="D1465" t="inlineStr">
        <is>
          <t>電梯保養與修繕</t>
        </is>
      </c>
      <c r="E1465" t="inlineStr">
        <is>
          <t>非固定</t>
        </is>
      </c>
      <c r="F1465" t="inlineStr">
        <is>
          <t>電梯</t>
        </is>
      </c>
    </row>
    <row r="1466" ht="16.5" customHeight="1" s="84">
      <c r="A1466" t="inlineStr">
        <is>
          <t>2025-05</t>
        </is>
      </c>
      <c r="B1466" t="inlineStr">
        <is>
          <t>4月零用金撥補</t>
        </is>
      </c>
      <c r="C1466" t="n">
        <v>4140</v>
      </c>
      <c r="D1466" t="inlineStr">
        <is>
          <t>內部轉帳</t>
        </is>
      </c>
      <c r="E1466" t="inlineStr">
        <is>
          <t>非固定</t>
        </is>
      </c>
    </row>
    <row r="1467" ht="16.5" customHeight="1" s="84">
      <c r="A1467" t="inlineStr">
        <is>
          <t>2025-05</t>
        </is>
      </c>
      <c r="B1467" t="inlineStr">
        <is>
          <t>5月管委會出席費用（預領）</t>
        </is>
      </c>
      <c r="C1467" t="n">
        <v>8000</v>
      </c>
      <c r="D1467" t="inlineStr">
        <is>
          <t>內部轉帳</t>
        </is>
      </c>
      <c r="E1467" t="inlineStr">
        <is>
          <t>非固定</t>
        </is>
      </c>
    </row>
    <row r="1468" ht="16.5" customHeight="1" s="84">
      <c r="A1468" t="inlineStr">
        <is>
          <t>2025-05</t>
        </is>
      </c>
      <c r="B1468" t="inlineStr">
        <is>
          <t>4月鋐隆社區清潔用品耗材</t>
        </is>
      </c>
      <c r="C1468" t="n">
        <v>5450</v>
      </c>
      <c r="D1468" t="inlineStr">
        <is>
          <t>清潔服務費</t>
        </is>
      </c>
      <c r="E1468" t="inlineStr">
        <is>
          <t>非固定</t>
        </is>
      </c>
    </row>
    <row r="1469" ht="16.5" customHeight="1" s="84">
      <c r="A1469" t="inlineStr">
        <is>
          <t>2025-05</t>
        </is>
      </c>
      <c r="B1469" t="inlineStr">
        <is>
          <t>4月長樂機電修繕費</t>
        </is>
      </c>
      <c r="C1469" t="n">
        <v>51135</v>
      </c>
      <c r="D1469" t="inlineStr">
        <is>
          <t>機電/消防/弱電/AED</t>
        </is>
      </c>
      <c r="E1469" t="inlineStr">
        <is>
          <t>非固定</t>
        </is>
      </c>
    </row>
    <row r="1470" ht="16.5" customHeight="1" s="84">
      <c r="A1470" t="inlineStr">
        <is>
          <t>2025-05</t>
        </is>
      </c>
      <c r="B1470" t="inlineStr">
        <is>
          <t>清潔呂班長垃圾間全部油漆工資</t>
        </is>
      </c>
      <c r="C1470" t="n">
        <v>4000</v>
      </c>
      <c r="D1470" t="inlineStr">
        <is>
          <t>垃圾廢棄物/園藝</t>
        </is>
      </c>
      <c r="E1470" t="inlineStr">
        <is>
          <t>非固定</t>
        </is>
      </c>
    </row>
    <row r="1471" ht="16.5" customHeight="1" s="84">
      <c r="A1471" t="inlineStr">
        <is>
          <t>2025-05</t>
        </is>
      </c>
      <c r="B1471" t="inlineStr">
        <is>
          <t>過年新鑫堯加收垃圾廢棄物</t>
        </is>
      </c>
      <c r="C1471" t="n">
        <v>3900</v>
      </c>
      <c r="D1471" t="inlineStr">
        <is>
          <t>垃圾廢棄物/園藝</t>
        </is>
      </c>
      <c r="E1471" t="inlineStr">
        <is>
          <t>非固定</t>
        </is>
      </c>
    </row>
    <row r="1472" ht="16.5" customHeight="1" s="84">
      <c r="A1472" t="inlineStr">
        <is>
          <t>2025-05</t>
        </is>
      </c>
      <c r="B1472" t="inlineStr">
        <is>
          <t>鐵捲門維修、擋片調整</t>
        </is>
      </c>
      <c r="C1472" t="n">
        <v>800</v>
      </c>
      <c r="D1472" t="inlineStr">
        <is>
          <t>工程維修/購置</t>
        </is>
      </c>
      <c r="E1472" t="inlineStr">
        <is>
          <t>非固定</t>
        </is>
      </c>
    </row>
    <row r="1473" ht="16.5" customHeight="1" s="84">
      <c r="A1473" t="inlineStr">
        <is>
          <t>2025-05</t>
        </is>
      </c>
      <c r="B1473" t="inlineStr">
        <is>
          <t>崇友電梯配合弱電廠商施工拉線戊棟10號電梯的工資</t>
        </is>
      </c>
      <c r="C1473" t="n">
        <v>1890</v>
      </c>
      <c r="D1473" t="inlineStr">
        <is>
          <t>電梯保養與修繕</t>
        </is>
      </c>
      <c r="E1473" t="inlineStr">
        <is>
          <t>非固定</t>
        </is>
      </c>
      <c r="F1473" t="inlineStr">
        <is>
          <t>電梯</t>
        </is>
      </c>
    </row>
    <row r="1474" ht="16.5" customHeight="1" s="84">
      <c r="A1474" t="inlineStr">
        <is>
          <t>2025-05</t>
        </is>
      </c>
      <c r="B1474" t="inlineStr">
        <is>
          <t>電梯1、3號主鋼索修剪；2、6、8、9號調速機鋼索修剪</t>
        </is>
      </c>
      <c r="C1474" t="n">
        <v>92400</v>
      </c>
      <c r="D1474" t="inlineStr">
        <is>
          <t>其他支出</t>
        </is>
      </c>
      <c r="E1474" t="inlineStr">
        <is>
          <t>非固定</t>
        </is>
      </c>
      <c r="F1474" t="inlineStr">
        <is>
          <t>電梯</t>
        </is>
      </c>
    </row>
    <row r="1475" ht="16.5" customHeight="1" s="84">
      <c r="A1475" t="inlineStr">
        <is>
          <t>2025-05</t>
        </is>
      </c>
      <c r="B1475" t="inlineStr">
        <is>
          <t>崇友電梯微壓按鈕故障更新500*25顆</t>
        </is>
      </c>
      <c r="C1475" t="n">
        <v>12500</v>
      </c>
      <c r="D1475" t="inlineStr">
        <is>
          <t>電梯保養與修繕</t>
        </is>
      </c>
      <c r="E1475" t="inlineStr">
        <is>
          <t>非固定</t>
        </is>
      </c>
      <c r="F1475" t="inlineStr">
        <is>
          <t>電梯</t>
        </is>
      </c>
    </row>
    <row r="1476" ht="16.5" customHeight="1" s="84">
      <c r="A1476" t="inlineStr">
        <is>
          <t>2025-05</t>
        </is>
      </c>
      <c r="B1476" t="inlineStr">
        <is>
          <t>頂樓陽台磁磚地板PU防水施作四道</t>
        </is>
      </c>
      <c r="C1476" t="n">
        <v>30000</v>
      </c>
      <c r="D1476" t="inlineStr">
        <is>
          <t>其他支出</t>
        </is>
      </c>
      <c r="E1476" t="inlineStr">
        <is>
          <t>非固定</t>
        </is>
      </c>
    </row>
    <row r="1477" ht="16.5" customHeight="1" s="84">
      <c r="A1477" t="inlineStr">
        <is>
          <t>2025-05</t>
        </is>
      </c>
      <c r="B1477" t="inlineStr">
        <is>
          <t>修改汙廢水管路向政府申請納管慈濟路工程案訂金</t>
        </is>
      </c>
      <c r="C1477" t="n">
        <v>300000</v>
      </c>
      <c r="D1477" t="inlineStr">
        <is>
          <t>工程維修/購置</t>
        </is>
      </c>
      <c r="E1477" t="inlineStr">
        <is>
          <t>非固定</t>
        </is>
      </c>
      <c r="F1477" t="inlineStr">
        <is>
          <t>納管</t>
        </is>
      </c>
    </row>
    <row r="1478" ht="16.5" customHeight="1" s="84">
      <c r="A1478" t="inlineStr">
        <is>
          <t>2025-05</t>
        </is>
      </c>
      <c r="B1478" t="inlineStr">
        <is>
          <t>門禁TW-951轉USB通訊器故障更新</t>
        </is>
      </c>
      <c r="C1478" t="n">
        <v>7875</v>
      </c>
      <c r="D1478" t="inlineStr">
        <is>
          <t>其他支出</t>
        </is>
      </c>
      <c r="E1478" t="inlineStr">
        <is>
          <t>非固定</t>
        </is>
      </c>
    </row>
    <row r="1479" ht="16.5" customHeight="1" s="84">
      <c r="A1479" t="inlineStr">
        <is>
          <t>2025-05</t>
        </is>
      </c>
      <c r="B1479" t="inlineStr">
        <is>
          <t>公共管道預留排水口未有效封閉造成K3住戶財損</t>
        </is>
      </c>
      <c r="C1479" t="n">
        <v>113000</v>
      </c>
      <c r="D1479" t="inlineStr">
        <is>
          <t>其他支出</t>
        </is>
      </c>
      <c r="E1479" t="inlineStr">
        <is>
          <t>非固定</t>
        </is>
      </c>
    </row>
    <row r="1480" ht="16.5" customHeight="1" s="84">
      <c r="A1480" t="inlineStr">
        <is>
          <t>2025-05</t>
        </is>
      </c>
      <c r="B1480" t="inlineStr">
        <is>
          <t>3月太古意弱電保養費</t>
        </is>
      </c>
      <c r="C1480" t="n">
        <v>10000</v>
      </c>
      <c r="D1480" t="inlineStr">
        <is>
          <t>機電/消防/弱電/AED</t>
        </is>
      </c>
      <c r="E1480" t="inlineStr">
        <is>
          <t>非固定</t>
        </is>
      </c>
    </row>
    <row r="1481" ht="16.5" customHeight="1" s="84">
      <c r="A1481" t="inlineStr">
        <is>
          <t>2025-05</t>
        </is>
      </c>
      <c r="B1481" t="inlineStr">
        <is>
          <t>社區電話費(5630533)</t>
        </is>
      </c>
      <c r="C1481" t="n">
        <v>731</v>
      </c>
      <c r="D1481" t="inlineStr">
        <is>
          <t>電話/網路費</t>
        </is>
      </c>
      <c r="E1481" t="inlineStr">
        <is>
          <t>非固定</t>
        </is>
      </c>
    </row>
    <row r="1482" ht="16.5" customHeight="1" s="84">
      <c r="A1482" t="inlineStr">
        <is>
          <t>2025-05</t>
        </is>
      </c>
      <c r="B1482" t="inlineStr">
        <is>
          <t>社區網路費(Y123617)</t>
        </is>
      </c>
      <c r="C1482" t="n">
        <v>1899</v>
      </c>
      <c r="D1482" t="inlineStr">
        <is>
          <t>電話/網路費</t>
        </is>
      </c>
      <c r="E1482" t="inlineStr">
        <is>
          <t>非固定</t>
        </is>
      </c>
    </row>
    <row r="1483" ht="16.5" customHeight="1" s="84">
      <c r="A1483" t="inlineStr">
        <is>
          <t>2025-05</t>
        </is>
      </c>
      <c r="B1483" t="inlineStr">
        <is>
          <t>社區網路費(Y174790)</t>
        </is>
      </c>
      <c r="C1483" t="n">
        <v>1899</v>
      </c>
      <c r="D1483" t="inlineStr">
        <is>
          <t>電話/網路費</t>
        </is>
      </c>
      <c r="E1483" t="inlineStr">
        <is>
          <t>非固定</t>
        </is>
      </c>
    </row>
    <row r="1484" ht="16.5" customHeight="1" s="84">
      <c r="A1484" t="inlineStr">
        <is>
          <t>2025-05</t>
        </is>
      </c>
      <c r="B1484" t="inlineStr">
        <is>
          <t>4月公共電費</t>
        </is>
      </c>
      <c r="C1484" t="n">
        <v>89242</v>
      </c>
      <c r="D1484" t="inlineStr">
        <is>
          <t>公共水電瓦斯</t>
        </is>
      </c>
      <c r="E1484" t="inlineStr">
        <is>
          <t>非固定</t>
        </is>
      </c>
    </row>
    <row r="1485" ht="16.5" customHeight="1" s="84">
      <c r="A1485" t="inlineStr">
        <is>
          <t>2025-06</t>
        </is>
      </c>
      <c r="B1485" t="inlineStr">
        <is>
          <t>5月誠鷹公寓大廈管理服務費</t>
        </is>
      </c>
      <c r="C1485" t="n">
        <v>119700</v>
      </c>
      <c r="D1485" t="inlineStr">
        <is>
          <t>管理服務費</t>
        </is>
      </c>
      <c r="E1485" t="inlineStr">
        <is>
          <t>固定</t>
        </is>
      </c>
    </row>
    <row r="1486" ht="15" customHeight="1" s="84">
      <c r="A1486" t="inlineStr">
        <is>
          <t>2025-06</t>
        </is>
      </c>
      <c r="B1486" t="inlineStr">
        <is>
          <t>5月誠鷹特勤保全服務費</t>
        </is>
      </c>
      <c r="C1486" t="n">
        <v>315000</v>
      </c>
      <c r="D1486" t="inlineStr">
        <is>
          <t>保全服務費</t>
        </is>
      </c>
      <c r="E1486" t="inlineStr">
        <is>
          <t>固定</t>
        </is>
      </c>
    </row>
    <row r="1487" ht="16.5" customHeight="1" s="84">
      <c r="A1487" t="inlineStr">
        <is>
          <t>2025-06</t>
        </is>
      </c>
      <c r="B1487" t="inlineStr">
        <is>
          <t>5月義明清潔服務費</t>
        </is>
      </c>
      <c r="C1487" t="n">
        <v>123000</v>
      </c>
      <c r="D1487" t="inlineStr">
        <is>
          <t>清潔服務費</t>
        </is>
      </c>
      <c r="E1487" t="inlineStr">
        <is>
          <t>固定</t>
        </is>
      </c>
    </row>
    <row r="1488" ht="16.5" customHeight="1" s="84">
      <c r="A1488" t="inlineStr">
        <is>
          <t>2025-06</t>
        </is>
      </c>
      <c r="B1488" t="inlineStr">
        <is>
          <t>5月順達清潔服務費</t>
        </is>
      </c>
      <c r="C1488" t="n">
        <v>123000</v>
      </c>
      <c r="D1488" t="inlineStr">
        <is>
          <t>清潔服務費</t>
        </is>
      </c>
      <c r="E1488" t="inlineStr">
        <is>
          <t>固定</t>
        </is>
      </c>
    </row>
    <row r="1489" ht="16.5" customHeight="1" s="84">
      <c r="A1489" t="inlineStr">
        <is>
          <t>2025-06</t>
        </is>
      </c>
      <c r="B1489" t="inlineStr">
        <is>
          <t>5月崇友電梯保養費</t>
        </is>
      </c>
      <c r="C1489" t="n">
        <v>100000</v>
      </c>
      <c r="D1489" t="inlineStr">
        <is>
          <t>電梯保養與修繕</t>
        </is>
      </c>
      <c r="E1489" t="inlineStr">
        <is>
          <t>固定</t>
        </is>
      </c>
    </row>
    <row r="1490" ht="16.5" customHeight="1" s="84">
      <c r="A1490" t="inlineStr">
        <is>
          <t>2025-06</t>
        </is>
      </c>
      <c r="B1490" t="inlineStr">
        <is>
          <t>5月電梯專用款撥補（每月固定撥補至電梯專用帳戶）</t>
        </is>
      </c>
      <c r="C1490" t="n">
        <v>0</v>
      </c>
      <c r="D1490" t="inlineStr">
        <is>
          <t>內部轉帳</t>
        </is>
      </c>
      <c r="E1490" t="inlineStr">
        <is>
          <t>固定</t>
        </is>
      </c>
    </row>
    <row r="1491" ht="16.5" customHeight="1" s="84">
      <c r="A1491" t="inlineStr">
        <is>
          <t>2025-06</t>
        </is>
      </c>
      <c r="B1491" t="inlineStr">
        <is>
          <t>5月長樂機電保養費</t>
        </is>
      </c>
      <c r="C1491" t="n">
        <v>25200</v>
      </c>
      <c r="D1491" t="inlineStr">
        <is>
          <t>機電/消防/弱電/AED</t>
        </is>
      </c>
      <c r="E1491" t="inlineStr">
        <is>
          <t>固定</t>
        </is>
      </c>
    </row>
    <row r="1492" ht="16.5" customHeight="1" s="84">
      <c r="A1492" t="inlineStr">
        <is>
          <t>2025-06</t>
        </is>
      </c>
      <c r="B1492" t="inlineStr">
        <is>
          <t>5月太古意弱電保養費</t>
        </is>
      </c>
      <c r="C1492" t="n">
        <v>10000</v>
      </c>
      <c r="D1492" t="inlineStr">
        <is>
          <t>機電/消防/弱電/AED</t>
        </is>
      </c>
      <c r="E1492" t="inlineStr">
        <is>
          <t>固定</t>
        </is>
      </c>
    </row>
    <row r="1493" ht="16.5" customHeight="1" s="84">
      <c r="A1493" t="inlineStr">
        <is>
          <t>2025-06</t>
        </is>
      </c>
      <c r="B1493" t="inlineStr">
        <is>
          <t>5月御品網路保養費</t>
        </is>
      </c>
      <c r="C1493" t="n">
        <v>9450</v>
      </c>
      <c r="D1493" t="inlineStr">
        <is>
          <t>機電/消防/弱電/AED</t>
        </is>
      </c>
      <c r="E1493" t="inlineStr">
        <is>
          <t>固定</t>
        </is>
      </c>
    </row>
    <row r="1494" ht="16.5" customHeight="1" s="84">
      <c r="A1494" t="inlineStr">
        <is>
          <t>2025-06</t>
        </is>
      </c>
      <c r="B1494" t="inlineStr">
        <is>
          <t>6月新光電通AED設備月租費</t>
        </is>
      </c>
      <c r="C1494" t="n">
        <v>1500</v>
      </c>
      <c r="D1494" t="inlineStr">
        <is>
          <t>機電/消防/弱電/AED</t>
        </is>
      </c>
      <c r="E1494" t="inlineStr">
        <is>
          <t>固定</t>
        </is>
      </c>
    </row>
    <row r="1495" ht="16.5" customHeight="1" s="84">
      <c r="A1495" t="inlineStr">
        <is>
          <t>2025-06</t>
        </is>
      </c>
      <c r="B1495" t="inlineStr">
        <is>
          <t>5月新鑫堯垃圾廢棄物處理費</t>
        </is>
      </c>
      <c r="C1495" t="n">
        <v>37500</v>
      </c>
      <c r="D1495" t="inlineStr">
        <is>
          <t>垃圾廢棄物/園藝</t>
        </is>
      </c>
      <c r="E1495" t="inlineStr">
        <is>
          <t>固定</t>
        </is>
      </c>
    </row>
    <row r="1496" ht="16.5" customHeight="1" s="84">
      <c r="A1496" t="inlineStr">
        <is>
          <t>2025-06</t>
        </is>
      </c>
      <c r="B1496" t="inlineStr">
        <is>
          <t>5月富賀村園藝景觀修剪維護費(2個月/次)</t>
        </is>
      </c>
      <c r="C1496" t="n">
        <v>33000</v>
      </c>
      <c r="D1496" t="inlineStr">
        <is>
          <t>垃圾廢棄物/園藝</t>
        </is>
      </c>
      <c r="E1496" t="inlineStr">
        <is>
          <t>固定</t>
        </is>
      </c>
    </row>
    <row r="1497" ht="16.5" customHeight="1" s="84">
      <c r="A1497" t="inlineStr">
        <is>
          <t>2025-06</t>
        </is>
      </c>
      <c r="B1497" t="inlineStr">
        <is>
          <t>5月零用金撥補</t>
        </is>
      </c>
      <c r="C1497" t="n">
        <v>22064</v>
      </c>
      <c r="D1497" t="inlineStr">
        <is>
          <t>內部轉帳</t>
        </is>
      </c>
      <c r="E1497" t="inlineStr">
        <is>
          <t>非固定</t>
        </is>
      </c>
    </row>
    <row r="1498" ht="16.5" customHeight="1" s="84">
      <c r="A1498" t="inlineStr">
        <is>
          <t>2025-06</t>
        </is>
      </c>
      <c r="B1498" t="inlineStr">
        <is>
          <t>6月管委會出席費用（預領）</t>
        </is>
      </c>
      <c r="C1498" t="n">
        <v>8000</v>
      </c>
      <c r="D1498" t="inlineStr">
        <is>
          <t>內部轉帳</t>
        </is>
      </c>
      <c r="E1498" t="inlineStr">
        <is>
          <t>非固定</t>
        </is>
      </c>
    </row>
    <row r="1499" ht="16.5" customHeight="1" s="84">
      <c r="A1499" t="inlineStr">
        <is>
          <t>2025-06</t>
        </is>
      </c>
      <c r="B1499" t="inlineStr">
        <is>
          <t>5月鋐隆社區清潔用品耗材</t>
        </is>
      </c>
      <c r="C1499" t="n">
        <v>5724</v>
      </c>
      <c r="D1499" t="inlineStr">
        <is>
          <t>清潔服務費</t>
        </is>
      </c>
      <c r="E1499" t="inlineStr">
        <is>
          <t>非固定</t>
        </is>
      </c>
    </row>
    <row r="1500" ht="16.5" customHeight="1" s="84">
      <c r="A1500" t="inlineStr">
        <is>
          <t>2025-06</t>
        </is>
      </c>
      <c r="B1500" t="inlineStr">
        <is>
          <t>5月長樂機電修繕費</t>
        </is>
      </c>
      <c r="C1500" t="n">
        <v>42147</v>
      </c>
      <c r="D1500" t="inlineStr">
        <is>
          <t>機電/消防/弱電/AED</t>
        </is>
      </c>
      <c r="E1500" t="inlineStr">
        <is>
          <t>非固定</t>
        </is>
      </c>
    </row>
    <row r="1501" ht="16.5" customHeight="1" s="84">
      <c r="A1501" t="inlineStr">
        <is>
          <t>2025-06</t>
        </is>
      </c>
      <c r="B1501" t="inlineStr">
        <is>
          <t>新鑫堯加收垃圾廢棄物*1桶</t>
        </is>
      </c>
      <c r="C1501" t="n">
        <v>650</v>
      </c>
      <c r="D1501" t="inlineStr">
        <is>
          <t>垃圾廢棄物/園藝</t>
        </is>
      </c>
      <c r="E1501" t="inlineStr">
        <is>
          <t>非固定</t>
        </is>
      </c>
    </row>
    <row r="1502" ht="15" customHeight="1" s="84">
      <c r="A1502" t="inlineStr">
        <is>
          <t>2025-06</t>
        </is>
      </c>
      <c r="B1502" t="inlineStr">
        <is>
          <t>更換2號17樓、4號15樓、4號16樓、3號電梯HCD*各1、機房PU168基板*1</t>
        </is>
      </c>
      <c r="C1502" t="n">
        <v>44040</v>
      </c>
      <c r="D1502" t="inlineStr">
        <is>
          <t>工程維修/購置</t>
        </is>
      </c>
      <c r="E1502" t="inlineStr">
        <is>
          <t>非固定</t>
        </is>
      </c>
      <c r="F1502" t="inlineStr">
        <is>
          <t>電梯</t>
        </is>
      </c>
    </row>
    <row r="1503" ht="16.5" customHeight="1" s="84">
      <c r="A1503" t="inlineStr">
        <is>
          <t>2025-06</t>
        </is>
      </c>
      <c r="B1503" t="inlineStr">
        <is>
          <t>10號電梯機房控制系統的變頻器更換</t>
        </is>
      </c>
      <c r="C1503" t="n">
        <v>86000</v>
      </c>
      <c r="D1503" t="inlineStr">
        <is>
          <t>其他支出</t>
        </is>
      </c>
      <c r="E1503" t="inlineStr">
        <is>
          <t>非固定</t>
        </is>
      </c>
      <c r="F1503" t="inlineStr">
        <is>
          <t>電梯</t>
        </is>
      </c>
    </row>
    <row r="1504" ht="16.5" customHeight="1" s="84">
      <c r="A1504" t="inlineStr">
        <is>
          <t>2025-06</t>
        </is>
      </c>
      <c r="B1504" t="inlineStr">
        <is>
          <t>K21退充電樁保證金</t>
        </is>
      </c>
      <c r="C1504" t="n">
        <v>50000</v>
      </c>
      <c r="D1504" t="inlineStr">
        <is>
          <t>內部轉帳</t>
        </is>
      </c>
      <c r="E1504" t="inlineStr">
        <is>
          <t>非固定</t>
        </is>
      </c>
    </row>
    <row r="1505" ht="16.5" customHeight="1" s="84">
      <c r="A1505" t="inlineStr">
        <is>
          <t>2025-06</t>
        </is>
      </c>
      <c r="B1505" t="inlineStr">
        <is>
          <t>晴揚氯錠*15桶</t>
        </is>
      </c>
      <c r="C1505" t="n">
        <v>33000</v>
      </c>
      <c r="D1505" t="inlineStr">
        <is>
          <t>工程維修/購置</t>
        </is>
      </c>
      <c r="E1505" t="inlineStr">
        <is>
          <t>非固定</t>
        </is>
      </c>
    </row>
    <row r="1506" ht="16.5" customHeight="1" s="84">
      <c r="A1506" t="inlineStr">
        <is>
          <t>2025-06</t>
        </is>
      </c>
      <c r="B1506" t="inlineStr">
        <is>
          <t>瑜珈教室更換窗簾頭、珠鍊*6</t>
        </is>
      </c>
      <c r="C1506" t="n">
        <v>9252</v>
      </c>
      <c r="D1506" t="inlineStr">
        <is>
          <t>其他支出</t>
        </is>
      </c>
      <c r="E1506" t="inlineStr">
        <is>
          <t>非固定</t>
        </is>
      </c>
    </row>
    <row r="1507" ht="16.5" customHeight="1" s="84">
      <c r="A1507" t="inlineStr">
        <is>
          <t>2025-06</t>
        </is>
      </c>
      <c r="B1507" t="inlineStr">
        <is>
          <t>健身房喬山腳踏車大、小多槽皮帶更新*4</t>
        </is>
      </c>
      <c r="C1507" t="n">
        <v>5200</v>
      </c>
      <c r="D1507" t="inlineStr">
        <is>
          <t>工程維修/購置</t>
        </is>
      </c>
      <c r="E1507" t="inlineStr">
        <is>
          <t>非固定</t>
        </is>
      </c>
    </row>
    <row r="1508" ht="16.5" customHeight="1" s="84">
      <c r="A1508" t="inlineStr">
        <is>
          <t>2025-06</t>
        </is>
      </c>
      <c r="B1508" t="inlineStr">
        <is>
          <t>健身房喬山T600-03-220V電動跑步機</t>
        </is>
      </c>
      <c r="C1508" t="n">
        <v>92300</v>
      </c>
      <c r="D1508" t="inlineStr">
        <is>
          <t>工程維修/購置</t>
        </is>
      </c>
      <c r="E1508" t="inlineStr">
        <is>
          <t>非固定</t>
        </is>
      </c>
    </row>
    <row r="1509" ht="16.5" customHeight="1" s="84">
      <c r="A1509" t="inlineStr">
        <is>
          <t>2025-06</t>
        </is>
      </c>
      <c r="B1509" t="inlineStr">
        <is>
          <t>儐順噴灌變頻器7.5HP、壓力傳輸器、風扇、工料</t>
        </is>
      </c>
      <c r="C1509" t="n">
        <v>53900</v>
      </c>
      <c r="D1509" t="inlineStr">
        <is>
          <t>其他支出</t>
        </is>
      </c>
      <c r="E1509" t="inlineStr">
        <is>
          <t>非固定</t>
        </is>
      </c>
    </row>
    <row r="1510" ht="15" customHeight="1" s="84">
      <c r="A1510" t="inlineStr">
        <is>
          <t>2025-06</t>
        </is>
      </c>
      <c r="B1510" t="inlineStr">
        <is>
          <t>HPM476DW印表機月租費年繳；黑色、紅色碳粉匣</t>
        </is>
      </c>
      <c r="C1510" t="n">
        <v>9080</v>
      </c>
      <c r="D1510" t="inlineStr">
        <is>
          <t>其他支出</t>
        </is>
      </c>
      <c r="E1510" t="inlineStr">
        <is>
          <t>非固定</t>
        </is>
      </c>
    </row>
    <row r="1511" ht="16.5" customHeight="1" s="84">
      <c r="A1511" t="inlineStr">
        <is>
          <t>2025-06</t>
        </is>
      </c>
      <c r="B1511" t="inlineStr">
        <is>
          <t>磁扣購買50*80</t>
        </is>
      </c>
      <c r="C1511" t="n">
        <v>4000</v>
      </c>
      <c r="D1511" t="inlineStr">
        <is>
          <t>工程維修/購置</t>
        </is>
      </c>
      <c r="E1511" t="inlineStr">
        <is>
          <t>非固定</t>
        </is>
      </c>
    </row>
    <row r="1512" ht="16.5" customHeight="1" s="84">
      <c r="A1512" t="inlineStr">
        <is>
          <t>2025-06</t>
        </is>
      </c>
      <c r="B1512" t="inlineStr">
        <is>
          <t>H2案律師閱卷費</t>
        </is>
      </c>
      <c r="C1512" t="n">
        <v>12000</v>
      </c>
      <c r="D1512" t="inlineStr">
        <is>
          <t>行政/會議/律師</t>
        </is>
      </c>
      <c r="E1512" t="inlineStr">
        <is>
          <t>非固定</t>
        </is>
      </c>
    </row>
    <row r="1513" ht="15" customHeight="1" s="84">
      <c r="A1513" t="inlineStr">
        <is>
          <t>2025-06</t>
        </is>
      </c>
      <c r="B1513" t="inlineStr">
        <is>
          <t>社區電話費(5630533)</t>
        </is>
      </c>
      <c r="C1513" t="n">
        <v>1621</v>
      </c>
      <c r="D1513" t="inlineStr">
        <is>
          <t>電話/網路費</t>
        </is>
      </c>
      <c r="E1513" t="inlineStr">
        <is>
          <t>非固定</t>
        </is>
      </c>
    </row>
    <row r="1514" ht="15" customHeight="1" s="84">
      <c r="A1514" t="inlineStr">
        <is>
          <t>2025-06</t>
        </is>
      </c>
      <c r="B1514" t="inlineStr">
        <is>
          <t>社區網路費(Y123617)</t>
        </is>
      </c>
      <c r="C1514" t="n">
        <v>1899</v>
      </c>
      <c r="D1514" t="inlineStr">
        <is>
          <t>電話/網路費</t>
        </is>
      </c>
      <c r="E1514" t="inlineStr">
        <is>
          <t>非固定</t>
        </is>
      </c>
    </row>
    <row r="1515" ht="15" customHeight="1" s="84">
      <c r="A1515" t="inlineStr">
        <is>
          <t>2025-06</t>
        </is>
      </c>
      <c r="B1515" t="inlineStr">
        <is>
          <t>社區網路費(Y174790)</t>
        </is>
      </c>
      <c r="C1515" t="n">
        <v>1899</v>
      </c>
      <c r="D1515" t="inlineStr">
        <is>
          <t>電話/網路費</t>
        </is>
      </c>
      <c r="E1515" t="inlineStr">
        <is>
          <t>非固定</t>
        </is>
      </c>
    </row>
    <row r="1516" ht="16.5" customHeight="1" s="84">
      <c r="A1516" t="inlineStr">
        <is>
          <t>2025-06</t>
        </is>
      </c>
      <c r="B1516" t="inlineStr">
        <is>
          <t>5月公共電費</t>
        </is>
      </c>
      <c r="C1516" t="n">
        <v>90039</v>
      </c>
      <c r="D1516" t="inlineStr">
        <is>
          <t>公共水電瓦斯</t>
        </is>
      </c>
      <c r="E1516" t="inlineStr">
        <is>
          <t>非固定</t>
        </is>
      </c>
    </row>
    <row r="1517" ht="16.5" customHeight="1" s="84">
      <c r="A1517" t="inlineStr">
        <is>
          <t>2025-06</t>
        </is>
      </c>
      <c r="B1517" t="inlineStr">
        <is>
          <t>自來水費</t>
        </is>
      </c>
      <c r="C1517" t="n">
        <v>6360</v>
      </c>
      <c r="D1517" t="inlineStr">
        <is>
          <t>公共水電瓦斯</t>
        </is>
      </c>
      <c r="E1517" t="inlineStr">
        <is>
          <t>非固定</t>
        </is>
      </c>
    </row>
    <row r="1518" ht="16.5" customHeight="1" s="84">
      <c r="A1518" t="inlineStr">
        <is>
          <t>2025-07</t>
        </is>
      </c>
      <c r="B1518" t="inlineStr">
        <is>
          <t>6月誠鷹公寓大廈管理服務費</t>
        </is>
      </c>
      <c r="C1518" t="n">
        <v>119700</v>
      </c>
      <c r="D1518" t="inlineStr">
        <is>
          <t>管理服務費</t>
        </is>
      </c>
      <c r="E1518" t="inlineStr">
        <is>
          <t>固定</t>
        </is>
      </c>
    </row>
    <row r="1519" ht="16.5" customHeight="1" s="84">
      <c r="A1519" t="inlineStr">
        <is>
          <t>2025-07</t>
        </is>
      </c>
      <c r="B1519" t="inlineStr">
        <is>
          <t>6月誠鷹特勤保全服務費</t>
        </is>
      </c>
      <c r="C1519" t="n">
        <v>315000</v>
      </c>
      <c r="D1519" t="inlineStr">
        <is>
          <t>保全服務費</t>
        </is>
      </c>
      <c r="E1519" t="inlineStr">
        <is>
          <t>固定</t>
        </is>
      </c>
    </row>
    <row r="1520" ht="16.5" customHeight="1" s="84">
      <c r="A1520" t="inlineStr">
        <is>
          <t>2025-07</t>
        </is>
      </c>
      <c r="B1520" t="inlineStr">
        <is>
          <t>6月義明清潔服務費</t>
        </is>
      </c>
      <c r="C1520" t="n">
        <v>123000</v>
      </c>
      <c r="D1520" t="inlineStr">
        <is>
          <t>清潔服務費</t>
        </is>
      </c>
      <c r="E1520" t="inlineStr">
        <is>
          <t>固定</t>
        </is>
      </c>
    </row>
    <row r="1521" ht="15" customHeight="1" s="84">
      <c r="A1521" t="inlineStr">
        <is>
          <t>2025-07</t>
        </is>
      </c>
      <c r="B1521" t="inlineStr">
        <is>
          <t>6月順達清潔服務費</t>
        </is>
      </c>
      <c r="C1521" t="n">
        <v>123000</v>
      </c>
      <c r="D1521" t="inlineStr">
        <is>
          <t>清潔服務費</t>
        </is>
      </c>
      <c r="E1521" t="inlineStr">
        <is>
          <t>固定</t>
        </is>
      </c>
    </row>
    <row r="1522" ht="16.5" customHeight="1" s="84">
      <c r="A1522" t="inlineStr">
        <is>
          <t>2025-07</t>
        </is>
      </c>
      <c r="B1522" t="inlineStr">
        <is>
          <t>6月崇友電梯保養費</t>
        </is>
      </c>
      <c r="C1522" t="n">
        <v>100000</v>
      </c>
      <c r="D1522" t="inlineStr">
        <is>
          <t>電梯保養與修繕</t>
        </is>
      </c>
      <c r="E1522" t="inlineStr">
        <is>
          <t>固定</t>
        </is>
      </c>
    </row>
    <row r="1523" ht="16.5" customHeight="1" s="84">
      <c r="A1523" t="inlineStr">
        <is>
          <t>2025-07</t>
        </is>
      </c>
      <c r="B1523" t="inlineStr">
        <is>
          <t>6月電梯專用款撥補（每月固定撥補至電梯專用帳戶）</t>
        </is>
      </c>
      <c r="C1523" t="n">
        <v>100000</v>
      </c>
      <c r="D1523" t="inlineStr">
        <is>
          <t>內部轉帳</t>
        </is>
      </c>
      <c r="E1523" t="inlineStr">
        <is>
          <t>固定</t>
        </is>
      </c>
    </row>
    <row r="1524" ht="16.5" customHeight="1" s="84">
      <c r="A1524" t="inlineStr">
        <is>
          <t>2025-07</t>
        </is>
      </c>
      <c r="B1524" t="inlineStr">
        <is>
          <t>6月長樂機電保養費</t>
        </is>
      </c>
      <c r="C1524" t="n">
        <v>25200</v>
      </c>
      <c r="D1524" t="inlineStr">
        <is>
          <t>機電/消防/弱電/AED</t>
        </is>
      </c>
      <c r="E1524" t="inlineStr">
        <is>
          <t>固定</t>
        </is>
      </c>
    </row>
    <row r="1525" ht="16.5" customHeight="1" s="84">
      <c r="A1525" t="inlineStr">
        <is>
          <t>2025-07</t>
        </is>
      </c>
      <c r="B1525" t="inlineStr">
        <is>
          <t>6月太古意弱電保養費</t>
        </is>
      </c>
      <c r="C1525" t="n">
        <v>10000</v>
      </c>
      <c r="D1525" t="inlineStr">
        <is>
          <t>機電/消防/弱電/AED</t>
        </is>
      </c>
      <c r="E1525" t="inlineStr">
        <is>
          <t>固定</t>
        </is>
      </c>
    </row>
    <row r="1526" ht="16.5" customHeight="1" s="84">
      <c r="A1526" t="inlineStr">
        <is>
          <t>2025-07</t>
        </is>
      </c>
      <c r="B1526" t="inlineStr">
        <is>
          <t>6月御品網路保養費</t>
        </is>
      </c>
      <c r="C1526" t="n">
        <v>9450</v>
      </c>
      <c r="D1526" t="inlineStr">
        <is>
          <t>機電/消防/弱電/AED</t>
        </is>
      </c>
      <c r="E1526" t="inlineStr">
        <is>
          <t>固定</t>
        </is>
      </c>
    </row>
    <row r="1527" ht="16.5" customHeight="1" s="84">
      <c r="A1527" t="inlineStr">
        <is>
          <t>2025-07</t>
        </is>
      </c>
      <c r="B1527" t="inlineStr">
        <is>
          <t>6月新光電通AED設備月租費</t>
        </is>
      </c>
      <c r="C1527" t="n">
        <v>1500</v>
      </c>
      <c r="D1527" t="inlineStr">
        <is>
          <t>機電/消防/弱電/AED</t>
        </is>
      </c>
      <c r="E1527" t="inlineStr">
        <is>
          <t>固定</t>
        </is>
      </c>
    </row>
    <row r="1528" ht="16.5" customHeight="1" s="84">
      <c r="A1528" t="inlineStr">
        <is>
          <t>2025-07</t>
        </is>
      </c>
      <c r="B1528" t="inlineStr">
        <is>
          <t>6月新鑫堯垃圾廢棄物處理費</t>
        </is>
      </c>
      <c r="C1528" t="n">
        <v>37500</v>
      </c>
      <c r="D1528" t="inlineStr">
        <is>
          <t>垃圾廢棄物/園藝</t>
        </is>
      </c>
      <c r="E1528" t="inlineStr">
        <is>
          <t>固定</t>
        </is>
      </c>
    </row>
    <row r="1529" ht="16.5" customHeight="1" s="84">
      <c r="A1529" t="inlineStr">
        <is>
          <t>2025-07</t>
        </is>
      </c>
      <c r="B1529" t="inlineStr">
        <is>
          <t>6月富賀村園藝景觀修剪維護費(2個月/次)</t>
        </is>
      </c>
      <c r="C1529" t="n">
        <v>0</v>
      </c>
      <c r="D1529" t="inlineStr">
        <is>
          <t>垃圾廢棄物/園藝</t>
        </is>
      </c>
      <c r="E1529" t="inlineStr">
        <is>
          <t>固定</t>
        </is>
      </c>
    </row>
    <row r="1530" ht="16.5" customHeight="1" s="84">
      <c r="A1530" t="inlineStr">
        <is>
          <t>2025-07</t>
        </is>
      </c>
      <c r="B1530" t="inlineStr">
        <is>
          <t>6月零用金撥補</t>
        </is>
      </c>
      <c r="C1530" t="n">
        <v>33243</v>
      </c>
      <c r="D1530" t="inlineStr">
        <is>
          <t>內部轉帳</t>
        </is>
      </c>
      <c r="E1530" t="inlineStr">
        <is>
          <t>非固定</t>
        </is>
      </c>
    </row>
    <row r="1531" ht="16.5" customHeight="1" s="84">
      <c r="A1531" t="inlineStr">
        <is>
          <t>2025-07</t>
        </is>
      </c>
      <c r="B1531" t="inlineStr">
        <is>
          <t>7月管委會出席費用（預領）</t>
        </is>
      </c>
      <c r="C1531" t="n">
        <v>8000</v>
      </c>
      <c r="D1531" t="inlineStr">
        <is>
          <t>內部轉帳</t>
        </is>
      </c>
      <c r="E1531" t="inlineStr">
        <is>
          <t>非固定</t>
        </is>
      </c>
    </row>
    <row r="1532" ht="16.5" customHeight="1" s="84">
      <c r="A1532" t="inlineStr">
        <is>
          <t>2025-07</t>
        </is>
      </c>
      <c r="B1532" t="inlineStr">
        <is>
          <t>浩源地下室雨水管通管清洗$2500*30支</t>
        </is>
      </c>
      <c r="C1532" t="n">
        <v>75000</v>
      </c>
      <c r="D1532" t="inlineStr">
        <is>
          <t>工程維修/購置</t>
        </is>
      </c>
      <c r="E1532" t="inlineStr">
        <is>
          <t>非固定</t>
        </is>
      </c>
    </row>
    <row r="1533" ht="16.5" customHeight="1" s="84">
      <c r="A1533" t="inlineStr">
        <is>
          <t>2025-07</t>
        </is>
      </c>
      <c r="B1533" t="inlineStr">
        <is>
          <t>鐵捲門壓力調整</t>
        </is>
      </c>
      <c r="C1533" t="n">
        <v>735</v>
      </c>
      <c r="D1533" t="inlineStr">
        <is>
          <t>其他支出</t>
        </is>
      </c>
      <c r="E1533" t="inlineStr">
        <is>
          <t>非固定</t>
        </is>
      </c>
    </row>
    <row r="1534" ht="16.5" customHeight="1" s="84">
      <c r="A1534" t="inlineStr">
        <is>
          <t>2025-07</t>
        </is>
      </c>
      <c r="B1534" t="inlineStr">
        <is>
          <t>蜘蛛人外牆施工(實際上是匯給築起)</t>
        </is>
      </c>
      <c r="C1534" t="n">
        <v>1000000</v>
      </c>
      <c r="D1534" t="inlineStr">
        <is>
          <t>工程維修/購置</t>
        </is>
      </c>
      <c r="E1534" t="inlineStr">
        <is>
          <t>非固定</t>
        </is>
      </c>
      <c r="F1534" t="inlineStr">
        <is>
          <t>納管</t>
        </is>
      </c>
    </row>
    <row r="1535" ht="16.5" customHeight="1" s="84">
      <c r="A1535" t="inlineStr">
        <is>
          <t>2025-07</t>
        </is>
      </c>
      <c r="B1535" t="inlineStr">
        <is>
          <t>5月電梯專用款撥補(每月固定撥補至電梯專用帳戶)</t>
        </is>
      </c>
      <c r="C1535" t="n">
        <v>100000</v>
      </c>
      <c r="D1535" t="inlineStr">
        <is>
          <t>內部轉帳</t>
        </is>
      </c>
      <c r="E1535" t="inlineStr">
        <is>
          <t>非固定</t>
        </is>
      </c>
    </row>
    <row r="1536" ht="16.5" customHeight="1" s="84">
      <c r="A1536" t="inlineStr">
        <is>
          <t>2025-07</t>
        </is>
      </c>
      <c r="B1536" t="inlineStr">
        <is>
          <t>三號電梯CCU基板維修、四號電梯微型斷路器維修</t>
        </is>
      </c>
      <c r="C1536" t="n">
        <v>8050</v>
      </c>
      <c r="D1536" t="inlineStr">
        <is>
          <t>工程維修/購置</t>
        </is>
      </c>
      <c r="E1536" t="inlineStr">
        <is>
          <t>非固定</t>
        </is>
      </c>
      <c r="F1536" t="inlineStr">
        <is>
          <t>電梯</t>
        </is>
      </c>
    </row>
    <row r="1537" ht="16.5" customHeight="1" s="84">
      <c r="A1537" t="inlineStr">
        <is>
          <t>2025-07</t>
        </is>
      </c>
      <c r="B1537" t="inlineStr">
        <is>
          <t>乙棟一樓大門讀卡機更換、辦公室及櫃檯市話線路損壞維修</t>
        </is>
      </c>
      <c r="C1537" t="n">
        <v>9503</v>
      </c>
      <c r="D1537" t="inlineStr">
        <is>
          <t>工程維修/購置</t>
        </is>
      </c>
      <c r="E1537" t="inlineStr">
        <is>
          <t>非固定</t>
        </is>
      </c>
    </row>
    <row r="1538" ht="16.5" customHeight="1" s="84">
      <c r="A1538" t="inlineStr">
        <is>
          <t>2025-07</t>
        </is>
      </c>
      <c r="B1538" t="inlineStr">
        <is>
          <t>長樂機電社區公共耗材修繕費</t>
        </is>
      </c>
      <c r="C1538" t="n">
        <v>72408</v>
      </c>
      <c r="D1538" t="inlineStr">
        <is>
          <t>機電/消防/弱電/AED</t>
        </is>
      </c>
      <c r="E1538" t="inlineStr">
        <is>
          <t>非固定</t>
        </is>
      </c>
    </row>
    <row r="1539" ht="16.5" customHeight="1" s="84">
      <c r="A1539" t="inlineStr">
        <is>
          <t>2025-07</t>
        </is>
      </c>
      <c r="B1539" t="inlineStr">
        <is>
          <t>新鑫堯加收垃圾廢棄物5桶</t>
        </is>
      </c>
      <c r="C1539" t="n">
        <v>3250</v>
      </c>
      <c r="D1539" t="inlineStr">
        <is>
          <t>垃圾廢棄物/園藝</t>
        </is>
      </c>
      <c r="E1539" t="inlineStr">
        <is>
          <t>非固定</t>
        </is>
      </c>
    </row>
    <row r="1540" ht="16.5" customHeight="1" s="84">
      <c r="A1540" t="inlineStr">
        <is>
          <t>2025-07</t>
        </is>
      </c>
      <c r="B1540" t="inlineStr">
        <is>
          <t>閱覽室、游泳池、M10、Q7玻璃修繕</t>
        </is>
      </c>
      <c r="C1540" t="n">
        <v>83927</v>
      </c>
      <c r="D1540" t="inlineStr">
        <is>
          <t>其他支出</t>
        </is>
      </c>
      <c r="E1540" t="inlineStr">
        <is>
          <t>非固定</t>
        </is>
      </c>
    </row>
    <row r="1541" ht="16.5" customHeight="1" s="84">
      <c r="A1541" t="inlineStr">
        <is>
          <t>2025-07</t>
        </is>
      </c>
      <c r="B1541" t="inlineStr">
        <is>
          <t>游泳池設備、零件修繕</t>
        </is>
      </c>
      <c r="C1541" t="n">
        <v>26500</v>
      </c>
      <c r="D1541" t="inlineStr">
        <is>
          <t>其他支出</t>
        </is>
      </c>
      <c r="E1541" t="inlineStr">
        <is>
          <t>非固定</t>
        </is>
      </c>
      <c r="F1541" t="inlineStr">
        <is>
          <t>游泳池</t>
        </is>
      </c>
    </row>
    <row r="1542" ht="16.5" customHeight="1" s="84">
      <c r="A1542" t="inlineStr">
        <is>
          <t>2025-07</t>
        </is>
      </c>
      <c r="B1542" t="inlineStr">
        <is>
          <t>戊棟頂樓P戶靠左側磁磚地板PU防水施作四道</t>
        </is>
      </c>
      <c r="C1542" t="n">
        <v>35000</v>
      </c>
      <c r="D1542" t="inlineStr">
        <is>
          <t>其他支出</t>
        </is>
      </c>
      <c r="E1542" t="inlineStr">
        <is>
          <t>非固定</t>
        </is>
      </c>
    </row>
    <row r="1543" ht="16.5" customHeight="1" s="84">
      <c r="A1543" t="inlineStr">
        <is>
          <t>2025-07</t>
        </is>
      </c>
      <c r="B1543" t="inlineStr">
        <is>
          <t>天幕高空蜘蛛人外牆磁磚修繕114/06/04～114/06/30</t>
        </is>
      </c>
      <c r="C1543" t="n">
        <v>500000</v>
      </c>
      <c r="D1543" t="inlineStr">
        <is>
          <t>工程維修/購置</t>
        </is>
      </c>
      <c r="E1543" t="inlineStr">
        <is>
          <t>非固定</t>
        </is>
      </c>
      <c r="F1543" t="inlineStr">
        <is>
          <t>外牆修繕</t>
        </is>
      </c>
    </row>
    <row r="1544" ht="16.5" customHeight="1" s="84">
      <c r="A1544" t="inlineStr">
        <is>
          <t>2025-07</t>
        </is>
      </c>
      <c r="B1544" t="inlineStr">
        <is>
          <t>富泰石廠商慈濟路人行道石材地磚訂金</t>
        </is>
      </c>
      <c r="C1544" t="n">
        <v>85000</v>
      </c>
      <c r="D1544" t="inlineStr">
        <is>
          <t>其他支出</t>
        </is>
      </c>
      <c r="E1544" t="inlineStr">
        <is>
          <t>非固定</t>
        </is>
      </c>
    </row>
    <row r="1545" ht="16.5" customHeight="1" s="84">
      <c r="A1545" t="inlineStr">
        <is>
          <t>2025-07</t>
        </is>
      </c>
      <c r="B1545" t="inlineStr">
        <is>
          <t>富邦產險公共意外責任險費</t>
        </is>
      </c>
      <c r="C1545" t="n">
        <v>11294</v>
      </c>
      <c r="D1545" t="inlineStr">
        <is>
          <t>其他支出</t>
        </is>
      </c>
      <c r="E1545" t="inlineStr">
        <is>
          <t>非固定</t>
        </is>
      </c>
    </row>
    <row r="1546" ht="16.5" customHeight="1" s="84">
      <c r="A1546" t="inlineStr">
        <is>
          <t>2025-07</t>
        </is>
      </c>
      <c r="B1546" t="inlineStr">
        <is>
          <t>富邦產險商業火災保險費</t>
        </is>
      </c>
      <c r="C1546" t="n">
        <v>8000</v>
      </c>
      <c r="D1546" t="inlineStr">
        <is>
          <t>其他支出</t>
        </is>
      </c>
      <c r="E1546" t="inlineStr">
        <is>
          <t>非固定</t>
        </is>
      </c>
    </row>
    <row r="1547" ht="16.5" customHeight="1" s="84">
      <c r="A1547" t="inlineStr">
        <is>
          <t>2025-07</t>
        </is>
      </c>
      <c r="B1547" t="inlineStr">
        <is>
          <t>築起企業社廠商慈濟路人行道陰井口串聯管路埋設工程訂金</t>
        </is>
      </c>
      <c r="C1547" t="n">
        <v>600000</v>
      </c>
      <c r="D1547" t="inlineStr">
        <is>
          <t>工程維修/購置</t>
        </is>
      </c>
      <c r="E1547" t="inlineStr">
        <is>
          <t>非固定</t>
        </is>
      </c>
      <c r="F1547" t="inlineStr">
        <is>
          <t>納管</t>
        </is>
      </c>
    </row>
    <row r="1548" ht="16.5" customHeight="1" s="84">
      <c r="A1548" t="inlineStr">
        <is>
          <t>2025-07</t>
        </is>
      </c>
      <c r="B1548" t="inlineStr">
        <is>
          <t>社區電話費(5630533)</t>
        </is>
      </c>
      <c r="C1548" t="n">
        <v>1117</v>
      </c>
      <c r="D1548" t="inlineStr">
        <is>
          <t>電話/網路費</t>
        </is>
      </c>
      <c r="E1548" t="inlineStr">
        <is>
          <t>非固定</t>
        </is>
      </c>
    </row>
    <row r="1549" ht="16.5" customHeight="1" s="84">
      <c r="A1549" t="inlineStr">
        <is>
          <t>2025-07</t>
        </is>
      </c>
      <c r="B1549" t="inlineStr">
        <is>
          <t>社區網路費(Y123617)</t>
        </is>
      </c>
      <c r="C1549" t="n">
        <v>1899</v>
      </c>
      <c r="D1549" t="inlineStr">
        <is>
          <t>電話/網路費</t>
        </is>
      </c>
      <c r="E1549" t="inlineStr">
        <is>
          <t>非固定</t>
        </is>
      </c>
    </row>
    <row r="1550" ht="16.5" customHeight="1" s="84">
      <c r="A1550" t="inlineStr">
        <is>
          <t>2025-07</t>
        </is>
      </c>
      <c r="B1550" t="inlineStr">
        <is>
          <t>社區網路費(Y174790)</t>
        </is>
      </c>
      <c r="C1550" t="n">
        <v>1899</v>
      </c>
      <c r="D1550" t="inlineStr">
        <is>
          <t>電話/網路費</t>
        </is>
      </c>
      <c r="E1550" t="inlineStr">
        <is>
          <t>非固定</t>
        </is>
      </c>
    </row>
    <row r="1551" ht="16.5" customHeight="1" s="84">
      <c r="A1551" t="inlineStr">
        <is>
          <t>2025-07</t>
        </is>
      </c>
      <c r="B1551" t="inlineStr">
        <is>
          <t>7月公共電費</t>
        </is>
      </c>
      <c r="C1551" t="n">
        <v>100318</v>
      </c>
      <c r="D1551" t="inlineStr">
        <is>
          <t>公共水電瓦斯</t>
        </is>
      </c>
      <c r="E1551" t="inlineStr">
        <is>
          <t>非固定</t>
        </is>
      </c>
    </row>
    <row r="1552" ht="16.5" customHeight="1" s="84">
      <c r="A1552" t="inlineStr">
        <is>
          <t>2025-07</t>
        </is>
      </c>
      <c r="B1552" t="inlineStr">
        <is>
          <t>自來水費</t>
        </is>
      </c>
      <c r="C1552" t="n">
        <v>0</v>
      </c>
      <c r="D1552" t="inlineStr">
        <is>
          <t>公共水電瓦斯</t>
        </is>
      </c>
      <c r="E1552" t="inlineStr">
        <is>
          <t>非固定</t>
        </is>
      </c>
    </row>
    <row r="1553" ht="16.5" customHeight="1" s="84">
      <c r="A1553" t="inlineStr">
        <is>
          <t>2025-08</t>
        </is>
      </c>
      <c r="B1553" t="inlineStr">
        <is>
          <t>7月誠鷹公寓大廈管理服務費</t>
        </is>
      </c>
      <c r="C1553" t="n">
        <v>119700</v>
      </c>
      <c r="D1553" t="inlineStr">
        <is>
          <t>管理服務費</t>
        </is>
      </c>
      <c r="E1553" t="inlineStr">
        <is>
          <t>固定</t>
        </is>
      </c>
    </row>
    <row r="1554" ht="16.5" customHeight="1" s="84">
      <c r="A1554" t="inlineStr">
        <is>
          <t>2025-08</t>
        </is>
      </c>
      <c r="B1554" t="inlineStr">
        <is>
          <t>7月誠鷹特勤保全服務費</t>
        </is>
      </c>
      <c r="C1554" t="n">
        <v>315000</v>
      </c>
      <c r="D1554" t="inlineStr">
        <is>
          <t>保全服務費</t>
        </is>
      </c>
      <c r="E1554" t="inlineStr">
        <is>
          <t>固定</t>
        </is>
      </c>
    </row>
    <row r="1555" ht="16.5" customHeight="1" s="84">
      <c r="A1555" t="inlineStr">
        <is>
          <t>2025-08</t>
        </is>
      </c>
      <c r="B1555" t="inlineStr">
        <is>
          <t>7月義明清潔服務費</t>
        </is>
      </c>
      <c r="C1555" t="n">
        <v>123000</v>
      </c>
      <c r="D1555" t="inlineStr">
        <is>
          <t>清潔服務費</t>
        </is>
      </c>
      <c r="E1555" t="inlineStr">
        <is>
          <t>固定</t>
        </is>
      </c>
    </row>
    <row r="1556" ht="15" customHeight="1" s="84">
      <c r="A1556" t="inlineStr">
        <is>
          <t>2025-08</t>
        </is>
      </c>
      <c r="B1556" t="inlineStr">
        <is>
          <t>7月順達清潔服務費</t>
        </is>
      </c>
      <c r="C1556" t="n">
        <v>123000</v>
      </c>
      <c r="D1556" t="inlineStr">
        <is>
          <t>清潔服務費</t>
        </is>
      </c>
      <c r="E1556" t="inlineStr">
        <is>
          <t>固定</t>
        </is>
      </c>
    </row>
    <row r="1557" ht="16.5" customHeight="1" s="84">
      <c r="A1557" t="inlineStr">
        <is>
          <t>2025-08</t>
        </is>
      </c>
      <c r="B1557" t="inlineStr">
        <is>
          <t>7月崇友電梯保養費</t>
        </is>
      </c>
      <c r="C1557" t="n">
        <v>100000</v>
      </c>
      <c r="D1557" t="inlineStr">
        <is>
          <t>電梯保養與修繕</t>
        </is>
      </c>
      <c r="E1557" t="inlineStr">
        <is>
          <t>固定</t>
        </is>
      </c>
    </row>
    <row r="1558" ht="16.5" customHeight="1" s="84">
      <c r="A1558" t="inlineStr">
        <is>
          <t>2025-08</t>
        </is>
      </c>
      <c r="B1558" t="inlineStr">
        <is>
          <t>7月電梯專用款撥補（每月固定撥補至元大電梯專用帳戶）</t>
        </is>
      </c>
      <c r="C1558" t="n">
        <v>100000</v>
      </c>
      <c r="D1558" t="inlineStr">
        <is>
          <t>內部轉帳</t>
        </is>
      </c>
      <c r="E1558" t="inlineStr">
        <is>
          <t>固定</t>
        </is>
      </c>
    </row>
    <row r="1559" ht="16.5" customHeight="1" s="84">
      <c r="A1559" t="inlineStr">
        <is>
          <t>2025-08</t>
        </is>
      </c>
      <c r="B1559" t="inlineStr">
        <is>
          <t>7月長樂機電保養費</t>
        </is>
      </c>
      <c r="C1559" t="n">
        <v>25200</v>
      </c>
      <c r="D1559" t="inlineStr">
        <is>
          <t>機電/消防/弱電/AED</t>
        </is>
      </c>
      <c r="E1559" t="inlineStr">
        <is>
          <t>固定</t>
        </is>
      </c>
    </row>
    <row r="1560" ht="16.5" customHeight="1" s="84">
      <c r="A1560" t="inlineStr">
        <is>
          <t>2025-08</t>
        </is>
      </c>
      <c r="B1560" t="inlineStr">
        <is>
          <t>7月太古意弱電保養費</t>
        </is>
      </c>
      <c r="C1560" t="n">
        <v>10000</v>
      </c>
      <c r="D1560" t="inlineStr">
        <is>
          <t>機電/消防/弱電/AED</t>
        </is>
      </c>
      <c r="E1560" t="inlineStr">
        <is>
          <t>固定</t>
        </is>
      </c>
    </row>
    <row r="1561" ht="16.5" customHeight="1" s="84">
      <c r="A1561" t="inlineStr">
        <is>
          <t>2025-08</t>
        </is>
      </c>
      <c r="B1561" t="inlineStr">
        <is>
          <t>7月御品網路保養費</t>
        </is>
      </c>
      <c r="C1561" t="n">
        <v>9450</v>
      </c>
      <c r="D1561" t="inlineStr">
        <is>
          <t>機電/消防/弱電/AED</t>
        </is>
      </c>
      <c r="E1561" t="inlineStr">
        <is>
          <t>固定</t>
        </is>
      </c>
    </row>
    <row r="1562" ht="16.5" customHeight="1" s="84">
      <c r="A1562" t="inlineStr">
        <is>
          <t>2025-08</t>
        </is>
      </c>
      <c r="B1562" t="inlineStr">
        <is>
          <t>7月新光電通AED設備月租費</t>
        </is>
      </c>
      <c r="C1562" t="n">
        <v>1500</v>
      </c>
      <c r="D1562" t="inlineStr">
        <is>
          <t>機電/消防/弱電/AED</t>
        </is>
      </c>
      <c r="E1562" t="inlineStr">
        <is>
          <t>固定</t>
        </is>
      </c>
    </row>
    <row r="1563" ht="16.5" customHeight="1" s="84">
      <c r="A1563" t="inlineStr">
        <is>
          <t>2025-08</t>
        </is>
      </c>
      <c r="B1563" t="inlineStr">
        <is>
          <t>7月新鑫堯垃圾廢棄物處理費</t>
        </is>
      </c>
      <c r="C1563" t="n">
        <v>37500</v>
      </c>
      <c r="D1563" t="inlineStr">
        <is>
          <t>垃圾廢棄物/園藝</t>
        </is>
      </c>
      <c r="E1563" t="inlineStr">
        <is>
          <t>固定</t>
        </is>
      </c>
    </row>
    <row r="1564" ht="16.5" customHeight="1" s="84">
      <c r="A1564" t="inlineStr">
        <is>
          <t>2025-08</t>
        </is>
      </c>
      <c r="B1564" t="inlineStr">
        <is>
          <t>7月富賀村園藝景觀修剪維護費(2個月/次)</t>
        </is>
      </c>
      <c r="C1564" t="n">
        <v>33000</v>
      </c>
      <c r="D1564" t="inlineStr">
        <is>
          <t>垃圾廢棄物/園藝</t>
        </is>
      </c>
      <c r="E1564" t="inlineStr">
        <is>
          <t>固定</t>
        </is>
      </c>
    </row>
    <row r="1565" ht="16.5" customHeight="1" s="84">
      <c r="A1565" t="inlineStr">
        <is>
          <t>2025-08</t>
        </is>
      </c>
      <c r="B1565" t="inlineStr">
        <is>
          <t>7月零用金撥補</t>
        </is>
      </c>
      <c r="C1565" t="n">
        <v>5875</v>
      </c>
      <c r="D1565" t="inlineStr">
        <is>
          <t>內部轉帳</t>
        </is>
      </c>
      <c r="E1565" t="inlineStr">
        <is>
          <t>非固定</t>
        </is>
      </c>
    </row>
    <row r="1566" ht="16.5" customHeight="1" s="84">
      <c r="A1566" t="inlineStr">
        <is>
          <t>2025-08</t>
        </is>
      </c>
      <c r="B1566" t="inlineStr">
        <is>
          <t>7月管委會出席費用（預領）</t>
        </is>
      </c>
      <c r="C1566" t="n">
        <v>8000</v>
      </c>
      <c r="D1566" t="inlineStr">
        <is>
          <t>內部轉帳</t>
        </is>
      </c>
      <c r="E1566" t="inlineStr">
        <is>
          <t>非固定</t>
        </is>
      </c>
    </row>
    <row r="1567" ht="16.5" customHeight="1" s="84">
      <c r="A1567" t="inlineStr">
        <is>
          <t>2025-08</t>
        </is>
      </c>
      <c r="B1567" t="inlineStr">
        <is>
          <t>7月禾聯添購兩台冷氣-經理室及櫃檯</t>
        </is>
      </c>
      <c r="C1567" t="n">
        <v>154750</v>
      </c>
      <c r="D1567" t="inlineStr">
        <is>
          <t>其他支出</t>
        </is>
      </c>
      <c r="E1567" t="inlineStr">
        <is>
          <t>非固定</t>
        </is>
      </c>
    </row>
    <row r="1568" ht="16.5" customHeight="1" s="84">
      <c r="A1568" t="inlineStr">
        <is>
          <t>2025-08</t>
        </is>
      </c>
      <c r="B1568" t="inlineStr">
        <is>
          <t>7月景牆抽水肥6車 共4噸</t>
        </is>
      </c>
      <c r="C1568" t="n">
        <v>24000</v>
      </c>
      <c r="D1568" t="inlineStr">
        <is>
          <t>垃圾廢棄物/園藝</t>
        </is>
      </c>
      <c r="E1568" t="inlineStr">
        <is>
          <t>非固定</t>
        </is>
      </c>
    </row>
    <row r="1569" ht="16.5" customHeight="1" s="84">
      <c r="A1569" t="inlineStr">
        <is>
          <t>2025-08</t>
        </is>
      </c>
      <c r="B1569" t="inlineStr">
        <is>
          <t>114年7樂社區清潔用品耗材</t>
        </is>
      </c>
      <c r="C1569" t="n">
        <v>3623</v>
      </c>
      <c r="D1569" t="inlineStr">
        <is>
          <t>清潔服務費</t>
        </is>
      </c>
      <c r="E1569" t="inlineStr">
        <is>
          <t>非固定</t>
        </is>
      </c>
    </row>
    <row r="1570" ht="16.5" customHeight="1" s="84">
      <c r="A1570" t="inlineStr">
        <is>
          <t>2025-08</t>
        </is>
      </c>
      <c r="B1570" t="inlineStr">
        <is>
          <t>太古意(弱電)工程修繕費： (1)丁棟B1(13站)話機損壞 $1350元+安裝工資$698元 (2)樓層主控制主機板 $14000元 樓層控制點位版 $9500元 外接讀頭 $4500元 車廂固定訊號線傳輸線 $800元 安裝工資 $4065元 (3)C台專用電源供應器損壞 $1250元+安裝工資$693元 (4)電梯專用影像訊號線 $4000元 電梯門禁軟線 $4500元 五金材料 $1500元 安裝工資 $5750元 (5)戊棟頂樓(55站)話機損壞 $1350元+安裝工資 $908元</t>
        </is>
      </c>
      <c r="C1570" t="n">
        <v>54864</v>
      </c>
      <c r="D1570" t="inlineStr">
        <is>
          <t>機電/消防/弱電/AED</t>
        </is>
      </c>
      <c r="E1570" t="inlineStr">
        <is>
          <t>非固定</t>
        </is>
      </c>
      <c r="F1570" t="inlineStr">
        <is>
          <t>電梯</t>
        </is>
      </c>
    </row>
    <row r="1571" ht="16.5" customHeight="1" s="84">
      <c r="A1571" t="inlineStr">
        <is>
          <t>2025-08</t>
        </is>
      </c>
      <c r="B1571" t="inlineStr">
        <is>
          <t>7月新鑫堯加收垃圾廢棄物6桶</t>
        </is>
      </c>
      <c r="C1571" t="n">
        <v>6500</v>
      </c>
      <c r="D1571" t="inlineStr">
        <is>
          <t>垃圾廢棄物/園藝</t>
        </is>
      </c>
      <c r="E1571" t="inlineStr">
        <is>
          <t>非固定</t>
        </is>
      </c>
    </row>
    <row r="1572" ht="16.5" customHeight="1" s="84">
      <c r="A1572" t="inlineStr">
        <is>
          <t>2025-08</t>
        </is>
      </c>
      <c r="B1572" t="inlineStr">
        <is>
          <t>7月崇友電梯修繕費： (1)9號電梯平衡裝置吊環及繩套工程 (2)配合弱電拉線1式 (3)HCD顯示器*3台 (4)梯鄉按鈕一組 (5)門開關接點器</t>
        </is>
      </c>
      <c r="C1572" t="n">
        <v>82525</v>
      </c>
      <c r="D1572" t="inlineStr">
        <is>
          <t>電梯保養與修繕</t>
        </is>
      </c>
      <c r="E1572" t="inlineStr">
        <is>
          <t>非固定</t>
        </is>
      </c>
      <c r="F1572" t="inlineStr">
        <is>
          <t>電梯</t>
        </is>
      </c>
    </row>
    <row r="1573" ht="16.5" customHeight="1" s="84">
      <c r="A1573" t="inlineStr">
        <is>
          <t>2025-08</t>
        </is>
      </c>
      <c r="B1573" t="inlineStr">
        <is>
          <t>7月海豚灣服務費</t>
        </is>
      </c>
      <c r="C1573" t="n">
        <v>104276</v>
      </c>
      <c r="D1573" t="inlineStr">
        <is>
          <t>其他支出</t>
        </is>
      </c>
      <c r="E1573" t="inlineStr">
        <is>
          <t>非固定</t>
        </is>
      </c>
      <c r="F1573" t="inlineStr">
        <is>
          <t>游泳池</t>
        </is>
      </c>
    </row>
    <row r="1574" ht="16.5" customHeight="1" s="84">
      <c r="A1574" t="inlineStr">
        <is>
          <t>2025-08</t>
        </is>
      </c>
      <c r="B1574" t="inlineStr">
        <is>
          <t>7月儐順噴灌材料</t>
        </is>
      </c>
      <c r="C1574" t="n">
        <v>10000</v>
      </c>
      <c r="D1574" t="inlineStr">
        <is>
          <t>其他支出</t>
        </is>
      </c>
      <c r="E1574" t="inlineStr">
        <is>
          <t>非固定</t>
        </is>
      </c>
    </row>
    <row r="1575" ht="16.5" customHeight="1" s="84">
      <c r="A1575" t="inlineStr">
        <is>
          <t>2025-08</t>
        </is>
      </c>
      <c r="B1575" t="inlineStr">
        <is>
          <t>7月長樂修繕費： (1)庭園水底燈及地板燈查修線路 $33600元 (2)泳池景觀燈查線 $6000元</t>
        </is>
      </c>
      <c r="C1575" t="n">
        <v>39900</v>
      </c>
      <c r="D1575" t="inlineStr">
        <is>
          <t>垃圾廢棄物/園藝</t>
        </is>
      </c>
      <c r="E1575" t="inlineStr">
        <is>
          <t>非固定</t>
        </is>
      </c>
      <c r="F1575" t="inlineStr">
        <is>
          <t>游泳池</t>
        </is>
      </c>
    </row>
    <row r="1576" ht="16.5" customHeight="1" s="84">
      <c r="A1576" t="inlineStr">
        <is>
          <t>2025-08</t>
        </is>
      </c>
      <c r="B1576" t="inlineStr">
        <is>
          <t>7月長樂 公設燈具更換(27組)</t>
        </is>
      </c>
      <c r="C1576" t="n">
        <v>29873</v>
      </c>
      <c r="D1576" t="inlineStr">
        <is>
          <t>工程維修/購置</t>
        </is>
      </c>
      <c r="E1576" t="inlineStr">
        <is>
          <t>非固定</t>
        </is>
      </c>
    </row>
    <row r="1577" ht="16.5" customHeight="1" s="84">
      <c r="A1577" t="inlineStr">
        <is>
          <t>2025-08</t>
        </is>
      </c>
      <c r="B1577" t="inlineStr">
        <is>
          <t>7月富賀村園藝景觀修剪維護費(2個月/次)-外圍園藝喬木修剪</t>
        </is>
      </c>
      <c r="C1577" t="n">
        <v>202000</v>
      </c>
      <c r="D1577" t="inlineStr">
        <is>
          <t>垃圾廢棄物/園藝</t>
        </is>
      </c>
      <c r="E1577" t="inlineStr">
        <is>
          <t>非固定</t>
        </is>
      </c>
    </row>
    <row r="1578" ht="16.5" customHeight="1" s="84">
      <c r="A1578" t="inlineStr">
        <is>
          <t>2025-08</t>
        </is>
      </c>
      <c r="B1578" t="inlineStr">
        <is>
          <t>J14退裝潢保證金</t>
        </is>
      </c>
      <c r="C1578" t="n">
        <v>20000</v>
      </c>
      <c r="D1578" t="inlineStr">
        <is>
          <t>內部轉帳</t>
        </is>
      </c>
      <c r="E1578" t="inlineStr">
        <is>
          <t>非固定</t>
        </is>
      </c>
    </row>
    <row r="1579" ht="16.5" customHeight="1" s="84">
      <c r="A1579" t="inlineStr">
        <is>
          <t>2025-08</t>
        </is>
      </c>
      <c r="B1579" t="inlineStr">
        <is>
          <t>7月冷氣孔鑽孔費用</t>
        </is>
      </c>
      <c r="C1579" t="n">
        <v>19635</v>
      </c>
      <c r="D1579" t="inlineStr">
        <is>
          <t>其他支出</t>
        </is>
      </c>
      <c r="E1579" t="inlineStr">
        <is>
          <t>非固定</t>
        </is>
      </c>
    </row>
    <row r="1580" ht="16.5" customHeight="1" s="84">
      <c r="A1580" t="inlineStr">
        <is>
          <t>2025-08</t>
        </is>
      </c>
      <c r="B1580" t="inlineStr">
        <is>
          <t>7月天幕高空 (1)一組兩位上繩師傅+兩位資深師傅+一位地勤 每日 NT$48,000，共計13天，小計NT$624,000 (2)一組兩位上繩師傅+四位資深師傅+一位地勤 每日 NT$74,000，共計5天，小計NT$370,000 (3)一組兩位上繩師傅+六位資深師傅+一位地勤 每日 NT$100,000，共計4天，小計NT$400,000</t>
        </is>
      </c>
      <c r="C1580" t="n">
        <v>1463700</v>
      </c>
      <c r="D1580" t="inlineStr">
        <is>
          <t>工程維修/購置</t>
        </is>
      </c>
      <c r="E1580" t="inlineStr">
        <is>
          <t>非固定</t>
        </is>
      </c>
      <c r="F1580" t="inlineStr">
        <is>
          <t>外牆修繕</t>
        </is>
      </c>
    </row>
    <row r="1581" ht="16.5" customHeight="1" s="84">
      <c r="A1581" t="inlineStr">
        <is>
          <t>2025-08</t>
        </is>
      </c>
      <c r="B1581" t="inlineStr">
        <is>
          <t>7月天幕高空(增加六月發票稅金5%)</t>
        </is>
      </c>
      <c r="C1581" t="n">
        <v>25000</v>
      </c>
      <c r="D1581" t="inlineStr">
        <is>
          <t>工程維修/購置</t>
        </is>
      </c>
      <c r="E1581" t="inlineStr">
        <is>
          <t>非固定</t>
        </is>
      </c>
      <c r="F1581" t="inlineStr">
        <is>
          <t>外牆修繕</t>
        </is>
      </c>
    </row>
    <row r="1582" ht="16.5" customHeight="1" s="84">
      <c r="A1582" t="inlineStr">
        <is>
          <t>2025-08</t>
        </is>
      </c>
      <c r="B1582" t="inlineStr">
        <is>
          <t>7月律師費</t>
        </is>
      </c>
      <c r="C1582" t="n">
        <v>20030</v>
      </c>
      <c r="D1582" t="inlineStr">
        <is>
          <t>行政/會議/律師</t>
        </is>
      </c>
      <c r="E1582" t="inlineStr">
        <is>
          <t>非固定</t>
        </is>
      </c>
    </row>
    <row r="1583" ht="16.5" customHeight="1" s="84">
      <c r="A1583" t="inlineStr">
        <is>
          <t>2025-08</t>
        </is>
      </c>
      <c r="B1583" t="inlineStr">
        <is>
          <t>社區電話費(5630533)</t>
        </is>
      </c>
      <c r="C1583" t="n">
        <v>1066</v>
      </c>
      <c r="D1583" t="inlineStr">
        <is>
          <t>電話/網路費</t>
        </is>
      </c>
      <c r="E1583" t="inlineStr">
        <is>
          <t>非固定</t>
        </is>
      </c>
    </row>
    <row r="1584" ht="16.5" customHeight="1" s="84">
      <c r="A1584" t="inlineStr">
        <is>
          <t>2025-08</t>
        </is>
      </c>
      <c r="B1584" t="inlineStr">
        <is>
          <t>社區網路費(Y123617)</t>
        </is>
      </c>
      <c r="C1584" t="n">
        <v>1899</v>
      </c>
      <c r="D1584" t="inlineStr">
        <is>
          <t>電話/網路費</t>
        </is>
      </c>
      <c r="E1584" t="inlineStr">
        <is>
          <t>非固定</t>
        </is>
      </c>
    </row>
    <row r="1585" ht="16.5" customHeight="1" s="84">
      <c r="A1585" t="inlineStr">
        <is>
          <t>2025-08</t>
        </is>
      </c>
      <c r="B1585" t="inlineStr">
        <is>
          <t>社區網路費(Y174790)</t>
        </is>
      </c>
      <c r="C1585" t="n">
        <v>1899</v>
      </c>
      <c r="D1585" t="inlineStr">
        <is>
          <t>電話/網路費</t>
        </is>
      </c>
      <c r="E1585" t="inlineStr">
        <is>
          <t>非固定</t>
        </is>
      </c>
    </row>
    <row r="1586" ht="16.5" customHeight="1" s="84">
      <c r="A1586" t="inlineStr">
        <is>
          <t>2025-08</t>
        </is>
      </c>
      <c r="B1586" t="inlineStr">
        <is>
          <t>7月公共電費</t>
        </is>
      </c>
      <c r="C1586" t="n">
        <v>125694</v>
      </c>
      <c r="D1586" t="inlineStr">
        <is>
          <t>公共水電瓦斯</t>
        </is>
      </c>
      <c r="E1586" t="inlineStr">
        <is>
          <t>非固定</t>
        </is>
      </c>
    </row>
    <row r="1587" ht="16.5" customHeight="1" s="84">
      <c r="A1587" t="inlineStr">
        <is>
          <t>2025-08</t>
        </is>
      </c>
      <c r="B1587" t="inlineStr">
        <is>
          <t>自來水費</t>
        </is>
      </c>
      <c r="C1587" t="n">
        <v>15342</v>
      </c>
      <c r="D1587" t="inlineStr">
        <is>
          <t>公共水電瓦斯</t>
        </is>
      </c>
      <c r="E1587" t="inlineStr">
        <is>
          <t>非固定</t>
        </is>
      </c>
    </row>
    <row r="1588" ht="15" customHeight="1" s="84">
      <c r="A1588" t="inlineStr">
        <is>
          <t>2025-09</t>
        </is>
      </c>
      <c r="B1588" t="inlineStr">
        <is>
          <t>8月誠鷹公寓大廈管理服務費</t>
        </is>
      </c>
      <c r="C1588" t="n">
        <v>119700</v>
      </c>
      <c r="D1588" t="inlineStr">
        <is>
          <t>管理服務費</t>
        </is>
      </c>
      <c r="E1588" t="inlineStr">
        <is>
          <t>固定</t>
        </is>
      </c>
    </row>
    <row r="1589" ht="16.5" customHeight="1" s="84">
      <c r="A1589" t="inlineStr">
        <is>
          <t>2025-09</t>
        </is>
      </c>
      <c r="B1589" t="inlineStr">
        <is>
          <t>8月誠鷹特勤保全服務費</t>
        </is>
      </c>
      <c r="C1589" t="n">
        <v>315000</v>
      </c>
      <c r="D1589" t="inlineStr">
        <is>
          <t>保全服務費</t>
        </is>
      </c>
      <c r="E1589" t="inlineStr">
        <is>
          <t>固定</t>
        </is>
      </c>
    </row>
    <row r="1590" ht="16.5" customHeight="1" s="84">
      <c r="A1590" t="inlineStr">
        <is>
          <t>2025-09</t>
        </is>
      </c>
      <c r="B1590" t="inlineStr">
        <is>
          <t>8月義明清潔服務費</t>
        </is>
      </c>
      <c r="C1590" t="n">
        <v>123000</v>
      </c>
      <c r="D1590" t="inlineStr">
        <is>
          <t>清潔服務費</t>
        </is>
      </c>
      <c r="E1590" t="inlineStr">
        <is>
          <t>固定</t>
        </is>
      </c>
    </row>
    <row r="1591" ht="16.5" customHeight="1" s="84">
      <c r="A1591" t="inlineStr">
        <is>
          <t>2025-09</t>
        </is>
      </c>
      <c r="B1591" t="inlineStr">
        <is>
          <t>8月順達清潔服務費</t>
        </is>
      </c>
      <c r="C1591" t="n">
        <v>123000</v>
      </c>
      <c r="D1591" t="inlineStr">
        <is>
          <t>清潔服務費</t>
        </is>
      </c>
      <c r="E1591" t="inlineStr">
        <is>
          <t>固定</t>
        </is>
      </c>
    </row>
    <row r="1592" ht="16.5" customHeight="1" s="84">
      <c r="A1592" t="inlineStr">
        <is>
          <t>2025-09</t>
        </is>
      </c>
      <c r="B1592" t="inlineStr">
        <is>
          <t>8月崇友電梯保養費</t>
        </is>
      </c>
      <c r="C1592" t="n">
        <v>100000</v>
      </c>
      <c r="D1592" t="inlineStr">
        <is>
          <t>電梯保養與修繕</t>
        </is>
      </c>
      <c r="E1592" t="inlineStr">
        <is>
          <t>固定</t>
        </is>
      </c>
    </row>
    <row r="1593" ht="15" customHeight="1" s="84">
      <c r="A1593" t="inlineStr">
        <is>
          <t>2025-09</t>
        </is>
      </c>
      <c r="B1593" t="inlineStr">
        <is>
          <t>8月電梯專用款撥補（每月固定撥補至元大電梯專用帳戶）</t>
        </is>
      </c>
      <c r="C1593" t="n">
        <v>100000</v>
      </c>
      <c r="D1593" t="inlineStr">
        <is>
          <t>內部轉帳</t>
        </is>
      </c>
      <c r="E1593" t="inlineStr">
        <is>
          <t>固定</t>
        </is>
      </c>
    </row>
    <row r="1594" ht="16.5" customHeight="1" s="84">
      <c r="A1594" t="inlineStr">
        <is>
          <t>2025-09</t>
        </is>
      </c>
      <c r="B1594" t="inlineStr">
        <is>
          <t>8月長樂機電保養費</t>
        </is>
      </c>
      <c r="C1594" t="n">
        <v>25200</v>
      </c>
      <c r="D1594" t="inlineStr">
        <is>
          <t>機電/消防/弱電/AED</t>
        </is>
      </c>
      <c r="E1594" t="inlineStr">
        <is>
          <t>固定</t>
        </is>
      </c>
    </row>
    <row r="1595" ht="16.5" customHeight="1" s="84">
      <c r="A1595" t="inlineStr">
        <is>
          <t>2025-09</t>
        </is>
      </c>
      <c r="B1595" t="inlineStr">
        <is>
          <t>8月太古意弱電保養費</t>
        </is>
      </c>
      <c r="C1595" t="n">
        <v>10000</v>
      </c>
      <c r="D1595" t="inlineStr">
        <is>
          <t>機電/消防/弱電/AED</t>
        </is>
      </c>
      <c r="E1595" t="inlineStr">
        <is>
          <t>固定</t>
        </is>
      </c>
    </row>
    <row r="1596" ht="16.5" customHeight="1" s="84">
      <c r="A1596" t="inlineStr">
        <is>
          <t>2025-09</t>
        </is>
      </c>
      <c r="B1596" t="inlineStr">
        <is>
          <t>8月御品網路保養費</t>
        </is>
      </c>
      <c r="C1596" t="n">
        <v>9450</v>
      </c>
      <c r="D1596" t="inlineStr">
        <is>
          <t>機電/消防/弱電/AED</t>
        </is>
      </c>
      <c r="E1596" t="inlineStr">
        <is>
          <t>固定</t>
        </is>
      </c>
    </row>
    <row r="1597" ht="16.5" customHeight="1" s="84">
      <c r="A1597" t="inlineStr">
        <is>
          <t>2025-09</t>
        </is>
      </c>
      <c r="B1597" t="inlineStr">
        <is>
          <t>8月新光電通AED設備月租費</t>
        </is>
      </c>
      <c r="C1597" t="n">
        <v>1500</v>
      </c>
      <c r="D1597" t="inlineStr">
        <is>
          <t>機電/消防/弱電/AED</t>
        </is>
      </c>
      <c r="E1597" t="inlineStr">
        <is>
          <t>固定</t>
        </is>
      </c>
    </row>
    <row r="1598" ht="16.5" customHeight="1" s="84">
      <c r="A1598" t="inlineStr">
        <is>
          <t>2025-09</t>
        </is>
      </c>
      <c r="B1598" t="inlineStr">
        <is>
          <t>8月新鑫堯垃圾廢棄物處理費</t>
        </is>
      </c>
      <c r="C1598" t="n">
        <v>37500</v>
      </c>
      <c r="D1598" t="inlineStr">
        <is>
          <t>垃圾廢棄物/園藝</t>
        </is>
      </c>
      <c r="E1598" t="inlineStr">
        <is>
          <t>固定</t>
        </is>
      </c>
    </row>
    <row r="1599" ht="16.5" customHeight="1" s="84">
      <c r="A1599" t="inlineStr">
        <is>
          <t>2025-09</t>
        </is>
      </c>
      <c r="B1599" t="inlineStr">
        <is>
          <t>8月富賀村園藝景觀修剪維護費(2個月/次)</t>
        </is>
      </c>
      <c r="C1599" t="n">
        <v>0</v>
      </c>
      <c r="D1599" t="inlineStr">
        <is>
          <t>垃圾廢棄物/園藝</t>
        </is>
      </c>
      <c r="E1599" t="inlineStr">
        <is>
          <t>固定</t>
        </is>
      </c>
    </row>
    <row r="1600" ht="16.5" customHeight="1" s="84">
      <c r="A1600" t="inlineStr">
        <is>
          <t>2025-09</t>
        </is>
      </c>
      <c r="B1600" t="inlineStr">
        <is>
          <t>8月零用金撥補</t>
        </is>
      </c>
      <c r="C1600" t="n">
        <v>9248</v>
      </c>
      <c r="D1600" t="inlineStr">
        <is>
          <t>內部轉帳</t>
        </is>
      </c>
      <c r="E1600" t="inlineStr">
        <is>
          <t>非固定</t>
        </is>
      </c>
    </row>
    <row r="1601" ht="16.5" customHeight="1" s="84">
      <c r="A1601" t="inlineStr">
        <is>
          <t>2025-09</t>
        </is>
      </c>
      <c r="B1601" t="inlineStr">
        <is>
          <t>9月管委會出席費用（預領）</t>
        </is>
      </c>
      <c r="C1601" t="n">
        <v>8000</v>
      </c>
      <c r="D1601" t="inlineStr">
        <is>
          <t>內部轉帳</t>
        </is>
      </c>
      <c r="E1601" t="inlineStr">
        <is>
          <t>非固定</t>
        </is>
      </c>
    </row>
    <row r="1602" ht="16.5" customHeight="1" s="84">
      <c r="A1602" t="inlineStr">
        <is>
          <t>2025-09</t>
        </is>
      </c>
      <c r="B1602" t="inlineStr">
        <is>
          <t>崇友電梯修繕費-微壓按鈕</t>
        </is>
      </c>
      <c r="C1602" t="n">
        <v>9500</v>
      </c>
      <c r="D1602" t="inlineStr">
        <is>
          <t>電梯保養與修繕</t>
        </is>
      </c>
      <c r="E1602" t="inlineStr">
        <is>
          <t>非固定</t>
        </is>
      </c>
      <c r="F1602" t="inlineStr">
        <is>
          <t>電梯</t>
        </is>
      </c>
    </row>
    <row r="1603" ht="16.5" customHeight="1" s="84">
      <c r="A1603" t="inlineStr">
        <is>
          <t>2025-09</t>
        </is>
      </c>
      <c r="B1603" t="inlineStr">
        <is>
          <t>印專家資訊-購買黑色碳粉匣*2個(黑、藍色各一)(七月份)</t>
        </is>
      </c>
      <c r="C1603" t="n">
        <v>4400</v>
      </c>
      <c r="D1603" t="inlineStr">
        <is>
          <t>工程維修/購置</t>
        </is>
      </c>
      <c r="E1603" t="inlineStr">
        <is>
          <t>非固定</t>
        </is>
      </c>
    </row>
    <row r="1604" ht="16.5" customHeight="1" s="84">
      <c r="A1604" t="inlineStr">
        <is>
          <t>2025-09</t>
        </is>
      </c>
      <c r="B1604" t="inlineStr">
        <is>
          <t>印專家資訊-購買碳粉匣*4個(黑、黃、紅、藍色各一)(八月份)</t>
        </is>
      </c>
      <c r="C1604" t="n">
        <v>8800</v>
      </c>
      <c r="D1604" t="inlineStr">
        <is>
          <t>工程維修/購置</t>
        </is>
      </c>
      <c r="E1604" t="inlineStr">
        <is>
          <t>非固定</t>
        </is>
      </c>
    </row>
    <row r="1605" ht="16.5" customHeight="1" s="84">
      <c r="A1605" t="inlineStr">
        <is>
          <t>2025-09</t>
        </is>
      </c>
      <c r="B1605" t="inlineStr">
        <is>
          <t>8月社區清潔用品耗材</t>
        </is>
      </c>
      <c r="C1605" t="n">
        <v>1008</v>
      </c>
      <c r="D1605" t="inlineStr">
        <is>
          <t>清潔服務費</t>
        </is>
      </c>
      <c r="E1605" t="inlineStr">
        <is>
          <t>非固定</t>
        </is>
      </c>
    </row>
    <row r="1606" ht="16.5" customHeight="1" s="84">
      <c r="A1606" t="inlineStr">
        <is>
          <t>2025-09</t>
        </is>
      </c>
      <c r="B1606" t="inlineStr">
        <is>
          <t>富泰石業-大理石板材料費</t>
        </is>
      </c>
      <c r="C1606" t="n">
        <v>114648</v>
      </c>
      <c r="D1606" t="inlineStr">
        <is>
          <t>其他支出</t>
        </is>
      </c>
      <c r="E1606" t="inlineStr">
        <is>
          <t>非固定</t>
        </is>
      </c>
    </row>
    <row r="1607" ht="16.5" customHeight="1" s="84">
      <c r="A1607" t="inlineStr">
        <is>
          <t>2025-09</t>
        </is>
      </c>
      <c r="B1607" t="inlineStr">
        <is>
          <t>8月海豚灣服務費</t>
        </is>
      </c>
      <c r="C1607" t="n">
        <v>106607</v>
      </c>
      <c r="D1607" t="inlineStr">
        <is>
          <t>其他支出</t>
        </is>
      </c>
      <c r="E1607" t="inlineStr">
        <is>
          <t>非固定</t>
        </is>
      </c>
      <c r="F1607" t="inlineStr">
        <is>
          <t>游泳池</t>
        </is>
      </c>
    </row>
    <row r="1608" ht="16.5" customHeight="1" s="84">
      <c r="A1608" t="inlineStr">
        <is>
          <t>2025-09</t>
        </is>
      </c>
      <c r="B1608" t="inlineStr">
        <is>
          <t>I5退裝潢保證金</t>
        </is>
      </c>
      <c r="C1608" t="n">
        <v>20000</v>
      </c>
      <c r="D1608" t="inlineStr">
        <is>
          <t>內部轉帳</t>
        </is>
      </c>
      <c r="E1608" t="inlineStr">
        <is>
          <t>非固定</t>
        </is>
      </c>
    </row>
    <row r="1609" ht="16.5" customHeight="1" s="84">
      <c r="A1609" t="inlineStr">
        <is>
          <t>2025-09</t>
        </is>
      </c>
      <c r="B1609" t="inlineStr">
        <is>
          <t>天幕高空</t>
        </is>
      </c>
      <c r="C1609" t="n">
        <v>606900</v>
      </c>
      <c r="D1609" t="inlineStr">
        <is>
          <t>工程維修/購置</t>
        </is>
      </c>
      <c r="E1609" t="inlineStr">
        <is>
          <t>非固定</t>
        </is>
      </c>
      <c r="F1609" t="inlineStr">
        <is>
          <t>外牆修繕</t>
        </is>
      </c>
    </row>
    <row r="1610" ht="16.5" customHeight="1" s="84">
      <c r="A1610" t="inlineStr">
        <is>
          <t>2025-09</t>
        </is>
      </c>
      <c r="B1610" t="inlineStr">
        <is>
          <t>8月新鑫堯垃圾廢棄物超收費(四桶)</t>
        </is>
      </c>
      <c r="C1610" t="n">
        <v>2600</v>
      </c>
      <c r="D1610" t="inlineStr">
        <is>
          <t>垃圾廢棄物/園藝</t>
        </is>
      </c>
      <c r="E1610" t="inlineStr">
        <is>
          <t>非固定</t>
        </is>
      </c>
    </row>
    <row r="1611" ht="16.5" customHeight="1" s="84">
      <c r="A1611" t="inlineStr">
        <is>
          <t>2025-09</t>
        </is>
      </c>
      <c r="B1611" t="inlineStr">
        <is>
          <t>律師費</t>
        </is>
      </c>
      <c r="C1611" t="n">
        <v>20030</v>
      </c>
      <c r="D1611" t="inlineStr">
        <is>
          <t>行政/會議/律師</t>
        </is>
      </c>
      <c r="E1611" t="inlineStr">
        <is>
          <t>非固定</t>
        </is>
      </c>
    </row>
    <row r="1612" ht="16.5" customHeight="1" s="84">
      <c r="A1612" t="inlineStr">
        <is>
          <t>2025-09</t>
        </is>
      </c>
      <c r="B1612" t="inlineStr">
        <is>
          <t>長樂-機電修繕費</t>
        </is>
      </c>
      <c r="C1612" t="n">
        <v>62000</v>
      </c>
      <c r="D1612" t="inlineStr">
        <is>
          <t>機電/消防/弱電/AED</t>
        </is>
      </c>
      <c r="E1612" t="inlineStr">
        <is>
          <t>非固定</t>
        </is>
      </c>
    </row>
    <row r="1613" ht="16.5" customHeight="1" s="84">
      <c r="A1613" t="inlineStr">
        <is>
          <t>2025-09</t>
        </is>
      </c>
      <c r="B1613" t="inlineStr">
        <is>
          <t>長樂-乙棟揚水系統泵浦異聲維修費</t>
        </is>
      </c>
      <c r="C1613" t="n">
        <v>177400</v>
      </c>
      <c r="D1613" t="inlineStr">
        <is>
          <t>工程維修/購置</t>
        </is>
      </c>
      <c r="E1613" t="inlineStr">
        <is>
          <t>非固定</t>
        </is>
      </c>
    </row>
    <row r="1614" ht="16.5" customHeight="1" s="84">
      <c r="A1614" t="inlineStr">
        <is>
          <t>2025-09</t>
        </is>
      </c>
      <c r="B1614" t="inlineStr">
        <is>
          <t>長樂-乙棟自來水管路包覆工程費</t>
        </is>
      </c>
      <c r="C1614" t="n">
        <v>10500</v>
      </c>
      <c r="D1614" t="inlineStr">
        <is>
          <t>工程維修/購置</t>
        </is>
      </c>
      <c r="E1614" t="inlineStr">
        <is>
          <t>非固定</t>
        </is>
      </c>
    </row>
    <row r="1615" ht="15" customHeight="1" s="84">
      <c r="A1615" t="inlineStr">
        <is>
          <t>2025-09</t>
        </is>
      </c>
      <c r="B1615" t="inlineStr">
        <is>
          <t>長樂-戊棟1F樓梯間電源箱整理修繕費</t>
        </is>
      </c>
      <c r="C1615" t="n">
        <v>130030</v>
      </c>
      <c r="D1615" t="inlineStr">
        <is>
          <t>工程維修/購置</t>
        </is>
      </c>
      <c r="E1615" t="inlineStr">
        <is>
          <t>非固定</t>
        </is>
      </c>
    </row>
    <row r="1616" ht="15" customHeight="1" s="84">
      <c r="A1616" t="inlineStr">
        <is>
          <t>2025-09</t>
        </is>
      </c>
      <c r="B1616" t="inlineStr">
        <is>
          <t>長樂-受信總機修繕費</t>
        </is>
      </c>
      <c r="C1616" t="n">
        <v>119690</v>
      </c>
      <c r="D1616" t="inlineStr">
        <is>
          <t>工程維修/購置</t>
        </is>
      </c>
      <c r="E1616" t="inlineStr">
        <is>
          <t>非固定</t>
        </is>
      </c>
    </row>
    <row r="1617" ht="16.5" customHeight="1" s="84">
      <c r="A1617" t="inlineStr">
        <is>
          <t>2025-09</t>
        </is>
      </c>
      <c r="B1617" t="inlineStr">
        <is>
          <t>長樂-廣播主機修繕費</t>
        </is>
      </c>
      <c r="C1617" t="n">
        <v>35500</v>
      </c>
      <c r="D1617" t="inlineStr">
        <is>
          <t>工程維修/購置</t>
        </is>
      </c>
      <c r="E1617" t="inlineStr">
        <is>
          <t>非固定</t>
        </is>
      </c>
    </row>
    <row r="1618" ht="16.5" customHeight="1" s="84">
      <c r="A1618" t="inlineStr">
        <is>
          <t>2025-09</t>
        </is>
      </c>
      <c r="B1618" t="inlineStr">
        <is>
          <t>長樂-乙棟自來水修繕工程</t>
        </is>
      </c>
      <c r="C1618" t="n">
        <v>34500</v>
      </c>
      <c r="D1618" t="inlineStr">
        <is>
          <t>工程維修/購置</t>
        </is>
      </c>
      <c r="E1618" t="inlineStr">
        <is>
          <t>非固定</t>
        </is>
      </c>
    </row>
    <row r="1619" ht="16.5" customHeight="1" s="84">
      <c r="A1619" t="inlineStr">
        <is>
          <t>2025-09</t>
        </is>
      </c>
      <c r="B1619" t="inlineStr">
        <is>
          <t>玻璃屋漏水修繕</t>
        </is>
      </c>
      <c r="C1619" t="n">
        <v>7875</v>
      </c>
      <c r="D1619" t="inlineStr">
        <is>
          <t>其他支出</t>
        </is>
      </c>
      <c r="E1619" t="inlineStr">
        <is>
          <t>非固定</t>
        </is>
      </c>
    </row>
    <row r="1620" ht="16.5" customHeight="1" s="84">
      <c r="A1620" t="inlineStr">
        <is>
          <t>2025-09</t>
        </is>
      </c>
      <c r="B1620" t="inlineStr">
        <is>
          <t>社區電話費(5630533)</t>
        </is>
      </c>
      <c r="C1620" t="n">
        <v>683</v>
      </c>
      <c r="D1620" t="inlineStr">
        <is>
          <t>電話/網路費</t>
        </is>
      </c>
      <c r="E1620" t="inlineStr">
        <is>
          <t>非固定</t>
        </is>
      </c>
    </row>
    <row r="1621" ht="16.5" customHeight="1" s="84">
      <c r="A1621" t="inlineStr">
        <is>
          <t>2025-09</t>
        </is>
      </c>
      <c r="B1621" t="inlineStr">
        <is>
          <t>社區網路費(Y123617)</t>
        </is>
      </c>
      <c r="C1621" t="n">
        <v>1899</v>
      </c>
      <c r="D1621" t="inlineStr">
        <is>
          <t>電話/網路費</t>
        </is>
      </c>
      <c r="E1621" t="inlineStr">
        <is>
          <t>非固定</t>
        </is>
      </c>
    </row>
    <row r="1622" ht="16.5" customHeight="1" s="84">
      <c r="A1622" t="inlineStr">
        <is>
          <t>2025-09</t>
        </is>
      </c>
      <c r="B1622" t="inlineStr">
        <is>
          <t>社區網路費(Y174790)</t>
        </is>
      </c>
      <c r="C1622" t="n">
        <v>1899</v>
      </c>
      <c r="D1622" t="inlineStr">
        <is>
          <t>電話/網路費</t>
        </is>
      </c>
      <c r="E1622" t="inlineStr">
        <is>
          <t>非固定</t>
        </is>
      </c>
    </row>
    <row r="1623" ht="16.5" customHeight="1" s="84">
      <c r="A1623" t="inlineStr">
        <is>
          <t>2025-09</t>
        </is>
      </c>
      <c r="B1623" t="inlineStr">
        <is>
          <t>8月公共電費</t>
        </is>
      </c>
      <c r="C1623" t="n">
        <v>126605</v>
      </c>
      <c r="D1623" t="inlineStr">
        <is>
          <t>公共水電瓦斯</t>
        </is>
      </c>
      <c r="E1623" t="inlineStr">
        <is>
          <t>非固定</t>
        </is>
      </c>
    </row>
    <row r="1624" ht="16.5" customHeight="1" s="84">
      <c r="A1624" t="inlineStr">
        <is>
          <t>2025-09</t>
        </is>
      </c>
      <c r="B1624" t="inlineStr">
        <is>
          <t>自來水費</t>
        </is>
      </c>
      <c r="C1624" t="n">
        <v>0</v>
      </c>
      <c r="D1624" t="inlineStr">
        <is>
          <t>公共水電瓦斯</t>
        </is>
      </c>
      <c r="E1624" t="inlineStr">
        <is>
          <t>非固定</t>
        </is>
      </c>
    </row>
    <row r="1625" ht="16.5" customHeight="1" s="84">
      <c r="A1625" t="inlineStr">
        <is>
          <t>2025-10</t>
        </is>
      </c>
      <c r="B1625" t="inlineStr">
        <is>
          <t>8月住商公寓大廈管理服務費</t>
        </is>
      </c>
      <c r="C1625" t="n">
        <v>132300</v>
      </c>
      <c r="D1625" t="inlineStr">
        <is>
          <t>管理服務費</t>
        </is>
      </c>
      <c r="E1625" t="inlineStr">
        <is>
          <t>固定</t>
        </is>
      </c>
    </row>
    <row r="1626" ht="16.5" customHeight="1" s="84">
      <c r="A1626" t="inlineStr">
        <is>
          <t>2025-10</t>
        </is>
      </c>
      <c r="B1626" t="inlineStr">
        <is>
          <t>8月亞東保全服務費</t>
        </is>
      </c>
      <c r="C1626" t="n">
        <v>319200</v>
      </c>
      <c r="D1626" t="inlineStr">
        <is>
          <t>保全服務費</t>
        </is>
      </c>
      <c r="E1626" t="inlineStr">
        <is>
          <t>固定</t>
        </is>
      </c>
    </row>
    <row r="1627" ht="16.5" customHeight="1" s="84">
      <c r="A1627" t="inlineStr">
        <is>
          <t>2025-10</t>
        </is>
      </c>
      <c r="B1627" t="inlineStr">
        <is>
          <t>8月義明清潔服務費</t>
        </is>
      </c>
      <c r="C1627" t="n">
        <v>123000</v>
      </c>
      <c r="D1627" t="inlineStr">
        <is>
          <t>清潔服務費</t>
        </is>
      </c>
      <c r="E1627" t="inlineStr">
        <is>
          <t>固定</t>
        </is>
      </c>
    </row>
    <row r="1628" ht="16.5" customHeight="1" s="84">
      <c r="A1628" t="inlineStr">
        <is>
          <t>2025-10</t>
        </is>
      </c>
      <c r="B1628" t="inlineStr">
        <is>
          <t>8月順達清潔服務費</t>
        </is>
      </c>
      <c r="C1628" t="n">
        <v>123000</v>
      </c>
      <c r="D1628" t="inlineStr">
        <is>
          <t>清潔服務費</t>
        </is>
      </c>
      <c r="E1628" t="inlineStr">
        <is>
          <t>固定</t>
        </is>
      </c>
    </row>
    <row r="1629" ht="16.5" customHeight="1" s="84">
      <c r="A1629" t="inlineStr">
        <is>
          <t>2025-10</t>
        </is>
      </c>
      <c r="B1629" t="inlineStr">
        <is>
          <t>8月崇友電梯保養費</t>
        </is>
      </c>
      <c r="C1629" t="n">
        <v>100000</v>
      </c>
      <c r="D1629" t="inlineStr">
        <is>
          <t>電梯保養與修繕</t>
        </is>
      </c>
      <c r="E1629" t="inlineStr">
        <is>
          <t>固定</t>
        </is>
      </c>
    </row>
    <row r="1630" ht="16.5" customHeight="1" s="84">
      <c r="A1630" t="inlineStr">
        <is>
          <t>2025-10</t>
        </is>
      </c>
      <c r="B1630" t="inlineStr">
        <is>
          <t>8月電梯專用款撥補（每月固定撥補至元大電梯專用帳戶）</t>
        </is>
      </c>
      <c r="C1630" t="n">
        <v>100000</v>
      </c>
      <c r="D1630" t="inlineStr">
        <is>
          <t>內部轉帳</t>
        </is>
      </c>
      <c r="E1630" t="inlineStr">
        <is>
          <t>固定</t>
        </is>
      </c>
    </row>
    <row r="1631" ht="16.5" customHeight="1" s="84">
      <c r="A1631" t="inlineStr">
        <is>
          <t>2025-10</t>
        </is>
      </c>
      <c r="B1631" t="inlineStr">
        <is>
          <t>8月長樂機電保養費</t>
        </is>
      </c>
      <c r="C1631" t="n">
        <v>25200</v>
      </c>
      <c r="D1631" t="inlineStr">
        <is>
          <t>機電/消防/弱電/AED</t>
        </is>
      </c>
      <c r="E1631" t="inlineStr">
        <is>
          <t>固定</t>
        </is>
      </c>
    </row>
    <row r="1632" ht="16.5" customHeight="1" s="84">
      <c r="A1632" t="inlineStr">
        <is>
          <t>2025-10</t>
        </is>
      </c>
      <c r="B1632" t="inlineStr">
        <is>
          <t>8月太古意弱電保養費</t>
        </is>
      </c>
      <c r="C1632" t="n">
        <v>10000</v>
      </c>
      <c r="D1632" t="inlineStr">
        <is>
          <t>機電/消防/弱電/AED</t>
        </is>
      </c>
      <c r="E1632" t="inlineStr">
        <is>
          <t>固定</t>
        </is>
      </c>
    </row>
    <row r="1633" ht="16.5" customHeight="1" s="84">
      <c r="A1633" t="inlineStr">
        <is>
          <t>2025-10</t>
        </is>
      </c>
      <c r="B1633" t="inlineStr">
        <is>
          <t>8月御品網路保養費</t>
        </is>
      </c>
      <c r="C1633" t="n">
        <v>9450</v>
      </c>
      <c r="D1633" t="inlineStr">
        <is>
          <t>機電/消防/弱電/AED</t>
        </is>
      </c>
      <c r="E1633" t="inlineStr">
        <is>
          <t>固定</t>
        </is>
      </c>
    </row>
    <row r="1634" ht="16.5" customHeight="1" s="84">
      <c r="A1634" t="inlineStr">
        <is>
          <t>2025-10</t>
        </is>
      </c>
      <c r="B1634" t="inlineStr">
        <is>
          <t>8月新光電通AED設備月租費</t>
        </is>
      </c>
      <c r="C1634" t="n">
        <v>1500</v>
      </c>
      <c r="D1634" t="inlineStr">
        <is>
          <t>機電/消防/弱電/AED</t>
        </is>
      </c>
      <c r="E1634" t="inlineStr">
        <is>
          <t>固定</t>
        </is>
      </c>
    </row>
    <row r="1635" ht="15" customHeight="1" s="84">
      <c r="A1635" t="inlineStr">
        <is>
          <t>2025-10</t>
        </is>
      </c>
      <c r="B1635" t="inlineStr">
        <is>
          <t>8月新鑫堯垃圾廢棄物處理費</t>
        </is>
      </c>
      <c r="C1635" t="n">
        <v>37500</v>
      </c>
      <c r="D1635" t="inlineStr">
        <is>
          <t>垃圾廢棄物/園藝</t>
        </is>
      </c>
      <c r="E1635" t="inlineStr">
        <is>
          <t>固定</t>
        </is>
      </c>
    </row>
    <row r="1636" ht="15" customHeight="1" s="84">
      <c r="A1636" t="inlineStr">
        <is>
          <t>2025-10</t>
        </is>
      </c>
      <c r="B1636" t="inlineStr">
        <is>
          <t>8月富賀村園藝景觀修剪維護費(2個月/次)</t>
        </is>
      </c>
      <c r="C1636" t="n">
        <v>33000</v>
      </c>
      <c r="D1636" t="inlineStr">
        <is>
          <t>垃圾廢棄物/園藝</t>
        </is>
      </c>
      <c r="E1636" t="inlineStr">
        <is>
          <t>固定</t>
        </is>
      </c>
    </row>
    <row r="1637" ht="16.5" customHeight="1" s="84">
      <c r="A1637" t="inlineStr">
        <is>
          <t>2025-10</t>
        </is>
      </c>
      <c r="B1637" t="inlineStr">
        <is>
          <t>9月零用金撥補</t>
        </is>
      </c>
      <c r="C1637" t="n">
        <v>17832</v>
      </c>
      <c r="D1637" t="inlineStr">
        <is>
          <t>內部轉帳</t>
        </is>
      </c>
      <c r="E1637" t="inlineStr">
        <is>
          <t>非固定</t>
        </is>
      </c>
    </row>
    <row r="1638" ht="16.5" customHeight="1" s="84">
      <c r="A1638" t="inlineStr">
        <is>
          <t>2025-10</t>
        </is>
      </c>
      <c r="B1638" t="inlineStr">
        <is>
          <t>10月管委會出席費用（預領）</t>
        </is>
      </c>
      <c r="C1638" t="n">
        <v>8000</v>
      </c>
      <c r="D1638" t="inlineStr">
        <is>
          <t>內部轉帳</t>
        </is>
      </c>
      <c r="E1638" t="inlineStr">
        <is>
          <t>非固定</t>
        </is>
      </c>
    </row>
    <row r="1639" ht="16.5" customHeight="1" s="84">
      <c r="A1639" t="inlineStr">
        <is>
          <t>2025-10</t>
        </is>
      </c>
      <c r="B1639" t="inlineStr">
        <is>
          <t>崇友電梯維修款-變頻器及控盤零件更換工程</t>
        </is>
      </c>
      <c r="C1639" t="n">
        <v>97000</v>
      </c>
      <c r="D1639" t="inlineStr">
        <is>
          <t>電梯保養與修繕</t>
        </is>
      </c>
      <c r="E1639" t="inlineStr">
        <is>
          <t>非固定</t>
        </is>
      </c>
      <c r="F1639" t="inlineStr">
        <is>
          <t>電梯</t>
        </is>
      </c>
    </row>
    <row r="1640" ht="16.5" customHeight="1" s="84">
      <c r="A1640" t="inlineStr">
        <is>
          <t>2025-10</t>
        </is>
      </c>
      <c r="B1640" t="inlineStr">
        <is>
          <t>崇友電梯維修款-HCD顯示器</t>
        </is>
      </c>
      <c r="C1640" t="n">
        <v>3200</v>
      </c>
      <c r="D1640" t="inlineStr">
        <is>
          <t>電梯保養與修繕</t>
        </is>
      </c>
      <c r="E1640" t="inlineStr">
        <is>
          <t>非固定</t>
        </is>
      </c>
      <c r="F1640" t="inlineStr">
        <is>
          <t>電梯</t>
        </is>
      </c>
    </row>
    <row r="1641" ht="16.5" customHeight="1" s="84">
      <c r="A1641" t="inlineStr">
        <is>
          <t>2025-10</t>
        </is>
      </c>
      <c r="B1641" t="inlineStr">
        <is>
          <t>崇友電梯維修款-HCD顯示器</t>
        </is>
      </c>
      <c r="C1641" t="n">
        <v>3200</v>
      </c>
      <c r="D1641" t="inlineStr">
        <is>
          <t>電梯保養與修繕</t>
        </is>
      </c>
      <c r="E1641" t="inlineStr">
        <is>
          <t>非固定</t>
        </is>
      </c>
      <c r="F1641" t="inlineStr">
        <is>
          <t>電梯</t>
        </is>
      </c>
    </row>
    <row r="1642" ht="16.5" customHeight="1" s="84">
      <c r="A1642" t="inlineStr">
        <is>
          <t>2025-10</t>
        </is>
      </c>
      <c r="B1642" t="inlineStr">
        <is>
          <t>崇友電梯維修款-CCU基板</t>
        </is>
      </c>
      <c r="C1642" t="n">
        <v>7000</v>
      </c>
      <c r="D1642" t="inlineStr">
        <is>
          <t>電梯保養與修繕</t>
        </is>
      </c>
      <c r="E1642" t="inlineStr">
        <is>
          <t>非固定</t>
        </is>
      </c>
      <c r="F1642" t="inlineStr">
        <is>
          <t>電梯</t>
        </is>
      </c>
    </row>
    <row r="1643" ht="16.5" customHeight="1" s="84">
      <c r="A1643" t="inlineStr">
        <is>
          <t>2025-10</t>
        </is>
      </c>
      <c r="B1643" t="inlineStr">
        <is>
          <t>崇友電梯維修款-CCU基板</t>
        </is>
      </c>
      <c r="C1643" t="n">
        <v>7000</v>
      </c>
      <c r="D1643" t="inlineStr">
        <is>
          <t>電梯保養與修繕</t>
        </is>
      </c>
      <c r="E1643" t="inlineStr">
        <is>
          <t>非固定</t>
        </is>
      </c>
      <c r="F1643" t="inlineStr">
        <is>
          <t>電梯</t>
        </is>
      </c>
    </row>
    <row r="1644" ht="16.5" customHeight="1" s="84">
      <c r="A1644" t="inlineStr">
        <is>
          <t>2025-10</t>
        </is>
      </c>
      <c r="B1644" t="inlineStr">
        <is>
          <t>崇友電梯維修款-弱電配合人工費</t>
        </is>
      </c>
      <c r="C1644" t="n">
        <v>6300</v>
      </c>
      <c r="D1644" t="inlineStr">
        <is>
          <t>電梯保養與修繕</t>
        </is>
      </c>
      <c r="E1644" t="inlineStr">
        <is>
          <t>非固定</t>
        </is>
      </c>
      <c r="F1644" t="inlineStr">
        <is>
          <t>電梯</t>
        </is>
      </c>
    </row>
    <row r="1645" ht="16.5" customHeight="1" s="84">
      <c r="A1645" t="inlineStr">
        <is>
          <t>2025-10</t>
        </is>
      </c>
      <c r="B1645" t="inlineStr">
        <is>
          <t>崇友電梯維修款-乘場門訊號接點組 #2</t>
        </is>
      </c>
      <c r="C1645" t="n">
        <v>52500</v>
      </c>
      <c r="D1645" t="inlineStr">
        <is>
          <t>電梯保養與修繕</t>
        </is>
      </c>
      <c r="E1645" t="inlineStr">
        <is>
          <t>非固定</t>
        </is>
      </c>
      <c r="F1645" t="inlineStr">
        <is>
          <t>電梯</t>
        </is>
      </c>
    </row>
    <row r="1646" ht="16.5" customHeight="1" s="84">
      <c r="A1646" t="inlineStr">
        <is>
          <t>2025-10</t>
        </is>
      </c>
      <c r="B1646" t="inlineStr">
        <is>
          <t>購買清潔用品</t>
        </is>
      </c>
      <c r="C1646" t="n">
        <v>1008</v>
      </c>
      <c r="D1646" t="inlineStr">
        <is>
          <t>清潔服務費</t>
        </is>
      </c>
      <c r="E1646" t="inlineStr">
        <is>
          <t>非固定</t>
        </is>
      </c>
    </row>
    <row r="1647" ht="16.5" customHeight="1" s="84">
      <c r="A1647" t="inlineStr">
        <is>
          <t>2025-10</t>
        </is>
      </c>
      <c r="B1647" t="inlineStr">
        <is>
          <t>購買清潔用品</t>
        </is>
      </c>
      <c r="C1647" t="n">
        <v>1670</v>
      </c>
      <c r="D1647" t="inlineStr">
        <is>
          <t>清潔服務費</t>
        </is>
      </c>
      <c r="E1647" t="inlineStr">
        <is>
          <t>非固定</t>
        </is>
      </c>
    </row>
    <row r="1648" ht="16.5" customHeight="1" s="84">
      <c r="A1648" t="inlineStr">
        <is>
          <t>2025-10</t>
        </is>
      </c>
      <c r="B1648" t="inlineStr">
        <is>
          <t>天幕高空</t>
        </is>
      </c>
      <c r="C1648" t="n">
        <v>684600</v>
      </c>
      <c r="D1648" t="inlineStr">
        <is>
          <t>工程維修/購置</t>
        </is>
      </c>
      <c r="E1648" t="inlineStr">
        <is>
          <t>非固定</t>
        </is>
      </c>
      <c r="F1648" t="inlineStr">
        <is>
          <t>外牆修繕</t>
        </is>
      </c>
    </row>
    <row r="1649" ht="16.5" customHeight="1" s="84">
      <c r="A1649" t="inlineStr">
        <is>
          <t>2025-10</t>
        </is>
      </c>
      <c r="B1649" t="inlineStr">
        <is>
          <t>印專家-購買黑色碳粉匣*2個</t>
        </is>
      </c>
      <c r="C1649" t="n">
        <v>4400</v>
      </c>
      <c r="D1649" t="inlineStr">
        <is>
          <t>工程維修/購置</t>
        </is>
      </c>
      <c r="E1649" t="inlineStr">
        <is>
          <t>非固定</t>
        </is>
      </c>
    </row>
    <row r="1650" ht="16.5" customHeight="1" s="84">
      <c r="A1650" t="inlineStr">
        <is>
          <t>2025-10</t>
        </is>
      </c>
      <c r="B1650" t="inlineStr">
        <is>
          <t>新鑫堯廢棄物超收費(一桶)</t>
        </is>
      </c>
      <c r="C1650" t="n">
        <v>650</v>
      </c>
      <c r="D1650" t="inlineStr">
        <is>
          <t>垃圾廢棄物/園藝</t>
        </is>
      </c>
      <c r="E1650" t="inlineStr">
        <is>
          <t>非固定</t>
        </is>
      </c>
    </row>
    <row r="1651" ht="16.5" customHeight="1" s="84">
      <c r="A1651" t="inlineStr">
        <is>
          <t>2025-10</t>
        </is>
      </c>
      <c r="B1651" t="inlineStr">
        <is>
          <t>太古意弱電修繕費</t>
        </is>
      </c>
      <c r="C1651" t="n">
        <v>31710</v>
      </c>
      <c r="D1651" t="inlineStr">
        <is>
          <t>機電/消防/弱電/AED</t>
        </is>
      </c>
      <c r="E1651" t="inlineStr">
        <is>
          <t>非固定</t>
        </is>
      </c>
    </row>
    <row r="1652" ht="16.5" customHeight="1" s="84">
      <c r="A1652" t="inlineStr">
        <is>
          <t>2025-10</t>
        </is>
      </c>
      <c r="B1652" t="inlineStr">
        <is>
          <t>萬興工程行-修繕白鐵框蓋</t>
        </is>
      </c>
      <c r="C1652" t="n">
        <v>15000</v>
      </c>
      <c r="D1652" t="inlineStr">
        <is>
          <t>工程維修/購置</t>
        </is>
      </c>
      <c r="E1652" t="inlineStr">
        <is>
          <t>非固定</t>
        </is>
      </c>
    </row>
    <row r="1653" ht="16.5" customHeight="1" s="84">
      <c r="A1653" t="inlineStr">
        <is>
          <t>2025-10</t>
        </is>
      </c>
      <c r="B1653" t="inlineStr">
        <is>
          <t>奇美工程行-加裝電源開關、手拉線拉頭</t>
        </is>
      </c>
      <c r="C1653" t="n">
        <v>4410</v>
      </c>
      <c r="D1653" t="inlineStr">
        <is>
          <t>工程維修/購置</t>
        </is>
      </c>
      <c r="E1653" t="inlineStr">
        <is>
          <t>非固定</t>
        </is>
      </c>
    </row>
    <row r="1654" ht="16.5" customHeight="1" s="84">
      <c r="A1654" t="inlineStr">
        <is>
          <t>2025-10</t>
        </is>
      </c>
      <c r="B1654" t="inlineStr">
        <is>
          <t>R17退裝潢保證金</t>
        </is>
      </c>
      <c r="C1654" t="n">
        <v>20000</v>
      </c>
      <c r="D1654" t="inlineStr">
        <is>
          <t>內部轉帳</t>
        </is>
      </c>
      <c r="E1654" t="inlineStr">
        <is>
          <t>非固定</t>
        </is>
      </c>
    </row>
    <row r="1655" ht="16.5" customHeight="1" s="84">
      <c r="A1655" t="inlineStr">
        <is>
          <t>2025-10</t>
        </is>
      </c>
      <c r="B1655" t="inlineStr">
        <is>
          <t>Q3退充電樁保證金</t>
        </is>
      </c>
      <c r="C1655" t="n">
        <v>50000</v>
      </c>
      <c r="D1655" t="inlineStr">
        <is>
          <t>內部轉帳</t>
        </is>
      </c>
      <c r="E1655" t="inlineStr">
        <is>
          <t>非固定</t>
        </is>
      </c>
    </row>
    <row r="1656" ht="16.5" customHeight="1" s="84">
      <c r="A1656" t="inlineStr">
        <is>
          <t>2025-10</t>
        </is>
      </c>
      <c r="B1656" t="inlineStr">
        <is>
          <t>A19退充電樁保證金</t>
        </is>
      </c>
      <c r="C1656" t="n">
        <v>50000</v>
      </c>
      <c r="D1656" t="inlineStr">
        <is>
          <t>內部轉帳</t>
        </is>
      </c>
      <c r="E1656" t="inlineStr">
        <is>
          <t>非固定</t>
        </is>
      </c>
    </row>
    <row r="1657" ht="16.5" customHeight="1" s="84">
      <c r="A1657" t="inlineStr">
        <is>
          <t>2025-10</t>
        </is>
      </c>
      <c r="B1657" t="inlineStr">
        <is>
          <t>律師費</t>
        </is>
      </c>
      <c r="C1657" t="n">
        <v>20090</v>
      </c>
      <c r="D1657" t="inlineStr">
        <is>
          <t>行政/會議/律師</t>
        </is>
      </c>
      <c r="E1657" t="inlineStr">
        <is>
          <t>非固定</t>
        </is>
      </c>
    </row>
    <row r="1658" ht="16.5" customHeight="1" s="84">
      <c r="A1658" t="inlineStr">
        <is>
          <t>2025-10</t>
        </is>
      </c>
      <c r="B1658" t="inlineStr">
        <is>
          <t>好市多-包裹層架</t>
        </is>
      </c>
      <c r="C1658" t="n">
        <v>13196</v>
      </c>
      <c r="D1658" t="inlineStr">
        <is>
          <t>其他支出</t>
        </is>
      </c>
      <c r="E1658" t="inlineStr">
        <is>
          <t>非固定</t>
        </is>
      </c>
    </row>
    <row r="1659" ht="16.5" customHeight="1" s="84">
      <c r="A1659" t="inlineStr">
        <is>
          <t>2025-10</t>
        </is>
      </c>
      <c r="B1659" t="inlineStr">
        <is>
          <t>太古意弱電修繕費</t>
        </is>
      </c>
      <c r="C1659" t="n">
        <v>16275</v>
      </c>
      <c r="D1659" t="inlineStr">
        <is>
          <t>機電/消防/弱電/AED</t>
        </is>
      </c>
      <c r="E1659" t="inlineStr">
        <is>
          <t>非固定</t>
        </is>
      </c>
    </row>
    <row r="1660" ht="16.5" customHeight="1" s="84">
      <c r="A1660" t="inlineStr">
        <is>
          <t>2025-10</t>
        </is>
      </c>
      <c r="B1660" t="inlineStr">
        <is>
          <t>Q6退充電樁保證金</t>
        </is>
      </c>
      <c r="C1660" t="n">
        <v>50000</v>
      </c>
      <c r="D1660" t="inlineStr">
        <is>
          <t>內部轉帳</t>
        </is>
      </c>
      <c r="E1660" t="inlineStr">
        <is>
          <t>非固定</t>
        </is>
      </c>
    </row>
    <row r="1661" ht="16.5" customHeight="1" s="84">
      <c r="A1661" t="inlineStr">
        <is>
          <t>2025-10</t>
        </is>
      </c>
      <c r="B1661" t="inlineStr">
        <is>
          <t>好市多-包裹層架</t>
        </is>
      </c>
      <c r="C1661" t="n">
        <v>9897</v>
      </c>
      <c r="D1661" t="inlineStr">
        <is>
          <t>其他支出</t>
        </is>
      </c>
      <c r="E1661" t="inlineStr">
        <is>
          <t>非固定</t>
        </is>
      </c>
    </row>
    <row r="1662" ht="16.5" customHeight="1" s="84">
      <c r="A1662" t="inlineStr">
        <is>
          <t>2025-10</t>
        </is>
      </c>
      <c r="B1662" t="inlineStr">
        <is>
          <t>◆外牆磁磚採購</t>
        </is>
      </c>
      <c r="C1662" t="n">
        <v>119700</v>
      </c>
      <c r="D1662" t="inlineStr">
        <is>
          <t>工程維修/購置</t>
        </is>
      </c>
      <c r="E1662" t="inlineStr">
        <is>
          <t>非固定</t>
        </is>
      </c>
      <c r="F1662" t="inlineStr">
        <is>
          <t>外牆修繕</t>
        </is>
      </c>
    </row>
    <row r="1663" ht="16.5" customHeight="1" s="84">
      <c r="A1663" t="inlineStr">
        <is>
          <t>2025-10</t>
        </is>
      </c>
      <c r="B1663" t="inlineStr">
        <is>
          <t>◆社區電話費(5630533)</t>
        </is>
      </c>
      <c r="C1663" t="n">
        <v>1089</v>
      </c>
      <c r="D1663" t="inlineStr">
        <is>
          <t>電話/網路費</t>
        </is>
      </c>
      <c r="E1663" t="inlineStr">
        <is>
          <t>非固定</t>
        </is>
      </c>
    </row>
    <row r="1664" ht="16.5" customHeight="1" s="84">
      <c r="A1664" t="inlineStr">
        <is>
          <t>2025-10</t>
        </is>
      </c>
      <c r="B1664" t="inlineStr">
        <is>
          <t>◆社區網路費(Y123617)</t>
        </is>
      </c>
      <c r="C1664" t="n">
        <v>1899</v>
      </c>
      <c r="D1664" t="inlineStr">
        <is>
          <t>電話/網路費</t>
        </is>
      </c>
      <c r="E1664" t="inlineStr">
        <is>
          <t>非固定</t>
        </is>
      </c>
    </row>
    <row r="1665" ht="16.5" customHeight="1" s="84">
      <c r="A1665" t="inlineStr">
        <is>
          <t>2025-10</t>
        </is>
      </c>
      <c r="B1665" t="inlineStr">
        <is>
          <t>◆社區網路費(Y174790)</t>
        </is>
      </c>
      <c r="C1665" t="n">
        <v>1899</v>
      </c>
      <c r="D1665" t="inlineStr">
        <is>
          <t>電話/網路費</t>
        </is>
      </c>
      <c r="E1665" t="inlineStr">
        <is>
          <t>非固定</t>
        </is>
      </c>
    </row>
    <row r="1666" ht="16.5" customHeight="1" s="84">
      <c r="A1666" t="inlineStr">
        <is>
          <t>2025-10</t>
        </is>
      </c>
      <c r="B1666" t="inlineStr">
        <is>
          <t>◆公共電費</t>
        </is>
      </c>
      <c r="C1666" t="n">
        <v>121744</v>
      </c>
      <c r="D1666" t="inlineStr">
        <is>
          <t>公共水電瓦斯</t>
        </is>
      </c>
      <c r="E1666" t="inlineStr">
        <is>
          <t>非固定</t>
        </is>
      </c>
    </row>
    <row r="1667" ht="16.5" customHeight="1" s="84">
      <c r="A1667" t="inlineStr">
        <is>
          <t>2025-10</t>
        </is>
      </c>
      <c r="B1667" t="inlineStr">
        <is>
          <t>◆自來水費</t>
        </is>
      </c>
      <c r="C1667" t="n">
        <v>46967</v>
      </c>
      <c r="D1667" t="inlineStr">
        <is>
          <t>公共水電瓦斯</t>
        </is>
      </c>
      <c r="E1667" t="inlineStr">
        <is>
          <t>非固定</t>
        </is>
      </c>
    </row>
    <row r="1668" ht="16.5" customHeight="1" s="84">
      <c r="A1668" t="inlineStr">
        <is>
          <t>2025-11</t>
        </is>
      </c>
      <c r="B1668" t="inlineStr">
        <is>
          <t>10月住商公寓大廈管理服務費</t>
        </is>
      </c>
      <c r="C1668" t="n">
        <v>132300</v>
      </c>
      <c r="D1668" t="inlineStr">
        <is>
          <t>管理服務費</t>
        </is>
      </c>
      <c r="E1668" t="inlineStr">
        <is>
          <t>固定</t>
        </is>
      </c>
    </row>
    <row r="1669" ht="16.5" customHeight="1" s="84">
      <c r="A1669" t="inlineStr">
        <is>
          <t>2025-11</t>
        </is>
      </c>
      <c r="B1669" t="inlineStr">
        <is>
          <t>10月亞東保全服務費</t>
        </is>
      </c>
      <c r="C1669" t="n">
        <v>319200</v>
      </c>
      <c r="D1669" t="inlineStr">
        <is>
          <t>保全服務費</t>
        </is>
      </c>
      <c r="E1669" t="inlineStr">
        <is>
          <t>固定</t>
        </is>
      </c>
    </row>
    <row r="1670" ht="16.5" customHeight="1" s="84">
      <c r="A1670" t="inlineStr">
        <is>
          <t>2025-11</t>
        </is>
      </c>
      <c r="B1670" t="inlineStr">
        <is>
          <t>10月義明清潔服務費</t>
        </is>
      </c>
      <c r="C1670" t="n">
        <v>123000</v>
      </c>
      <c r="D1670" t="inlineStr">
        <is>
          <t>清潔服務費</t>
        </is>
      </c>
      <c r="E1670" t="inlineStr">
        <is>
          <t>固定</t>
        </is>
      </c>
    </row>
    <row r="1671" ht="16.5" customHeight="1" s="84">
      <c r="A1671" t="inlineStr">
        <is>
          <t>2025-11</t>
        </is>
      </c>
      <c r="B1671" t="inlineStr">
        <is>
          <t>10月順達清潔服務費</t>
        </is>
      </c>
      <c r="C1671" t="n">
        <v>123000</v>
      </c>
      <c r="D1671" t="inlineStr">
        <is>
          <t>清潔服務費</t>
        </is>
      </c>
      <c r="E1671" t="inlineStr">
        <is>
          <t>固定</t>
        </is>
      </c>
    </row>
    <row r="1672" ht="16.5" customHeight="1" s="84">
      <c r="A1672" t="inlineStr">
        <is>
          <t>2025-11</t>
        </is>
      </c>
      <c r="B1672" t="inlineStr">
        <is>
          <t>10月崇友電梯保養費</t>
        </is>
      </c>
      <c r="C1672" t="n">
        <v>100000</v>
      </c>
      <c r="D1672" t="inlineStr">
        <is>
          <t>電梯保養與修繕</t>
        </is>
      </c>
      <c r="E1672" t="inlineStr">
        <is>
          <t>固定</t>
        </is>
      </c>
    </row>
    <row r="1673" ht="16.5" customHeight="1" s="84">
      <c r="A1673" t="inlineStr">
        <is>
          <t>2025-11</t>
        </is>
      </c>
      <c r="B1673" t="inlineStr">
        <is>
          <t>10月電梯專用款撥補（每月固定撥補至元大電梯專用帳戶）</t>
        </is>
      </c>
      <c r="C1673" t="n">
        <v>100000</v>
      </c>
      <c r="D1673" t="inlineStr">
        <is>
          <t>內部轉帳</t>
        </is>
      </c>
      <c r="E1673" t="inlineStr">
        <is>
          <t>固定</t>
        </is>
      </c>
    </row>
    <row r="1674" ht="16.5" customHeight="1" s="84">
      <c r="A1674" t="inlineStr">
        <is>
          <t>2025-11</t>
        </is>
      </c>
      <c r="B1674" t="inlineStr">
        <is>
          <t>10月長樂機電保養費</t>
        </is>
      </c>
      <c r="C1674" t="n">
        <v>25200</v>
      </c>
      <c r="D1674" t="inlineStr">
        <is>
          <t>機電/消防/弱電/AED</t>
        </is>
      </c>
      <c r="E1674" t="inlineStr">
        <is>
          <t>固定</t>
        </is>
      </c>
    </row>
    <row r="1675" ht="16.5" customHeight="1" s="84">
      <c r="A1675" t="inlineStr">
        <is>
          <t>2025-11</t>
        </is>
      </c>
      <c r="B1675" t="inlineStr">
        <is>
          <t>10月太古意弱電保養費</t>
        </is>
      </c>
      <c r="C1675" t="n">
        <v>10000</v>
      </c>
      <c r="D1675" t="inlineStr">
        <is>
          <t>機電/消防/弱電/AED</t>
        </is>
      </c>
      <c r="E1675" t="inlineStr">
        <is>
          <t>固定</t>
        </is>
      </c>
    </row>
    <row r="1676" ht="15" customHeight="1" s="84">
      <c r="A1676" t="inlineStr">
        <is>
          <t>2025-11</t>
        </is>
      </c>
      <c r="B1676" t="inlineStr">
        <is>
          <t>10月御品網路保養費</t>
        </is>
      </c>
      <c r="C1676" t="n">
        <v>9450</v>
      </c>
      <c r="D1676" t="inlineStr">
        <is>
          <t>機電/消防/弱電/AED</t>
        </is>
      </c>
      <c r="E1676" t="inlineStr">
        <is>
          <t>固定</t>
        </is>
      </c>
    </row>
    <row r="1677" ht="15" customHeight="1" s="84">
      <c r="A1677" t="inlineStr">
        <is>
          <t>2025-11</t>
        </is>
      </c>
      <c r="B1677" t="inlineStr">
        <is>
          <t>10月新光電通AED設備月租費</t>
        </is>
      </c>
      <c r="C1677" t="n">
        <v>0</v>
      </c>
      <c r="D1677" t="inlineStr">
        <is>
          <t>機電/消防/弱電/AED</t>
        </is>
      </c>
      <c r="E1677" t="inlineStr">
        <is>
          <t>固定</t>
        </is>
      </c>
    </row>
    <row r="1678" ht="16.5" customHeight="1" s="84">
      <c r="A1678" t="inlineStr">
        <is>
          <t>2025-11</t>
        </is>
      </c>
      <c r="B1678" t="inlineStr">
        <is>
          <t>10月新鑫堯垃圾廢棄物處理費</t>
        </is>
      </c>
      <c r="C1678" t="n">
        <v>37500</v>
      </c>
      <c r="D1678" t="inlineStr">
        <is>
          <t>垃圾廢棄物/園藝</t>
        </is>
      </c>
      <c r="E1678" t="inlineStr">
        <is>
          <t>固定</t>
        </is>
      </c>
    </row>
    <row r="1679" ht="16.5" customHeight="1" s="84">
      <c r="A1679" t="inlineStr">
        <is>
          <t>2025-11</t>
        </is>
      </c>
      <c r="B1679" t="inlineStr">
        <is>
          <t>10月富賀村園藝景觀修剪維護費(2個月/次)</t>
        </is>
      </c>
      <c r="C1679" t="n">
        <v>0</v>
      </c>
      <c r="D1679" t="inlineStr">
        <is>
          <t>垃圾廢棄物/園藝</t>
        </is>
      </c>
      <c r="E1679" t="inlineStr">
        <is>
          <t>固定</t>
        </is>
      </c>
    </row>
    <row r="1680" ht="16.5" customHeight="1" s="84">
      <c r="A1680" t="inlineStr">
        <is>
          <t>2025-11</t>
        </is>
      </c>
      <c r="B1680" t="inlineStr">
        <is>
          <t>10月零用金撥補</t>
        </is>
      </c>
      <c r="C1680" t="n">
        <v>7076</v>
      </c>
      <c r="D1680" t="inlineStr">
        <is>
          <t>內部轉帳</t>
        </is>
      </c>
      <c r="E1680" t="inlineStr">
        <is>
          <t>非固定</t>
        </is>
      </c>
    </row>
    <row r="1681" ht="16.5" customHeight="1" s="84">
      <c r="A1681" t="inlineStr">
        <is>
          <t>2025-11</t>
        </is>
      </c>
      <c r="B1681" t="inlineStr">
        <is>
          <t>11月管委會出席費用（預領）</t>
        </is>
      </c>
      <c r="C1681" t="n">
        <v>8000</v>
      </c>
      <c r="D1681" t="inlineStr">
        <is>
          <t>內部轉帳</t>
        </is>
      </c>
      <c r="E1681" t="inlineStr">
        <is>
          <t>非固定</t>
        </is>
      </c>
    </row>
    <row r="1682" ht="16.5" customHeight="1" s="84">
      <c r="A1682" t="inlineStr">
        <is>
          <t>2025-11</t>
        </is>
      </c>
      <c r="B1682" t="inlineStr">
        <is>
          <t>清潔用品採購(洗手乳、酒精)</t>
        </is>
      </c>
      <c r="C1682" t="n">
        <v>3276</v>
      </c>
      <c r="D1682" t="inlineStr">
        <is>
          <t>清潔服務費</t>
        </is>
      </c>
      <c r="E1682" t="inlineStr">
        <is>
          <t>非固定</t>
        </is>
      </c>
    </row>
    <row r="1683" ht="16.5" customHeight="1" s="84">
      <c r="A1683" t="inlineStr">
        <is>
          <t>2025-11</t>
        </is>
      </c>
      <c r="B1683" t="inlineStr">
        <is>
          <t>廢棄物超收費</t>
        </is>
      </c>
      <c r="C1683" t="n">
        <v>1300</v>
      </c>
      <c r="D1683" t="inlineStr">
        <is>
          <t>垃圾廢棄物/園藝</t>
        </is>
      </c>
      <c r="E1683" t="inlineStr">
        <is>
          <t>非固定</t>
        </is>
      </c>
    </row>
    <row r="1684" ht="16.5" customHeight="1" s="84">
      <c r="A1684" t="inlineStr">
        <is>
          <t>2025-11</t>
        </is>
      </c>
      <c r="B1684" t="inlineStr">
        <is>
          <t>M22退充電樁保證金</t>
        </is>
      </c>
      <c r="C1684" t="n">
        <v>50000</v>
      </c>
      <c r="D1684" t="inlineStr">
        <is>
          <t>內部轉帳</t>
        </is>
      </c>
      <c r="E1684" t="inlineStr">
        <is>
          <t>非固定</t>
        </is>
      </c>
    </row>
    <row r="1685" ht="16.5" customHeight="1" s="84">
      <c r="A1685" t="inlineStr">
        <is>
          <t>2025-11</t>
        </is>
      </c>
      <c r="B1685" t="inlineStr">
        <is>
          <t>入口捲門(馬達)修繕</t>
        </is>
      </c>
      <c r="C1685" t="n">
        <v>14700</v>
      </c>
      <c r="D1685" t="inlineStr">
        <is>
          <t>其他支出</t>
        </is>
      </c>
      <c r="E1685" t="inlineStr">
        <is>
          <t>非固定</t>
        </is>
      </c>
    </row>
    <row r="1686" ht="16.5" customHeight="1" s="84">
      <c r="A1686" t="inlineStr">
        <is>
          <t>2025-11</t>
        </is>
      </c>
      <c r="B1686" t="inlineStr">
        <is>
          <t>噴灌系統-花圃旁爆管修繕</t>
        </is>
      </c>
      <c r="C1686" t="n">
        <v>10500</v>
      </c>
      <c r="D1686" t="inlineStr">
        <is>
          <t>其他支出</t>
        </is>
      </c>
      <c r="E1686" t="inlineStr">
        <is>
          <t>非固定</t>
        </is>
      </c>
    </row>
    <row r="1687" ht="16.5" customHeight="1" s="84">
      <c r="A1687" t="inlineStr">
        <is>
          <t>2025-11</t>
        </is>
      </c>
      <c r="B1687" t="inlineStr">
        <is>
          <t>機車道進出口防滑施作</t>
        </is>
      </c>
      <c r="C1687" t="n">
        <v>14070</v>
      </c>
      <c r="D1687" t="inlineStr">
        <is>
          <t>工程維修/購置</t>
        </is>
      </c>
      <c r="E1687" t="inlineStr">
        <is>
          <t>非固定</t>
        </is>
      </c>
    </row>
    <row r="1688" ht="16.5" customHeight="1" s="84">
      <c r="A1688" t="inlineStr">
        <is>
          <t>2025-11</t>
        </is>
      </c>
      <c r="B1688" t="inlineStr">
        <is>
          <t>崇友-電梯安檢費</t>
        </is>
      </c>
      <c r="C1688" t="n">
        <v>14175</v>
      </c>
      <c r="D1688" t="inlineStr">
        <is>
          <t>電梯保養與修繕</t>
        </is>
      </c>
      <c r="E1688" t="inlineStr">
        <is>
          <t>非固定</t>
        </is>
      </c>
      <c r="F1688" t="inlineStr">
        <is>
          <t>電梯</t>
        </is>
      </c>
    </row>
    <row r="1689" ht="16.5" customHeight="1" s="84">
      <c r="A1689" t="inlineStr">
        <is>
          <t>2025-11</t>
        </is>
      </c>
      <c r="B1689" t="inlineStr">
        <is>
          <t>崇友-HCD顯示器(乙棟#3)</t>
        </is>
      </c>
      <c r="C1689" t="n">
        <v>3200</v>
      </c>
      <c r="D1689" t="inlineStr">
        <is>
          <t>電梯保養與修繕</t>
        </is>
      </c>
      <c r="E1689" t="inlineStr">
        <is>
          <t>非固定</t>
        </is>
      </c>
      <c r="F1689" t="inlineStr">
        <is>
          <t>電梯</t>
        </is>
      </c>
    </row>
    <row r="1690" ht="16.5" customHeight="1" s="84">
      <c r="A1690" t="inlineStr">
        <is>
          <t>2025-11</t>
        </is>
      </c>
      <c r="B1690" t="inlineStr">
        <is>
          <t>崇友-HCD顯示器(戊棟#9)</t>
        </is>
      </c>
      <c r="C1690" t="n">
        <v>3200</v>
      </c>
      <c r="D1690" t="inlineStr">
        <is>
          <t>電梯保養與修繕</t>
        </is>
      </c>
      <c r="E1690" t="inlineStr">
        <is>
          <t>非固定</t>
        </is>
      </c>
      <c r="F1690" t="inlineStr">
        <is>
          <t>電梯</t>
        </is>
      </c>
    </row>
    <row r="1691" ht="16.5" customHeight="1" s="84">
      <c r="A1691" t="inlineStr">
        <is>
          <t>2025-11</t>
        </is>
      </c>
      <c r="B1691" t="inlineStr">
        <is>
          <t>崇友-微壓按鈕</t>
        </is>
      </c>
      <c r="C1691" t="n">
        <v>10500</v>
      </c>
      <c r="D1691" t="inlineStr">
        <is>
          <t>電梯保養與修繕</t>
        </is>
      </c>
      <c r="E1691" t="inlineStr">
        <is>
          <t>非固定</t>
        </is>
      </c>
      <c r="F1691" t="inlineStr">
        <is>
          <t>電梯</t>
        </is>
      </c>
    </row>
    <row r="1692" ht="16.5" customHeight="1" s="84">
      <c r="A1692" t="inlineStr">
        <is>
          <t>2025-11</t>
        </is>
      </c>
      <c r="B1692" t="inlineStr">
        <is>
          <t>天幕高空</t>
        </is>
      </c>
      <c r="C1692" t="n">
        <v>537600</v>
      </c>
      <c r="D1692" t="inlineStr">
        <is>
          <t>工程維修/購置</t>
        </is>
      </c>
      <c r="E1692" t="inlineStr">
        <is>
          <t>非固定</t>
        </is>
      </c>
      <c r="F1692" t="inlineStr">
        <is>
          <t>外牆修繕</t>
        </is>
      </c>
    </row>
    <row r="1693" ht="16.5" customHeight="1" s="84">
      <c r="A1693" t="inlineStr">
        <is>
          <t>2025-11</t>
        </is>
      </c>
      <c r="B1693" t="inlineStr">
        <is>
          <t>長樂-114年度消防檢測暨申報</t>
        </is>
      </c>
      <c r="C1693" t="n">
        <v>60900</v>
      </c>
      <c r="D1693" t="inlineStr">
        <is>
          <t>機電/消防/弱電/AED</t>
        </is>
      </c>
      <c r="E1693" t="inlineStr">
        <is>
          <t>非固定</t>
        </is>
      </c>
    </row>
    <row r="1694" ht="16.5" customHeight="1" s="84">
      <c r="A1694" t="inlineStr">
        <is>
          <t>2025-11</t>
        </is>
      </c>
      <c r="B1694" t="inlineStr">
        <is>
          <t>長樂-九月修繕費(燈、感應器)</t>
        </is>
      </c>
      <c r="C1694" t="n">
        <v>44856</v>
      </c>
      <c r="D1694" t="inlineStr">
        <is>
          <t>工程維修/購置</t>
        </is>
      </c>
      <c r="E1694" t="inlineStr">
        <is>
          <t>非固定</t>
        </is>
      </c>
    </row>
    <row r="1695" ht="16.5" customHeight="1" s="84">
      <c r="A1695" t="inlineStr">
        <is>
          <t>2025-11</t>
        </is>
      </c>
      <c r="B1695" t="inlineStr">
        <is>
          <t>長樂-十月修繕費(燈、感應器)</t>
        </is>
      </c>
      <c r="C1695" t="n">
        <v>37181</v>
      </c>
      <c r="D1695" t="inlineStr">
        <is>
          <t>工程維修/購置</t>
        </is>
      </c>
      <c r="E1695" t="inlineStr">
        <is>
          <t>非固定</t>
        </is>
      </c>
    </row>
    <row r="1696" ht="16.5" customHeight="1" s="84">
      <c r="A1696" t="inlineStr">
        <is>
          <t>2025-11</t>
        </is>
      </c>
      <c r="B1696" t="inlineStr">
        <is>
          <t>長樂-九月修繕費(戊棟回收室、香菇燈線路查修)</t>
        </is>
      </c>
      <c r="C1696" t="n">
        <v>8400</v>
      </c>
      <c r="D1696" t="inlineStr">
        <is>
          <t>工程維修/購置</t>
        </is>
      </c>
      <c r="E1696" t="inlineStr">
        <is>
          <t>非固定</t>
        </is>
      </c>
    </row>
    <row r="1697" ht="16.5" customHeight="1" s="84">
      <c r="A1697" t="inlineStr">
        <is>
          <t>2025-11</t>
        </is>
      </c>
      <c r="B1697" t="inlineStr">
        <is>
          <t>長樂-九月修繕費(戊棟地板燈、香菇燈線路查修)</t>
        </is>
      </c>
      <c r="C1697" t="n">
        <v>8400</v>
      </c>
      <c r="D1697" t="inlineStr">
        <is>
          <t>工程維修/購置</t>
        </is>
      </c>
      <c r="E1697" t="inlineStr">
        <is>
          <t>非固定</t>
        </is>
      </c>
    </row>
    <row r="1698" ht="16.5" customHeight="1" s="84">
      <c r="A1698" t="inlineStr">
        <is>
          <t>2025-11</t>
        </is>
      </c>
      <c r="B1698" t="inlineStr">
        <is>
          <t>長樂-九月1F中庭循環馬達更換費</t>
        </is>
      </c>
      <c r="C1698" t="n">
        <v>26460</v>
      </c>
      <c r="D1698" t="inlineStr">
        <is>
          <t>工程維修/購置</t>
        </is>
      </c>
      <c r="E1698" t="inlineStr">
        <is>
          <t>非固定</t>
        </is>
      </c>
    </row>
    <row r="1699" ht="16.5" customHeight="1" s="84">
      <c r="A1699" t="inlineStr">
        <is>
          <t>2025-11</t>
        </is>
      </c>
      <c r="B1699" t="inlineStr">
        <is>
          <t>長樂-九月1F中庭水底燈延伸電線修繕費</t>
        </is>
      </c>
      <c r="C1699" t="n">
        <v>6248</v>
      </c>
      <c r="D1699" t="inlineStr">
        <is>
          <t>工程維修/購置</t>
        </is>
      </c>
      <c r="E1699" t="inlineStr">
        <is>
          <t>非固定</t>
        </is>
      </c>
    </row>
    <row r="1700" ht="16.5" customHeight="1" s="84">
      <c r="A1700" t="inlineStr">
        <is>
          <t>2025-11</t>
        </is>
      </c>
      <c r="B1700" t="inlineStr">
        <is>
          <t>長樂-九月丁棟1F樓梯間電源箱整理費</t>
        </is>
      </c>
      <c r="C1700" t="n">
        <v>136532</v>
      </c>
      <c r="D1700" t="inlineStr">
        <is>
          <t>工程維修/購置</t>
        </is>
      </c>
      <c r="E1700" t="inlineStr">
        <is>
          <t>非固定</t>
        </is>
      </c>
    </row>
    <row r="1701" ht="16.5" customHeight="1" s="84">
      <c r="A1701" t="inlineStr">
        <is>
          <t>2025-11</t>
        </is>
      </c>
      <c r="B1701" t="inlineStr">
        <is>
          <t>跑步機採購</t>
        </is>
      </c>
      <c r="C1701" t="n">
        <v>27690</v>
      </c>
      <c r="D1701" t="inlineStr">
        <is>
          <t>工程維修/購置</t>
        </is>
      </c>
      <c r="E1701" t="inlineStr">
        <is>
          <t>非固定</t>
        </is>
      </c>
    </row>
    <row r="1702" ht="16.5" customHeight="1" s="84">
      <c r="A1702" t="inlineStr">
        <is>
          <t>2025-11</t>
        </is>
      </c>
      <c r="B1702" t="inlineStr">
        <is>
          <t>太古意-甲棟無障礙電梯線路損壞更新線路</t>
        </is>
      </c>
      <c r="C1702" t="n">
        <v>16275</v>
      </c>
      <c r="D1702" t="inlineStr">
        <is>
          <t>機電/消防/弱電/AED</t>
        </is>
      </c>
      <c r="E1702" t="inlineStr">
        <is>
          <t>非固定</t>
        </is>
      </c>
      <c r="F1702" t="inlineStr">
        <is>
          <t>電梯</t>
        </is>
      </c>
    </row>
    <row r="1703" ht="16.5" customHeight="1" s="84">
      <c r="A1703" t="inlineStr">
        <is>
          <t>2025-11</t>
        </is>
      </c>
      <c r="B1703" t="inlineStr">
        <is>
          <t>採購舞光燈90/盞</t>
        </is>
      </c>
      <c r="C1703" t="n">
        <v>110700</v>
      </c>
      <c r="D1703" t="inlineStr">
        <is>
          <t>工程維修/購置</t>
        </is>
      </c>
      <c r="E1703" t="inlineStr">
        <is>
          <t>非固定</t>
        </is>
      </c>
    </row>
    <row r="1704" ht="16.5" customHeight="1" s="84">
      <c r="A1704" t="inlineStr">
        <is>
          <t>2025-11</t>
        </is>
      </c>
      <c r="B1704" t="inlineStr">
        <is>
          <t>◆社區電話費(5630533)</t>
        </is>
      </c>
      <c r="C1704" t="n">
        <v>1083</v>
      </c>
      <c r="D1704" t="inlineStr">
        <is>
          <t>電話/網路費</t>
        </is>
      </c>
      <c r="E1704" t="inlineStr">
        <is>
          <t>非固定</t>
        </is>
      </c>
    </row>
    <row r="1705" ht="15" customHeight="1" s="84">
      <c r="A1705" t="inlineStr">
        <is>
          <t>2025-11</t>
        </is>
      </c>
      <c r="B1705" t="inlineStr">
        <is>
          <t>◆社區網路費(Y123617)</t>
        </is>
      </c>
      <c r="C1705" t="n">
        <v>1899</v>
      </c>
      <c r="D1705" t="inlineStr">
        <is>
          <t>電話/網路費</t>
        </is>
      </c>
      <c r="E1705" t="inlineStr">
        <is>
          <t>非固定</t>
        </is>
      </c>
    </row>
    <row r="1706" ht="16.5" customHeight="1" s="84">
      <c r="A1706" t="inlineStr">
        <is>
          <t>2025-11</t>
        </is>
      </c>
      <c r="B1706" t="inlineStr">
        <is>
          <t>◆社區網路費(Y174790)</t>
        </is>
      </c>
      <c r="C1706" t="n">
        <v>1899</v>
      </c>
      <c r="D1706" t="inlineStr">
        <is>
          <t>電話/網路費</t>
        </is>
      </c>
      <c r="E1706" t="inlineStr">
        <is>
          <t>非固定</t>
        </is>
      </c>
    </row>
    <row r="1707" ht="16.5" customHeight="1" s="84">
      <c r="A1707" t="inlineStr">
        <is>
          <t>2025-11</t>
        </is>
      </c>
      <c r="B1707" t="inlineStr">
        <is>
          <t>◆公共電費</t>
        </is>
      </c>
      <c r="C1707" t="n">
        <v>111303</v>
      </c>
      <c r="D1707" t="inlineStr">
        <is>
          <t>公共水電瓦斯</t>
        </is>
      </c>
      <c r="E1707" t="inlineStr">
        <is>
          <t>非固定</t>
        </is>
      </c>
    </row>
    <row r="1708" ht="16.5" customHeight="1" s="84">
      <c r="A1708" t="inlineStr">
        <is>
          <t>2025-11</t>
        </is>
      </c>
      <c r="B1708" t="inlineStr">
        <is>
          <t>◆自來水費</t>
        </is>
      </c>
      <c r="C1708" t="n">
        <v>0</v>
      </c>
      <c r="D1708" t="inlineStr">
        <is>
          <t>公共水電瓦斯</t>
        </is>
      </c>
      <c r="E1708" t="inlineStr">
        <is>
          <t>非固定</t>
        </is>
      </c>
    </row>
    <row r="1709" ht="16.5" customHeight="1" s="84">
      <c r="A1709" t="inlineStr">
        <is>
          <t>2025-12</t>
        </is>
      </c>
      <c r="B1709" t="inlineStr">
        <is>
          <t>11月住商公寓大廈管理服務費</t>
        </is>
      </c>
      <c r="C1709" t="n">
        <v>132300</v>
      </c>
      <c r="D1709" t="inlineStr">
        <is>
          <t>管理服務費</t>
        </is>
      </c>
      <c r="E1709" t="inlineStr">
        <is>
          <t>固定</t>
        </is>
      </c>
    </row>
    <row r="1710" ht="16.5" customHeight="1" s="84">
      <c r="A1710" t="inlineStr">
        <is>
          <t>2025-12</t>
        </is>
      </c>
      <c r="B1710" t="inlineStr">
        <is>
          <t>11月亞東保全服務費</t>
        </is>
      </c>
      <c r="C1710" t="n">
        <v>319200</v>
      </c>
      <c r="D1710" t="inlineStr">
        <is>
          <t>保全服務費</t>
        </is>
      </c>
      <c r="E1710" t="inlineStr">
        <is>
          <t>固定</t>
        </is>
      </c>
    </row>
    <row r="1711" ht="16.5" customHeight="1" s="84">
      <c r="A1711" t="inlineStr">
        <is>
          <t>2025-12</t>
        </is>
      </c>
      <c r="B1711" t="inlineStr">
        <is>
          <t>11月義明清潔服務費</t>
        </is>
      </c>
      <c r="C1711" t="n">
        <v>123000</v>
      </c>
      <c r="D1711" t="inlineStr">
        <is>
          <t>清潔服務費</t>
        </is>
      </c>
      <c r="E1711" t="inlineStr">
        <is>
          <t>固定</t>
        </is>
      </c>
    </row>
    <row r="1712" ht="16.5" customHeight="1" s="84">
      <c r="A1712" t="inlineStr">
        <is>
          <t>2025-12</t>
        </is>
      </c>
      <c r="B1712" t="inlineStr">
        <is>
          <t>11月順達清潔服務費</t>
        </is>
      </c>
      <c r="C1712" t="n">
        <v>123000</v>
      </c>
      <c r="D1712" t="inlineStr">
        <is>
          <t>清潔服務費</t>
        </is>
      </c>
      <c r="E1712" t="inlineStr">
        <is>
          <t>固定</t>
        </is>
      </c>
    </row>
    <row r="1713" ht="16.5" customHeight="1" s="84">
      <c r="A1713" t="inlineStr">
        <is>
          <t>2025-12</t>
        </is>
      </c>
      <c r="B1713" t="inlineStr">
        <is>
          <t>11月崇友電梯保養費</t>
        </is>
      </c>
      <c r="C1713" t="n">
        <v>100000</v>
      </c>
      <c r="D1713" t="inlineStr">
        <is>
          <t>電梯保養與修繕</t>
        </is>
      </c>
      <c r="E1713" t="inlineStr">
        <is>
          <t>固定</t>
        </is>
      </c>
    </row>
    <row r="1714" ht="15" customHeight="1" s="84">
      <c r="A1714" t="inlineStr">
        <is>
          <t>2025-12</t>
        </is>
      </c>
      <c r="B1714" t="inlineStr">
        <is>
          <t>11月電梯專用款撥補（每月固定撥補至元大電梯專用帳戶）</t>
        </is>
      </c>
      <c r="C1714" t="n">
        <v>100000</v>
      </c>
      <c r="D1714" t="inlineStr">
        <is>
          <t>內部轉帳</t>
        </is>
      </c>
      <c r="E1714" t="inlineStr">
        <is>
          <t>固定</t>
        </is>
      </c>
    </row>
    <row r="1715" ht="15" customHeight="1" s="84">
      <c r="A1715" t="inlineStr">
        <is>
          <t>2025-12</t>
        </is>
      </c>
      <c r="B1715" t="inlineStr">
        <is>
          <t>11月長樂機電保養費</t>
        </is>
      </c>
      <c r="C1715" t="n">
        <v>25200</v>
      </c>
      <c r="D1715" t="inlineStr">
        <is>
          <t>機電/消防/弱電/AED</t>
        </is>
      </c>
      <c r="E1715" t="inlineStr">
        <is>
          <t>固定</t>
        </is>
      </c>
    </row>
    <row r="1716" ht="16.5" customHeight="1" s="84">
      <c r="A1716" t="inlineStr">
        <is>
          <t>2025-12</t>
        </is>
      </c>
      <c r="B1716" t="inlineStr">
        <is>
          <t>11月太古意弱電保養費</t>
        </is>
      </c>
      <c r="C1716" t="n">
        <v>10000</v>
      </c>
      <c r="D1716" t="inlineStr">
        <is>
          <t>機電/消防/弱電/AED</t>
        </is>
      </c>
      <c r="E1716" t="inlineStr">
        <is>
          <t>固定</t>
        </is>
      </c>
    </row>
    <row r="1717" ht="16.5" customHeight="1" s="84">
      <c r="A1717" t="inlineStr">
        <is>
          <t>2025-12</t>
        </is>
      </c>
      <c r="B1717" t="inlineStr">
        <is>
          <t>11月御品網路保養費</t>
        </is>
      </c>
      <c r="C1717" t="n">
        <v>9450</v>
      </c>
      <c r="D1717" t="inlineStr">
        <is>
          <t>機電/消防/弱電/AED</t>
        </is>
      </c>
      <c r="E1717" t="inlineStr">
        <is>
          <t>固定</t>
        </is>
      </c>
    </row>
    <row r="1718" ht="16.5" customHeight="1" s="84">
      <c r="A1718" t="inlineStr">
        <is>
          <t>2025-12</t>
        </is>
      </c>
      <c r="B1718" t="inlineStr">
        <is>
          <t>11月新光電通AED設備月租費</t>
        </is>
      </c>
      <c r="C1718" t="n">
        <v>0</v>
      </c>
      <c r="D1718" t="inlineStr">
        <is>
          <t>機電/消防/弱電/AED</t>
        </is>
      </c>
      <c r="E1718" t="inlineStr">
        <is>
          <t>固定</t>
        </is>
      </c>
    </row>
    <row r="1719" ht="16.5" customHeight="1" s="84">
      <c r="A1719" t="inlineStr">
        <is>
          <t>2025-12</t>
        </is>
      </c>
      <c r="B1719" t="inlineStr">
        <is>
          <t>11月新鑫堯垃圾廢棄物處理費</t>
        </is>
      </c>
      <c r="C1719" t="n">
        <v>37500</v>
      </c>
      <c r="D1719" t="inlineStr">
        <is>
          <t>垃圾廢棄物/園藝</t>
        </is>
      </c>
      <c r="E1719" t="inlineStr">
        <is>
          <t>固定</t>
        </is>
      </c>
    </row>
    <row r="1720" ht="16.5" customHeight="1" s="84">
      <c r="A1720" t="inlineStr">
        <is>
          <t>2025-12</t>
        </is>
      </c>
      <c r="B1720" t="inlineStr">
        <is>
          <t>11月富賀村園藝景觀修剪維護費(2個月/次)</t>
        </is>
      </c>
      <c r="C1720" t="n">
        <v>33000</v>
      </c>
      <c r="D1720" t="inlineStr">
        <is>
          <t>垃圾廢棄物/園藝</t>
        </is>
      </c>
      <c r="E1720" t="inlineStr">
        <is>
          <t>固定</t>
        </is>
      </c>
    </row>
    <row r="1721" ht="16.5" customHeight="1" s="84">
      <c r="A1721" t="inlineStr">
        <is>
          <t>2025-12</t>
        </is>
      </c>
      <c r="B1721" t="inlineStr">
        <is>
          <t>11月零用金撥補</t>
        </is>
      </c>
      <c r="C1721" t="n">
        <v>19018</v>
      </c>
      <c r="D1721" t="inlineStr">
        <is>
          <t>內部轉帳</t>
        </is>
      </c>
      <c r="E1721" t="inlineStr">
        <is>
          <t>非固定</t>
        </is>
      </c>
    </row>
    <row r="1722" ht="16.5" customHeight="1" s="84">
      <c r="A1722" t="inlineStr">
        <is>
          <t>2025-12</t>
        </is>
      </c>
      <c r="B1722" t="inlineStr">
        <is>
          <t>12月管委會出席費用（預領）</t>
        </is>
      </c>
      <c r="C1722" t="n">
        <v>8000</v>
      </c>
      <c r="D1722" t="inlineStr">
        <is>
          <t>內部轉帳</t>
        </is>
      </c>
      <c r="E1722" t="inlineStr">
        <is>
          <t>非固定</t>
        </is>
      </c>
    </row>
    <row r="1723" ht="16.5" customHeight="1" s="84">
      <c r="A1723" t="inlineStr">
        <is>
          <t>2025-12</t>
        </is>
      </c>
      <c r="B1723" t="inlineStr">
        <is>
          <t>購買清潔用品-擦手紙、捲筒衛生紙、抽取式衛生紙</t>
        </is>
      </c>
      <c r="C1723" t="n">
        <v>1670</v>
      </c>
      <c r="D1723" t="inlineStr">
        <is>
          <t>清潔服務費</t>
        </is>
      </c>
      <c r="E1723" t="inlineStr">
        <is>
          <t>非固定</t>
        </is>
      </c>
    </row>
    <row r="1724" ht="16.5" customHeight="1" s="84">
      <c r="A1724" t="inlineStr">
        <is>
          <t>2025-12</t>
        </is>
      </c>
      <c r="B1724" t="inlineStr">
        <is>
          <t>11月垃圾廢棄物超收費</t>
        </is>
      </c>
      <c r="C1724" t="n">
        <v>1300</v>
      </c>
      <c r="D1724" t="inlineStr">
        <is>
          <t>垃圾廢棄物/園藝</t>
        </is>
      </c>
      <c r="E1724" t="inlineStr">
        <is>
          <t>非固定</t>
        </is>
      </c>
    </row>
    <row r="1725" ht="16.5" customHeight="1" s="84">
      <c r="A1725" t="inlineStr">
        <is>
          <t>2025-12</t>
        </is>
      </c>
      <c r="B1725" t="inlineStr">
        <is>
          <t>崇友-PU168基板維修(戊棟#10)</t>
        </is>
      </c>
      <c r="C1725" t="n">
        <v>31240</v>
      </c>
      <c r="D1725" t="inlineStr">
        <is>
          <t>電梯保養與修繕</t>
        </is>
      </c>
      <c r="E1725" t="inlineStr">
        <is>
          <t>非固定</t>
        </is>
      </c>
      <c r="F1725" t="inlineStr">
        <is>
          <t>電梯</t>
        </is>
      </c>
    </row>
    <row r="1726" ht="16.5" customHeight="1" s="84">
      <c r="A1726" t="inlineStr">
        <is>
          <t>2025-12</t>
        </is>
      </c>
      <c r="B1726" t="inlineStr">
        <is>
          <t>崇友-微壓按鈕燈光修繕(戊棟#9)</t>
        </is>
      </c>
      <c r="C1726" t="n">
        <v>473</v>
      </c>
      <c r="D1726" t="inlineStr">
        <is>
          <t>電梯保養與修繕</t>
        </is>
      </c>
      <c r="E1726" t="inlineStr">
        <is>
          <t>非固定</t>
        </is>
      </c>
      <c r="F1726" t="inlineStr">
        <is>
          <t>電梯</t>
        </is>
      </c>
    </row>
    <row r="1727" ht="16.5" customHeight="1" s="84">
      <c r="A1727" t="inlineStr">
        <is>
          <t>2025-12</t>
        </is>
      </c>
      <c r="B1727" t="inlineStr">
        <is>
          <t>印專家-11月購買碳粉匣*3</t>
        </is>
      </c>
      <c r="C1727" t="n">
        <v>6600</v>
      </c>
      <c r="D1727" t="inlineStr">
        <is>
          <t>工程維修/購置</t>
        </is>
      </c>
      <c r="E1727" t="inlineStr">
        <is>
          <t>非固定</t>
        </is>
      </c>
    </row>
    <row r="1728" ht="16.5" customHeight="1" s="84">
      <c r="A1728" t="inlineStr">
        <is>
          <t>2025-12</t>
        </is>
      </c>
      <c r="B1728" t="inlineStr">
        <is>
          <t>S8退施工裝潢保證金</t>
        </is>
      </c>
      <c r="C1728" t="n">
        <v>80000</v>
      </c>
      <c r="D1728" t="inlineStr">
        <is>
          <t>內部轉帳</t>
        </is>
      </c>
      <c r="E1728" t="inlineStr">
        <is>
          <t>非固定</t>
        </is>
      </c>
    </row>
    <row r="1729" ht="16.5" customHeight="1" s="84">
      <c r="A1729" t="inlineStr">
        <is>
          <t>2025-12</t>
        </is>
      </c>
      <c r="B1729" t="inlineStr">
        <is>
          <t>L2戶玻璃拆換工程</t>
        </is>
      </c>
      <c r="C1729" t="n">
        <v>8775</v>
      </c>
      <c r="D1729" t="inlineStr">
        <is>
          <t>工程維修/購置</t>
        </is>
      </c>
      <c r="E1729" t="inlineStr">
        <is>
          <t>非固定</t>
        </is>
      </c>
    </row>
    <row r="1730" ht="16.5" customHeight="1" s="84">
      <c r="A1730" t="inlineStr">
        <is>
          <t>2025-12</t>
        </is>
      </c>
      <c r="B1730" t="inlineStr">
        <is>
          <t>榮盛工程行-中庭石板爆裂修補工程</t>
        </is>
      </c>
      <c r="C1730" t="n">
        <v>21000</v>
      </c>
      <c r="D1730" t="inlineStr">
        <is>
          <t>工程維修/購置</t>
        </is>
      </c>
      <c r="E1730" t="inlineStr">
        <is>
          <t>非固定</t>
        </is>
      </c>
    </row>
    <row r="1731" ht="16.5" customHeight="1" s="84">
      <c r="A1731" t="inlineStr">
        <is>
          <t>2025-12</t>
        </is>
      </c>
      <c r="B1731" t="inlineStr">
        <is>
          <t>榮盛工程行-中庭石板爆裂修補工程(退匯)</t>
        </is>
      </c>
      <c r="C1731" t="n">
        <v>21000</v>
      </c>
      <c r="D1731" t="inlineStr">
        <is>
          <t>工程維修/購置</t>
        </is>
      </c>
      <c r="E1731" t="inlineStr">
        <is>
          <t>非固定</t>
        </is>
      </c>
    </row>
    <row r="1732" ht="16.5" customHeight="1" s="84">
      <c r="A1732" t="inlineStr">
        <is>
          <t>2025-12</t>
        </is>
      </c>
      <c r="B1732" t="inlineStr">
        <is>
          <t>購買游泳池陽傘、救生員座椅(七月)</t>
        </is>
      </c>
      <c r="C1732" t="n">
        <v>4517</v>
      </c>
      <c r="D1732" t="inlineStr">
        <is>
          <t>工程維修/購置</t>
        </is>
      </c>
      <c r="E1732" t="inlineStr">
        <is>
          <t>非固定</t>
        </is>
      </c>
      <c r="F1732" t="inlineStr">
        <is>
          <t>游泳池</t>
        </is>
      </c>
    </row>
    <row r="1733" ht="16.5" customHeight="1" s="84">
      <c r="A1733" t="inlineStr">
        <is>
          <t>2025-12</t>
        </is>
      </c>
      <c r="B1733" t="inlineStr">
        <is>
          <t>台北市建築師公會-鑑定外牆磁磚脫落原因</t>
        </is>
      </c>
      <c r="C1733" t="n">
        <v>180030</v>
      </c>
      <c r="D1733" t="inlineStr">
        <is>
          <t>工程維修/購置</t>
        </is>
      </c>
      <c r="E1733" t="inlineStr">
        <is>
          <t>非固定</t>
        </is>
      </c>
      <c r="F1733" t="inlineStr">
        <is>
          <t>外牆修繕</t>
        </is>
      </c>
    </row>
    <row r="1734" ht="16.5" customHeight="1" s="84">
      <c r="A1734" t="inlineStr">
        <is>
          <t>2025-12</t>
        </is>
      </c>
      <c r="B1734" t="inlineStr">
        <is>
          <t>台北市建築師公會-鑑定地下室停車場鋪面剝落原因</t>
        </is>
      </c>
      <c r="C1734" t="n">
        <v>180030</v>
      </c>
      <c r="D1734" t="inlineStr">
        <is>
          <t>其他支出</t>
        </is>
      </c>
      <c r="E1734" t="inlineStr">
        <is>
          <t>非固定</t>
        </is>
      </c>
      <c r="F1734" t="inlineStr">
        <is>
          <t>外牆修繕</t>
        </is>
      </c>
    </row>
    <row r="1735" ht="16.5" customHeight="1" s="84">
      <c r="A1735" t="inlineStr">
        <is>
          <t>2025-12</t>
        </is>
      </c>
      <c r="B1735" t="inlineStr">
        <is>
          <t>購買清潔用品-擦手紙、捲筒衛生紙、抽取式衛生紙</t>
        </is>
      </c>
      <c r="C1735" t="n">
        <v>1670</v>
      </c>
      <c r="D1735" t="inlineStr">
        <is>
          <t>清潔服務費</t>
        </is>
      </c>
      <c r="E1735" t="inlineStr">
        <is>
          <t>非固定</t>
        </is>
      </c>
    </row>
    <row r="1736" ht="16.5" customHeight="1" s="84">
      <c r="A1736" t="inlineStr">
        <is>
          <t>2025-12</t>
        </is>
      </c>
      <c r="B1736" t="inlineStr">
        <is>
          <t>法律顧問聘任</t>
        </is>
      </c>
      <c r="C1736" t="n">
        <v>50030</v>
      </c>
      <c r="D1736" t="inlineStr">
        <is>
          <t>其他支出</t>
        </is>
      </c>
      <c r="E1736" t="inlineStr">
        <is>
          <t>非固定</t>
        </is>
      </c>
    </row>
    <row r="1737" ht="16.5" customHeight="1" s="84">
      <c r="A1737" t="inlineStr">
        <is>
          <t>2025-12</t>
        </is>
      </c>
      <c r="B1737" t="inlineStr">
        <is>
          <t>天幕高空</t>
        </is>
      </c>
      <c r="C1737" t="n">
        <v>382200</v>
      </c>
      <c r="D1737" t="inlineStr">
        <is>
          <t>工程維修/購置</t>
        </is>
      </c>
      <c r="E1737" t="inlineStr">
        <is>
          <t>非固定</t>
        </is>
      </c>
      <c r="F1737" t="inlineStr">
        <is>
          <t>外牆修繕</t>
        </is>
      </c>
    </row>
    <row r="1738" ht="16.5" customHeight="1" s="84">
      <c r="A1738" t="inlineStr">
        <is>
          <t>2025-12</t>
        </is>
      </c>
      <c r="B1738" t="inlineStr">
        <is>
          <t>順輝-ST防水型崁入式LED地底燈修繕</t>
        </is>
      </c>
      <c r="C1738" t="n">
        <v>7875</v>
      </c>
      <c r="D1738" t="inlineStr">
        <is>
          <t>工程維修/購置</t>
        </is>
      </c>
      <c r="E1738" t="inlineStr">
        <is>
          <t>非固定</t>
        </is>
      </c>
    </row>
    <row r="1739" ht="16.5" customHeight="1" s="84">
      <c r="A1739" t="inlineStr">
        <is>
          <t>2025-12</t>
        </is>
      </c>
      <c r="B1739" t="inlineStr">
        <is>
          <t>啟輝-水系統管路新建/修繕配置作業</t>
        </is>
      </c>
      <c r="C1739" t="n">
        <v>5000</v>
      </c>
      <c r="D1739" t="inlineStr">
        <is>
          <t>其他支出</t>
        </is>
      </c>
      <c r="E1739" t="inlineStr">
        <is>
          <t>非固定</t>
        </is>
      </c>
    </row>
    <row r="1740" ht="16.5" customHeight="1" s="84">
      <c r="A1740" t="inlineStr">
        <is>
          <t>2025-12</t>
        </is>
      </c>
      <c r="B1740" t="inlineStr">
        <is>
          <t>採購舞光神木照樹燈</t>
        </is>
      </c>
      <c r="C1740" t="n">
        <v>148830</v>
      </c>
      <c r="D1740" t="inlineStr">
        <is>
          <t>工程維修/購置</t>
        </is>
      </c>
      <c r="E1740" t="inlineStr">
        <is>
          <t>非固定</t>
        </is>
      </c>
    </row>
    <row r="1741" ht="16.5" customHeight="1" s="84">
      <c r="A1741" t="inlineStr">
        <is>
          <t>2025-12</t>
        </is>
      </c>
      <c r="B1741" t="inlineStr">
        <is>
          <t>長樂-11月修繕費(感應器、燈)</t>
        </is>
      </c>
      <c r="C1741" t="n">
        <v>56406</v>
      </c>
      <c r="D1741" t="inlineStr">
        <is>
          <t>工程維修/購置</t>
        </is>
      </c>
      <c r="E1741" t="inlineStr">
        <is>
          <t>非固定</t>
        </is>
      </c>
    </row>
    <row r="1742" ht="16.5" customHeight="1" s="84">
      <c r="A1742" t="inlineStr">
        <is>
          <t>2025-12</t>
        </is>
      </c>
      <c r="B1742" t="inlineStr">
        <is>
          <t>◆社區電話費(5630533)</t>
        </is>
      </c>
      <c r="C1742" t="n">
        <v>837</v>
      </c>
      <c r="D1742" t="inlineStr">
        <is>
          <t>電話/網路費</t>
        </is>
      </c>
      <c r="E1742" t="inlineStr">
        <is>
          <t>非固定</t>
        </is>
      </c>
    </row>
    <row r="1743" ht="16.5" customHeight="1" s="84">
      <c r="A1743" t="inlineStr">
        <is>
          <t>2025-12</t>
        </is>
      </c>
      <c r="B1743" t="inlineStr">
        <is>
          <t>◆社區網路費(Y123617)</t>
        </is>
      </c>
      <c r="C1743" t="n">
        <v>1899</v>
      </c>
      <c r="D1743" t="inlineStr">
        <is>
          <t>電話/網路費</t>
        </is>
      </c>
      <c r="E1743" t="inlineStr">
        <is>
          <t>非固定</t>
        </is>
      </c>
    </row>
    <row r="1744" ht="16.5" customHeight="1" s="84">
      <c r="A1744" t="inlineStr">
        <is>
          <t>2025-12</t>
        </is>
      </c>
      <c r="B1744" t="inlineStr">
        <is>
          <t>◆社區網路費(Y174790)</t>
        </is>
      </c>
      <c r="C1744" t="n">
        <v>1899</v>
      </c>
      <c r="D1744" t="inlineStr">
        <is>
          <t>電話/網路費</t>
        </is>
      </c>
      <c r="E1744" t="inlineStr">
        <is>
          <t>非固定</t>
        </is>
      </c>
    </row>
    <row r="1745" ht="16.5" customHeight="1" s="84">
      <c r="A1745" t="inlineStr">
        <is>
          <t>2025-12</t>
        </is>
      </c>
      <c r="B1745" t="inlineStr">
        <is>
          <t>◆公共電費</t>
        </is>
      </c>
      <c r="C1745" t="n">
        <v>98191</v>
      </c>
      <c r="D1745" t="inlineStr">
        <is>
          <t>公共水電瓦斯</t>
        </is>
      </c>
      <c r="E1745" t="inlineStr">
        <is>
          <t>非固定</t>
        </is>
      </c>
    </row>
    <row r="1746" ht="16.5" customHeight="1" s="84">
      <c r="A1746" t="inlineStr">
        <is>
          <t>2025-12</t>
        </is>
      </c>
      <c r="B1746" t="inlineStr">
        <is>
          <t>◆自來水費</t>
        </is>
      </c>
      <c r="C1746" t="n">
        <v>9839</v>
      </c>
      <c r="D1746" t="inlineStr">
        <is>
          <t>公共水電瓦斯</t>
        </is>
      </c>
      <c r="E1746" t="inlineStr">
        <is>
          <t>非固定</t>
        </is>
      </c>
    </row>
    <row r="1747" ht="16.5" customHeight="1" s="84">
      <c r="A1747" t="inlineStr">
        <is>
          <t>2026-01</t>
        </is>
      </c>
      <c r="B1747" t="inlineStr">
        <is>
          <t>12月住商公寓大廈管理服務費</t>
        </is>
      </c>
      <c r="C1747" t="n">
        <v>132300</v>
      </c>
      <c r="D1747" t="inlineStr">
        <is>
          <t>管理服務費</t>
        </is>
      </c>
      <c r="E1747" t="inlineStr">
        <is>
          <t>固定</t>
        </is>
      </c>
    </row>
    <row r="1748" ht="16.5" customHeight="1" s="84">
      <c r="A1748" t="inlineStr">
        <is>
          <t>2026-01</t>
        </is>
      </c>
      <c r="B1748" t="inlineStr">
        <is>
          <t>12月亞東保全服務費</t>
        </is>
      </c>
      <c r="C1748" t="n">
        <v>319200</v>
      </c>
      <c r="D1748" t="inlineStr">
        <is>
          <t>保全服務費</t>
        </is>
      </c>
      <c r="E1748" t="inlineStr">
        <is>
          <t>固定</t>
        </is>
      </c>
    </row>
    <row r="1749" ht="16.5" customHeight="1" s="84">
      <c r="A1749" t="inlineStr">
        <is>
          <t>2026-01</t>
        </is>
      </c>
      <c r="B1749" t="inlineStr">
        <is>
          <t>12月義明清潔服務費</t>
        </is>
      </c>
      <c r="C1749" t="n">
        <v>129150</v>
      </c>
      <c r="D1749" t="inlineStr">
        <is>
          <t>清潔服務費</t>
        </is>
      </c>
      <c r="E1749" t="inlineStr">
        <is>
          <t>固定</t>
        </is>
      </c>
    </row>
    <row r="1750" ht="15" customHeight="1" s="84">
      <c r="A1750" t="inlineStr">
        <is>
          <t>2026-01</t>
        </is>
      </c>
      <c r="B1750" t="inlineStr">
        <is>
          <t>12月順達清潔服務費</t>
        </is>
      </c>
      <c r="C1750" t="n">
        <v>129150</v>
      </c>
      <c r="D1750" t="inlineStr">
        <is>
          <t>清潔服務費</t>
        </is>
      </c>
      <c r="E1750" t="inlineStr">
        <is>
          <t>固定</t>
        </is>
      </c>
    </row>
    <row r="1751" ht="15" customHeight="1" s="84">
      <c r="A1751" t="inlineStr">
        <is>
          <t>2026-01</t>
        </is>
      </c>
      <c r="B1751" t="inlineStr">
        <is>
          <t>12月崇友電梯保養費</t>
        </is>
      </c>
      <c r="C1751" t="n">
        <v>100000</v>
      </c>
      <c r="D1751" t="inlineStr">
        <is>
          <t>電梯保養與修繕</t>
        </is>
      </c>
      <c r="E1751" t="inlineStr">
        <is>
          <t>固定</t>
        </is>
      </c>
    </row>
    <row r="1752" ht="16.5" customHeight="1" s="84">
      <c r="A1752" t="inlineStr">
        <is>
          <t>2026-01</t>
        </is>
      </c>
      <c r="B1752" t="inlineStr">
        <is>
          <t>12月電梯專用款撥補（每月固定撥補至元大電梯專用帳戶）</t>
        </is>
      </c>
      <c r="C1752" t="n">
        <v>100000</v>
      </c>
      <c r="D1752" t="inlineStr">
        <is>
          <t>內部轉帳</t>
        </is>
      </c>
      <c r="E1752" t="inlineStr">
        <is>
          <t>固定</t>
        </is>
      </c>
    </row>
    <row r="1753" ht="16.5" customHeight="1" s="84">
      <c r="A1753" t="inlineStr">
        <is>
          <t>2026-01</t>
        </is>
      </c>
      <c r="B1753" t="inlineStr">
        <is>
          <t>12月長樂機電保養費</t>
        </is>
      </c>
      <c r="C1753" t="n">
        <v>25200</v>
      </c>
      <c r="D1753" t="inlineStr">
        <is>
          <t>機電/消防/弱電/AED</t>
        </is>
      </c>
      <c r="E1753" t="inlineStr">
        <is>
          <t>固定</t>
        </is>
      </c>
    </row>
    <row r="1754" ht="16.5" customHeight="1" s="84">
      <c r="A1754" t="inlineStr">
        <is>
          <t>2026-01</t>
        </is>
      </c>
      <c r="B1754" t="inlineStr">
        <is>
          <t>12月太古意弱電保養費</t>
        </is>
      </c>
      <c r="C1754" t="n">
        <v>10000</v>
      </c>
      <c r="D1754" t="inlineStr">
        <is>
          <t>機電/消防/弱電/AED</t>
        </is>
      </c>
      <c r="E1754" t="inlineStr">
        <is>
          <t>固定</t>
        </is>
      </c>
    </row>
    <row r="1755" ht="16.5" customHeight="1" s="84">
      <c r="A1755" t="inlineStr">
        <is>
          <t>2026-01</t>
        </is>
      </c>
      <c r="B1755" t="inlineStr">
        <is>
          <t>12月御品網路保養費</t>
        </is>
      </c>
      <c r="C1755" t="n">
        <v>9450</v>
      </c>
      <c r="D1755" t="inlineStr">
        <is>
          <t>機電/消防/弱電/AED</t>
        </is>
      </c>
      <c r="E1755" t="inlineStr">
        <is>
          <t>固定</t>
        </is>
      </c>
    </row>
    <row r="1756" ht="16.5" customHeight="1" s="84">
      <c r="A1756" t="inlineStr">
        <is>
          <t>2026-01</t>
        </is>
      </c>
      <c r="B1756" t="inlineStr">
        <is>
          <t>12月新光電通AED設備月租費</t>
        </is>
      </c>
      <c r="C1756" t="n">
        <v>4500</v>
      </c>
      <c r="D1756" t="inlineStr">
        <is>
          <t>機電/消防/弱電/AED</t>
        </is>
      </c>
      <c r="E1756" t="inlineStr">
        <is>
          <t>固定</t>
        </is>
      </c>
    </row>
    <row r="1757" ht="16.5" customHeight="1" s="84">
      <c r="A1757" t="inlineStr">
        <is>
          <t>2026-01</t>
        </is>
      </c>
      <c r="B1757" t="inlineStr">
        <is>
          <t>12月新鑫堯垃圾廢棄物處理費</t>
        </is>
      </c>
      <c r="C1757" t="n">
        <v>37500</v>
      </c>
      <c r="D1757" t="inlineStr">
        <is>
          <t>垃圾廢棄物/園藝</t>
        </is>
      </c>
      <c r="E1757" t="inlineStr">
        <is>
          <t>固定</t>
        </is>
      </c>
    </row>
    <row r="1758" ht="16.5" customHeight="1" s="84">
      <c r="A1758" t="inlineStr">
        <is>
          <t>2026-01</t>
        </is>
      </c>
      <c r="B1758" t="inlineStr">
        <is>
          <t>12月富賀村園藝景觀修剪維護費(2個月/次)</t>
        </is>
      </c>
      <c r="C1758" t="n">
        <v>0</v>
      </c>
      <c r="D1758" t="inlineStr">
        <is>
          <t>垃圾廢棄物/園藝</t>
        </is>
      </c>
      <c r="E1758" t="inlineStr">
        <is>
          <t>固定</t>
        </is>
      </c>
    </row>
    <row r="1759" ht="16.5" customHeight="1" s="84">
      <c r="A1759" t="inlineStr">
        <is>
          <t>2026-01</t>
        </is>
      </c>
      <c r="B1759" t="inlineStr">
        <is>
          <t>12月零用金撥補</t>
        </is>
      </c>
      <c r="C1759" t="n">
        <v>15029</v>
      </c>
      <c r="D1759" t="inlineStr">
        <is>
          <t>內部轉帳</t>
        </is>
      </c>
      <c r="E1759" t="inlineStr">
        <is>
          <t>非固定</t>
        </is>
      </c>
    </row>
    <row r="1760" ht="16.5" customHeight="1" s="84">
      <c r="A1760" t="inlineStr">
        <is>
          <t>2026-01</t>
        </is>
      </c>
      <c r="B1760" t="inlineStr">
        <is>
          <t>01月管委會出席費用（預領）</t>
        </is>
      </c>
      <c r="C1760" t="n">
        <v>8000</v>
      </c>
      <c r="D1760" t="inlineStr">
        <is>
          <t>內部轉帳</t>
        </is>
      </c>
      <c r="E1760" t="inlineStr">
        <is>
          <t>非固定</t>
        </is>
      </c>
    </row>
    <row r="1761" ht="16.5" customHeight="1" s="84">
      <c r="A1761" t="inlineStr">
        <is>
          <t>2026-01</t>
        </is>
      </c>
      <c r="B1761" t="inlineStr">
        <is>
          <t>購買清潔用品-洗手乳、垃圾袋、擦手紙、捲筒衛生紙</t>
        </is>
      </c>
      <c r="C1761" t="n">
        <v>4788</v>
      </c>
      <c r="D1761" t="inlineStr">
        <is>
          <t>清潔服務費</t>
        </is>
      </c>
      <c r="E1761" t="inlineStr">
        <is>
          <t>非固定</t>
        </is>
      </c>
    </row>
    <row r="1762" ht="16.5" customHeight="1" s="84">
      <c r="A1762" t="inlineStr">
        <is>
          <t>2026-01</t>
        </is>
      </c>
      <c r="B1762" t="inlineStr">
        <is>
          <t>新鑫堯-廚餘處理費(10/31～11/28)</t>
        </is>
      </c>
      <c r="C1762" t="n">
        <v>9000</v>
      </c>
      <c r="D1762" t="inlineStr">
        <is>
          <t>垃圾廢棄物/園藝</t>
        </is>
      </c>
      <c r="E1762" t="inlineStr">
        <is>
          <t>非固定</t>
        </is>
      </c>
    </row>
    <row r="1763" ht="16.5" customHeight="1" s="84">
      <c r="A1763" t="inlineStr">
        <is>
          <t>2026-01</t>
        </is>
      </c>
      <c r="B1763" t="inlineStr">
        <is>
          <t>展碩-庭園燈施工</t>
        </is>
      </c>
      <c r="C1763" t="n">
        <v>12000</v>
      </c>
      <c r="D1763" t="inlineStr">
        <is>
          <t>工程維修/購置</t>
        </is>
      </c>
      <c r="E1763" t="inlineStr">
        <is>
          <t>非固定</t>
        </is>
      </c>
    </row>
    <row r="1764" ht="16.5" customHeight="1" s="84">
      <c r="A1764" t="inlineStr">
        <is>
          <t>2026-01</t>
        </is>
      </c>
      <c r="B1764" t="inlineStr">
        <is>
          <t>晴揚-氯錠(3〞90%塑桶大20K)*200公斤</t>
        </is>
      </c>
      <c r="C1764" t="n">
        <v>22000</v>
      </c>
      <c r="D1764" t="inlineStr">
        <is>
          <t>工程維修/購置</t>
        </is>
      </c>
      <c r="E1764" t="inlineStr">
        <is>
          <t>非固定</t>
        </is>
      </c>
    </row>
    <row r="1765" ht="16.5" customHeight="1" s="84">
      <c r="A1765" t="inlineStr">
        <is>
          <t>2026-01</t>
        </is>
      </c>
      <c r="B1765" t="inlineStr">
        <is>
          <t>太古意-1080P高階紅外線攝影機、拆裝調整工資</t>
        </is>
      </c>
      <c r="C1765" t="n">
        <v>3780</v>
      </c>
      <c r="D1765" t="inlineStr">
        <is>
          <t>機電/消防/弱電/AED</t>
        </is>
      </c>
      <c r="E1765" t="inlineStr">
        <is>
          <t>非固定</t>
        </is>
      </c>
    </row>
    <row r="1766" ht="16.5" customHeight="1" s="84">
      <c r="A1766" t="inlineStr">
        <is>
          <t>2026-01</t>
        </is>
      </c>
      <c r="B1766" t="inlineStr">
        <is>
          <t>太古意-甲棟B1(11號)緊急對講機、安裝測試工資</t>
        </is>
      </c>
      <c r="C1766" t="n">
        <v>1943</v>
      </c>
      <c r="D1766" t="inlineStr">
        <is>
          <t>機電/消防/弱電/AED</t>
        </is>
      </c>
      <c r="E1766" t="inlineStr">
        <is>
          <t>非固定</t>
        </is>
      </c>
    </row>
    <row r="1767" ht="16.5" customHeight="1" s="84">
      <c r="A1767" t="inlineStr">
        <is>
          <t>2026-01</t>
        </is>
      </c>
      <c r="B1767" t="inlineStr">
        <is>
          <t>陽台鋁板修繕工程退款</t>
        </is>
      </c>
      <c r="C1767" t="n">
        <v>140000</v>
      </c>
      <c r="D1767" t="inlineStr">
        <is>
          <t>工程維修/購置</t>
        </is>
      </c>
      <c r="E1767" t="inlineStr">
        <is>
          <t>非固定</t>
        </is>
      </c>
    </row>
    <row r="1768" ht="16.5" customHeight="1" s="84">
      <c r="A1768" t="inlineStr">
        <is>
          <t>2026-01</t>
        </is>
      </c>
      <c r="B1768" t="inlineStr">
        <is>
          <t>舞光E27/12 LED燈泡/3000K黃光、MR16/6W/3000K黃光-經理代付</t>
        </is>
      </c>
      <c r="C1768" t="n">
        <v>24300</v>
      </c>
      <c r="D1768" t="inlineStr">
        <is>
          <t>工程維修/購置</t>
        </is>
      </c>
      <c r="E1768" t="inlineStr">
        <is>
          <t>非固定</t>
        </is>
      </c>
    </row>
    <row r="1769" ht="16.5" customHeight="1" s="84">
      <c r="A1769" t="inlineStr">
        <is>
          <t>2026-01</t>
        </is>
      </c>
      <c r="B1769" t="inlineStr">
        <is>
          <t>長樂-12月修繕費(感應器、燈)</t>
        </is>
      </c>
      <c r="C1769" t="n">
        <v>9912</v>
      </c>
      <c r="D1769" t="inlineStr">
        <is>
          <t>工程維修/購置</t>
        </is>
      </c>
      <c r="E1769" t="inlineStr">
        <is>
          <t>非固定</t>
        </is>
      </c>
    </row>
    <row r="1770" ht="16.5" customHeight="1" s="84">
      <c r="A1770" t="inlineStr">
        <is>
          <t>2026-01</t>
        </is>
      </c>
      <c r="B1770" t="inlineStr">
        <is>
          <t>順輝-維修費(10/21～12/10)</t>
        </is>
      </c>
      <c r="C1770" t="n">
        <v>375932</v>
      </c>
      <c r="D1770" t="inlineStr">
        <is>
          <t>工程維修/購置</t>
        </is>
      </c>
      <c r="E1770" t="inlineStr">
        <is>
          <t>非固定</t>
        </is>
      </c>
    </row>
    <row r="1771" ht="16.5" customHeight="1" s="84">
      <c r="A1771" t="inlineStr">
        <is>
          <t>2026-01</t>
        </is>
      </c>
      <c r="B1771" t="inlineStr">
        <is>
          <t>享明-舞光OD-3202/3W棒球插地燈、神木照樹燈/E-3203/14W</t>
        </is>
      </c>
      <c r="C1771" t="n">
        <v>39525</v>
      </c>
      <c r="D1771" t="inlineStr">
        <is>
          <t>工程維修/購置</t>
        </is>
      </c>
      <c r="E1771" t="inlineStr">
        <is>
          <t>非固定</t>
        </is>
      </c>
    </row>
    <row r="1772" ht="16.5" customHeight="1" s="84">
      <c r="A1772" t="inlineStr">
        <is>
          <t>2026-01</t>
        </is>
      </c>
      <c r="B1772" t="inlineStr">
        <is>
          <t>◆C13林書宏充電樁保證金退款</t>
        </is>
      </c>
      <c r="C1772" t="n">
        <v>50000</v>
      </c>
      <c r="D1772" t="inlineStr">
        <is>
          <t>其他支出</t>
        </is>
      </c>
      <c r="E1772" t="inlineStr">
        <is>
          <t>非固定</t>
        </is>
      </c>
    </row>
    <row r="1773" ht="16.5" customHeight="1" s="84">
      <c r="A1773" t="inlineStr">
        <is>
          <t>2026-01</t>
        </is>
      </c>
      <c r="B1773" t="inlineStr">
        <is>
          <t>◆H12何思翰充電樁保證金退款</t>
        </is>
      </c>
      <c r="C1773" t="n">
        <v>50000</v>
      </c>
      <c r="D1773" t="inlineStr">
        <is>
          <t>其他支出</t>
        </is>
      </c>
      <c r="E1773" t="inlineStr">
        <is>
          <t>非固定</t>
        </is>
      </c>
    </row>
    <row r="1774" ht="16.5" customHeight="1" s="84">
      <c r="A1774" t="inlineStr">
        <is>
          <t>2026-01</t>
        </is>
      </c>
      <c r="B1774" t="inlineStr">
        <is>
          <t>◆F3許庭耀充電樁保證金退款</t>
        </is>
      </c>
      <c r="C1774" t="n">
        <v>50000</v>
      </c>
      <c r="D1774" t="inlineStr">
        <is>
          <t>其他支出</t>
        </is>
      </c>
      <c r="E1774" t="inlineStr">
        <is>
          <t>非固定</t>
        </is>
      </c>
    </row>
    <row r="1775" ht="16.5" customHeight="1" s="84">
      <c r="A1775" t="inlineStr">
        <is>
          <t>2026-01</t>
        </is>
      </c>
      <c r="B1775" t="inlineStr">
        <is>
          <t>喬山-採購跑步機尾款</t>
        </is>
      </c>
      <c r="C1775" t="n">
        <v>64640</v>
      </c>
      <c r="D1775" t="inlineStr">
        <is>
          <t>工程維修/購置</t>
        </is>
      </c>
      <c r="E1775" t="inlineStr">
        <is>
          <t>非固定</t>
        </is>
      </c>
    </row>
    <row r="1776" ht="16.5" customHeight="1" s="84">
      <c r="A1776" t="inlineStr">
        <is>
          <t>2026-01</t>
        </is>
      </c>
      <c r="B1776" t="inlineStr">
        <is>
          <t>景強-抽水肥*6車</t>
        </is>
      </c>
      <c r="C1776" t="n">
        <v>24000</v>
      </c>
      <c r="D1776" t="inlineStr">
        <is>
          <t>垃圾廢棄物/園藝</t>
        </is>
      </c>
      <c r="E1776" t="inlineStr">
        <is>
          <t>非固定</t>
        </is>
      </c>
    </row>
    <row r="1777" ht="16.5" customHeight="1" s="84">
      <c r="A1777" t="inlineStr">
        <is>
          <t>2026-01</t>
        </is>
      </c>
      <c r="B1777" t="inlineStr">
        <is>
          <t>汙水管工程一式$75,000+$13,000-機電委員江淑釵代墊</t>
        </is>
      </c>
      <c r="C1777" t="n">
        <v>88000</v>
      </c>
      <c r="D1777" t="inlineStr">
        <is>
          <t>機電/消防/弱電/AED</t>
        </is>
      </c>
      <c r="E1777" t="inlineStr">
        <is>
          <t>非固定</t>
        </is>
      </c>
      <c r="F1777" t="inlineStr">
        <is>
          <t>納管</t>
        </is>
      </c>
    </row>
    <row r="1778" ht="16.5" customHeight="1" s="84">
      <c r="A1778" t="inlineStr">
        <is>
          <t>2026-01</t>
        </is>
      </c>
      <c r="B1778" t="inlineStr">
        <is>
          <t>◆社區電話費(5630533)</t>
        </is>
      </c>
      <c r="C1778" t="n">
        <v>1205</v>
      </c>
      <c r="D1778" t="inlineStr">
        <is>
          <t>電話/網路費</t>
        </is>
      </c>
      <c r="E1778" t="inlineStr">
        <is>
          <t>非固定</t>
        </is>
      </c>
    </row>
    <row r="1779" ht="16.5" customHeight="1" s="84">
      <c r="A1779" t="inlineStr">
        <is>
          <t>2026-01</t>
        </is>
      </c>
      <c r="B1779" t="inlineStr">
        <is>
          <t>◆社區網路費(Y123617)</t>
        </is>
      </c>
      <c r="C1779" t="n">
        <v>1899</v>
      </c>
      <c r="D1779" t="inlineStr">
        <is>
          <t>電話/網路費</t>
        </is>
      </c>
      <c r="E1779" t="inlineStr">
        <is>
          <t>非固定</t>
        </is>
      </c>
    </row>
    <row r="1780" ht="16.5" customHeight="1" s="84">
      <c r="A1780" t="inlineStr">
        <is>
          <t>2026-01</t>
        </is>
      </c>
      <c r="B1780" t="inlineStr">
        <is>
          <t>◆社區網路費(Y174790)</t>
        </is>
      </c>
      <c r="C1780" t="n">
        <v>1899</v>
      </c>
      <c r="D1780" t="inlineStr">
        <is>
          <t>電話/網路費</t>
        </is>
      </c>
      <c r="E1780" t="inlineStr">
        <is>
          <t>非固定</t>
        </is>
      </c>
    </row>
    <row r="1781" ht="16.5" customHeight="1" s="84">
      <c r="A1781" t="inlineStr">
        <is>
          <t>2026-01</t>
        </is>
      </c>
      <c r="B1781" t="inlineStr">
        <is>
          <t>◆公共電費</t>
        </is>
      </c>
      <c r="C1781" t="n">
        <v>85774</v>
      </c>
      <c r="D1781" t="inlineStr">
        <is>
          <t>公共水電瓦斯</t>
        </is>
      </c>
      <c r="E1781" t="inlineStr">
        <is>
          <t>非固定</t>
        </is>
      </c>
    </row>
    <row r="1782" ht="16.5" customHeight="1" s="84">
      <c r="A1782" t="inlineStr">
        <is>
          <t>2026-01</t>
        </is>
      </c>
      <c r="B1782" t="inlineStr">
        <is>
          <t>◆自來水費</t>
        </is>
      </c>
      <c r="C1782" t="n">
        <v>0</v>
      </c>
      <c r="D1782" t="inlineStr">
        <is>
          <t>公共水電瓦斯</t>
        </is>
      </c>
      <c r="E1782" t="inlineStr">
        <is>
          <t>非固定</t>
        </is>
      </c>
    </row>
    <row r="1783" ht="16.5" customHeight="1" s="84">
      <c r="A1783" t="inlineStr">
        <is>
          <t>2026-02</t>
        </is>
      </c>
      <c r="B1783" t="inlineStr">
        <is>
          <t>01月威駿公寓大廈管理服務費</t>
        </is>
      </c>
      <c r="C1783" t="n">
        <v>149050</v>
      </c>
      <c r="D1783" t="inlineStr">
        <is>
          <t>管理服務費</t>
        </is>
      </c>
      <c r="E1783" t="inlineStr">
        <is>
          <t>固定</t>
        </is>
      </c>
    </row>
    <row r="1784" ht="16.5" customHeight="1" s="84">
      <c r="A1784" t="inlineStr">
        <is>
          <t>2026-02</t>
        </is>
      </c>
      <c r="B1784" t="inlineStr">
        <is>
          <t>01月威駿保全服務費</t>
        </is>
      </c>
      <c r="C1784" t="n">
        <v>355950</v>
      </c>
      <c r="D1784" t="inlineStr">
        <is>
          <t>保全服務費</t>
        </is>
      </c>
      <c r="E1784" t="inlineStr">
        <is>
          <t>固定</t>
        </is>
      </c>
    </row>
    <row r="1785" ht="16.5" customHeight="1" s="84">
      <c r="A1785" t="inlineStr">
        <is>
          <t>2026-02</t>
        </is>
      </c>
      <c r="B1785" t="inlineStr">
        <is>
          <t>01月義明清潔服務費</t>
        </is>
      </c>
      <c r="C1785" t="n">
        <v>129150</v>
      </c>
      <c r="D1785" t="inlineStr">
        <is>
          <t>清潔服務費</t>
        </is>
      </c>
      <c r="E1785" t="inlineStr">
        <is>
          <t>固定</t>
        </is>
      </c>
    </row>
    <row r="1786" ht="16.5" customHeight="1" s="84">
      <c r="A1786" t="inlineStr">
        <is>
          <t>2026-02</t>
        </is>
      </c>
      <c r="B1786" t="inlineStr">
        <is>
          <t>01月順達清潔服務費</t>
        </is>
      </c>
      <c r="C1786" t="n">
        <v>129150</v>
      </c>
      <c r="D1786" t="inlineStr">
        <is>
          <t>清潔服務費</t>
        </is>
      </c>
      <c r="E1786" t="inlineStr">
        <is>
          <t>固定</t>
        </is>
      </c>
    </row>
    <row r="1787" ht="15" customHeight="1" s="84">
      <c r="A1787" t="inlineStr">
        <is>
          <t>2026-02</t>
        </is>
      </c>
      <c r="B1787" t="inlineStr">
        <is>
          <t>01月崇友電梯保養費</t>
        </is>
      </c>
      <c r="C1787" t="n">
        <v>100000</v>
      </c>
      <c r="D1787" t="inlineStr">
        <is>
          <t>電梯保養與修繕</t>
        </is>
      </c>
      <c r="E1787" t="inlineStr">
        <is>
          <t>固定</t>
        </is>
      </c>
    </row>
    <row r="1788" ht="15" customHeight="1" s="84">
      <c r="A1788" t="inlineStr">
        <is>
          <t>2026-02</t>
        </is>
      </c>
      <c r="B1788" t="inlineStr">
        <is>
          <t>01月電梯專用款撥補（每月固定撥補至元大電梯專用帳戶）</t>
        </is>
      </c>
      <c r="C1788" t="n">
        <v>100000</v>
      </c>
      <c r="D1788" t="inlineStr">
        <is>
          <t>內部轉帳</t>
        </is>
      </c>
      <c r="E1788" t="inlineStr">
        <is>
          <t>固定</t>
        </is>
      </c>
    </row>
    <row r="1789" ht="16.5" customHeight="1" s="84">
      <c r="A1789" t="inlineStr">
        <is>
          <t>2026-02</t>
        </is>
      </c>
      <c r="B1789" t="inlineStr">
        <is>
          <t>01月機電保養費</t>
        </is>
      </c>
      <c r="C1789" t="n">
        <v>0</v>
      </c>
      <c r="D1789" t="inlineStr">
        <is>
          <t>機電/消防/弱電/AED</t>
        </is>
      </c>
      <c r="E1789" t="inlineStr">
        <is>
          <t>固定</t>
        </is>
      </c>
    </row>
    <row r="1790" ht="16.5" customHeight="1" s="84">
      <c r="A1790" t="inlineStr">
        <is>
          <t>2026-02</t>
        </is>
      </c>
      <c r="B1790" t="inlineStr">
        <is>
          <t>01月太古意弱電保養費</t>
        </is>
      </c>
      <c r="C1790" t="n">
        <v>10000</v>
      </c>
      <c r="D1790" t="inlineStr">
        <is>
          <t>機電/消防/弱電/AED</t>
        </is>
      </c>
      <c r="E1790" t="inlineStr">
        <is>
          <t>固定</t>
        </is>
      </c>
    </row>
    <row r="1791" ht="16.5" customHeight="1" s="84">
      <c r="A1791" t="inlineStr">
        <is>
          <t>2026-02</t>
        </is>
      </c>
      <c r="B1791" t="inlineStr">
        <is>
          <t>01月御品網路保養費</t>
        </is>
      </c>
      <c r="C1791" t="n">
        <v>9450</v>
      </c>
      <c r="D1791" t="inlineStr">
        <is>
          <t>機電/消防/弱電/AED</t>
        </is>
      </c>
      <c r="E1791" t="inlineStr">
        <is>
          <t>固定</t>
        </is>
      </c>
    </row>
    <row r="1792" ht="16.5" customHeight="1" s="84">
      <c r="A1792" t="inlineStr">
        <is>
          <t>2026-02</t>
        </is>
      </c>
      <c r="B1792" t="inlineStr">
        <is>
          <t>01月新光電通AED設備月租費</t>
        </is>
      </c>
      <c r="C1792" t="n">
        <v>1500</v>
      </c>
      <c r="D1792" t="inlineStr">
        <is>
          <t>機電/消防/弱電/AED</t>
        </is>
      </c>
      <c r="E1792" t="inlineStr">
        <is>
          <t>固定</t>
        </is>
      </c>
    </row>
    <row r="1793" ht="16.5" customHeight="1" s="84">
      <c r="A1793" t="inlineStr">
        <is>
          <t>2026-02</t>
        </is>
      </c>
      <c r="B1793" t="inlineStr">
        <is>
          <t>01月新鑫堯垃圾廢棄物處理費</t>
        </is>
      </c>
      <c r="C1793" t="n">
        <v>37500</v>
      </c>
      <c r="D1793" t="inlineStr">
        <is>
          <t>垃圾廢棄物/園藝</t>
        </is>
      </c>
      <c r="E1793" t="inlineStr">
        <is>
          <t>固定</t>
        </is>
      </c>
    </row>
    <row r="1794" ht="16.5" customHeight="1" s="84">
      <c r="A1794" t="inlineStr">
        <is>
          <t>2026-02</t>
        </is>
      </c>
      <c r="B1794" t="inlineStr">
        <is>
          <t>01月富賀村園藝景觀修剪維護費(2個月/次)</t>
        </is>
      </c>
      <c r="C1794" t="n">
        <v>33000</v>
      </c>
      <c r="D1794" t="inlineStr">
        <is>
          <t>垃圾廢棄物/園藝</t>
        </is>
      </c>
      <c r="E1794" t="inlineStr">
        <is>
          <t>固定</t>
        </is>
      </c>
    </row>
    <row r="1795" ht="16.5" customHeight="1" s="84">
      <c r="A1795" t="inlineStr">
        <is>
          <t>2026-02</t>
        </is>
      </c>
      <c r="B1795" t="inlineStr">
        <is>
          <t>01月零用金撥補</t>
        </is>
      </c>
      <c r="C1795" t="n">
        <v>16578</v>
      </c>
      <c r="D1795" t="inlineStr">
        <is>
          <t>內部轉帳</t>
        </is>
      </c>
      <c r="E1795" t="inlineStr">
        <is>
          <t>非固定</t>
        </is>
      </c>
    </row>
    <row r="1796" ht="16.5" customHeight="1" s="84">
      <c r="A1796" t="inlineStr">
        <is>
          <t>2026-02</t>
        </is>
      </c>
      <c r="B1796" t="inlineStr">
        <is>
          <t>02月管委會出席費用（預領）</t>
        </is>
      </c>
      <c r="C1796" t="n">
        <v>8000</v>
      </c>
      <c r="D1796" t="inlineStr">
        <is>
          <t>內部轉帳</t>
        </is>
      </c>
      <c r="E1796" t="inlineStr">
        <is>
          <t>非固定</t>
        </is>
      </c>
    </row>
    <row r="1797" ht="16.5" customHeight="1" s="84">
      <c r="A1797" t="inlineStr">
        <is>
          <t>2026-02</t>
        </is>
      </c>
      <c r="B1797" t="inlineStr">
        <is>
          <t>新鑫堯-廚餘處理費</t>
        </is>
      </c>
      <c r="C1797" t="n">
        <v>10800</v>
      </c>
      <c r="D1797" t="inlineStr">
        <is>
          <t>垃圾廢棄物/園藝</t>
        </is>
      </c>
      <c r="E1797" t="inlineStr">
        <is>
          <t>非固定</t>
        </is>
      </c>
    </row>
    <row r="1798" ht="16.5" customHeight="1" s="84">
      <c r="A1798" t="inlineStr">
        <is>
          <t>2026-02</t>
        </is>
      </c>
      <c r="B1798" t="inlineStr">
        <is>
          <t>順輝-維修費</t>
        </is>
      </c>
      <c r="C1798" t="n">
        <v>228481</v>
      </c>
      <c r="D1798" t="inlineStr">
        <is>
          <t>工程維修/購置</t>
        </is>
      </c>
      <c r="E1798" t="inlineStr">
        <is>
          <t>非固定</t>
        </is>
      </c>
    </row>
    <row r="1799" ht="16.5" customHeight="1" s="84">
      <c r="A1799" t="inlineStr">
        <is>
          <t>2026-02</t>
        </is>
      </c>
      <c r="B1799" t="inlineStr">
        <is>
          <t>崇友-電梯修繕費(HCD顯示器 乙棟#4)</t>
        </is>
      </c>
      <c r="C1799" t="n">
        <v>3024</v>
      </c>
      <c r="D1799" t="inlineStr">
        <is>
          <t>電梯保養與修繕</t>
        </is>
      </c>
      <c r="E1799" t="inlineStr">
        <is>
          <t>非固定</t>
        </is>
      </c>
      <c r="F1799" t="inlineStr">
        <is>
          <t>電梯</t>
        </is>
      </c>
    </row>
    <row r="1800" ht="16.5" customHeight="1" s="84">
      <c r="A1800" t="inlineStr">
        <is>
          <t>2026-02</t>
        </is>
      </c>
      <c r="B1800" t="inlineStr">
        <is>
          <t>崇友-電梯修繕費(微壓按鈕 丁棟#8)</t>
        </is>
      </c>
      <c r="C1800" t="n">
        <v>3780</v>
      </c>
      <c r="D1800" t="inlineStr">
        <is>
          <t>電梯保養與修繕</t>
        </is>
      </c>
      <c r="E1800" t="inlineStr">
        <is>
          <t>非固定</t>
        </is>
      </c>
      <c r="F1800" t="inlineStr">
        <is>
          <t>電梯</t>
        </is>
      </c>
    </row>
    <row r="1801" ht="16.5" customHeight="1" s="84">
      <c r="A1801" t="inlineStr">
        <is>
          <t>2026-02</t>
        </is>
      </c>
      <c r="B1801" t="inlineStr">
        <is>
          <t>◆R4陳建榕退充電樁保證金</t>
        </is>
      </c>
      <c r="C1801" t="n">
        <v>50000</v>
      </c>
      <c r="D1801" t="inlineStr">
        <is>
          <t>內部轉帳</t>
        </is>
      </c>
      <c r="E1801" t="inlineStr">
        <is>
          <t>非固定</t>
        </is>
      </c>
    </row>
    <row r="1802" ht="16.5" customHeight="1" s="84">
      <c r="A1802" t="inlineStr">
        <is>
          <t>2026-02</t>
        </is>
      </c>
      <c r="B1802" t="inlineStr">
        <is>
          <t>B13沐晨系統退裝潢保證金</t>
        </is>
      </c>
      <c r="C1802" t="n">
        <v>20000</v>
      </c>
      <c r="D1802" t="inlineStr">
        <is>
          <t>內部轉帳</t>
        </is>
      </c>
      <c r="E1802" t="inlineStr">
        <is>
          <t>非固定</t>
        </is>
      </c>
    </row>
    <row r="1803" ht="16.5" customHeight="1" s="84">
      <c r="A1803" t="inlineStr">
        <is>
          <t>2026-02</t>
        </is>
      </c>
      <c r="B1803" t="inlineStr">
        <is>
          <t>J15謝龍吉退裝潢保證金</t>
        </is>
      </c>
      <c r="C1803" t="n">
        <v>20000</v>
      </c>
      <c r="D1803" t="inlineStr">
        <is>
          <t>內部轉帳</t>
        </is>
      </c>
      <c r="E1803" t="inlineStr">
        <is>
          <t>非固定</t>
        </is>
      </c>
    </row>
    <row r="1804" ht="16.5" customHeight="1" s="84">
      <c r="A1804" t="inlineStr">
        <is>
          <t>2026-02</t>
        </is>
      </c>
      <c r="B1804" t="inlineStr">
        <is>
          <t>G5黃昱婷退裝潢保證金</t>
        </is>
      </c>
      <c r="C1804" t="n">
        <v>20000</v>
      </c>
      <c r="D1804" t="inlineStr">
        <is>
          <t>內部轉帳</t>
        </is>
      </c>
      <c r="E1804" t="inlineStr">
        <is>
          <t>非固定</t>
        </is>
      </c>
    </row>
    <row r="1805" ht="16.5" customHeight="1" s="84">
      <c r="A1805" t="inlineStr">
        <is>
          <t>2026-02</t>
        </is>
      </c>
      <c r="B1805" t="inlineStr">
        <is>
          <t>坦茂-購買外牆磁磚</t>
        </is>
      </c>
      <c r="C1805" t="n">
        <v>282740</v>
      </c>
      <c r="D1805" t="inlineStr">
        <is>
          <t>工程維修/購置</t>
        </is>
      </c>
      <c r="E1805" t="inlineStr">
        <is>
          <t>非固定</t>
        </is>
      </c>
      <c r="F1805" t="inlineStr">
        <is>
          <t>外牆修繕</t>
        </is>
      </c>
    </row>
    <row r="1806" ht="16.5" customHeight="1" s="84">
      <c r="A1806" t="inlineStr">
        <is>
          <t>2026-02</t>
        </is>
      </c>
      <c r="B1806" t="inlineStr">
        <is>
          <t>廢棄物處理超收費</t>
        </is>
      </c>
      <c r="C1806" t="n">
        <v>4550</v>
      </c>
      <c r="D1806" t="inlineStr">
        <is>
          <t>垃圾廢棄物/園藝</t>
        </is>
      </c>
      <c r="E1806" t="inlineStr">
        <is>
          <t>非固定</t>
        </is>
      </c>
    </row>
    <row r="1807" ht="16.5" customHeight="1" s="84">
      <c r="A1807" t="inlineStr">
        <is>
          <t>2026-02</t>
        </is>
      </c>
      <c r="B1807" t="inlineStr">
        <is>
          <t>好鵬興-修繕車道鐵捲門</t>
        </is>
      </c>
      <c r="C1807" t="n">
        <v>18375</v>
      </c>
      <c r="D1807" t="inlineStr">
        <is>
          <t>工程維修/購置</t>
        </is>
      </c>
      <c r="E1807" t="inlineStr">
        <is>
          <t>非固定</t>
        </is>
      </c>
    </row>
    <row r="1808" ht="16.5" customHeight="1" s="84">
      <c r="A1808" t="inlineStr">
        <is>
          <t>2026-02</t>
        </is>
      </c>
      <c r="B1808" t="inlineStr">
        <is>
          <t>春節獎金</t>
        </is>
      </c>
      <c r="C1808" t="n">
        <v>25800</v>
      </c>
      <c r="D1808" t="inlineStr">
        <is>
          <t>行政/會議/律師</t>
        </is>
      </c>
      <c r="E1808" t="inlineStr">
        <is>
          <t>非固定</t>
        </is>
      </c>
    </row>
    <row r="1809" ht="16.5" customHeight="1" s="84">
      <c r="A1809" t="inlineStr">
        <is>
          <t>2026-02</t>
        </is>
      </c>
      <c r="B1809" t="inlineStr">
        <is>
          <t>元宵節猜燈謎活動費</t>
        </is>
      </c>
      <c r="C1809" t="n">
        <v>20000</v>
      </c>
      <c r="D1809" t="inlineStr">
        <is>
          <t>行政/會議/律師</t>
        </is>
      </c>
      <c r="E1809" t="inlineStr">
        <is>
          <t>非固定</t>
        </is>
      </c>
    </row>
    <row r="1810" ht="16.5" customHeight="1" s="84">
      <c r="A1810" t="inlineStr">
        <is>
          <t>2026-02</t>
        </is>
      </c>
      <c r="B1810" t="inlineStr">
        <is>
          <t>榮盛-人行道汙水槽陰井口水泥工程</t>
        </is>
      </c>
      <c r="C1810" t="n">
        <v>12000</v>
      </c>
      <c r="D1810" t="inlineStr">
        <is>
          <t>工程維修/購置</t>
        </is>
      </c>
      <c r="E1810" t="inlineStr">
        <is>
          <t>非固定</t>
        </is>
      </c>
      <c r="F1810" t="inlineStr">
        <is>
          <t>納管</t>
        </is>
      </c>
    </row>
    <row r="1811" ht="16.5" customHeight="1" s="84">
      <c r="A1811" t="inlineStr">
        <is>
          <t>2026-02</t>
        </is>
      </c>
      <c r="B1811" t="inlineStr">
        <is>
          <t>榮盛-B3汙水槽換新</t>
        </is>
      </c>
      <c r="C1811" t="n">
        <v>48000</v>
      </c>
      <c r="D1811" t="inlineStr">
        <is>
          <t>工程維修/購置</t>
        </is>
      </c>
      <c r="E1811" t="inlineStr">
        <is>
          <t>非固定</t>
        </is>
      </c>
    </row>
    <row r="1812" ht="16.5" customHeight="1" s="84">
      <c r="A1812" t="inlineStr">
        <is>
          <t>2026-02</t>
        </is>
      </c>
      <c r="B1812" t="inlineStr">
        <is>
          <t>HOYA 喬木修剪</t>
        </is>
      </c>
      <c r="C1812" t="n">
        <v>178500</v>
      </c>
      <c r="D1812" t="inlineStr">
        <is>
          <t>垃圾廢棄物/園藝</t>
        </is>
      </c>
      <c r="E1812" t="inlineStr">
        <is>
          <t>非固定</t>
        </is>
      </c>
    </row>
    <row r="1813" ht="16.5" customHeight="1" s="84">
      <c r="A1813" t="inlineStr">
        <is>
          <t>2026-02</t>
        </is>
      </c>
      <c r="B1813" t="inlineStr">
        <is>
          <t>一九衛生-抽水肥</t>
        </is>
      </c>
      <c r="C1813" t="n">
        <v>21132</v>
      </c>
      <c r="D1813" t="inlineStr">
        <is>
          <t>垃圾廢棄物/園藝</t>
        </is>
      </c>
      <c r="E1813" t="inlineStr">
        <is>
          <t>非固定</t>
        </is>
      </c>
    </row>
    <row r="1814" ht="16.5" customHeight="1" s="84">
      <c r="A1814" t="inlineStr">
        <is>
          <t>2026-02</t>
        </is>
      </c>
      <c r="B1814" t="inlineStr">
        <is>
          <t>購買柴油(鼓風機用)</t>
        </is>
      </c>
      <c r="C1814" t="n">
        <v>22000</v>
      </c>
      <c r="D1814" t="inlineStr">
        <is>
          <t>垃圾廢棄物/園藝</t>
        </is>
      </c>
      <c r="E1814" t="inlineStr">
        <is>
          <t>非固定</t>
        </is>
      </c>
    </row>
    <row r="1815" ht="16.5" customHeight="1" s="84">
      <c r="A1815" t="inlineStr">
        <is>
          <t>2026-02</t>
        </is>
      </c>
      <c r="B1815" t="inlineStr">
        <is>
          <t>◆社區電話費(5630533)</t>
        </is>
      </c>
      <c r="C1815" t="n">
        <v>0</v>
      </c>
      <c r="D1815" t="inlineStr">
        <is>
          <t>電話/網路費</t>
        </is>
      </c>
      <c r="E1815" t="inlineStr">
        <is>
          <t>非固定</t>
        </is>
      </c>
    </row>
    <row r="1816" ht="16.5" customHeight="1" s="84">
      <c r="A1816" t="inlineStr">
        <is>
          <t>2026-02</t>
        </is>
      </c>
      <c r="B1816" t="inlineStr">
        <is>
          <t>◆社區網路費(Y123617)</t>
        </is>
      </c>
      <c r="C1816" t="n">
        <v>0</v>
      </c>
      <c r="D1816" t="inlineStr">
        <is>
          <t>電話/網路費</t>
        </is>
      </c>
      <c r="E1816" t="inlineStr">
        <is>
          <t>非固定</t>
        </is>
      </c>
    </row>
    <row r="1817" ht="16.5" customHeight="1" s="84">
      <c r="A1817" t="inlineStr">
        <is>
          <t>2026-02</t>
        </is>
      </c>
      <c r="B1817" t="inlineStr">
        <is>
          <t>◆社區網路費(Y174790)</t>
        </is>
      </c>
      <c r="C1817" t="n">
        <v>0</v>
      </c>
      <c r="D1817" t="inlineStr">
        <is>
          <t>電話/網路費</t>
        </is>
      </c>
      <c r="E1817" t="inlineStr">
        <is>
          <t>非固定</t>
        </is>
      </c>
    </row>
    <row r="1818" ht="16.5" customHeight="1" s="84">
      <c r="A1818" t="inlineStr">
        <is>
          <t>2026-02</t>
        </is>
      </c>
      <c r="B1818" t="inlineStr">
        <is>
          <t>◆公共電費</t>
        </is>
      </c>
      <c r="C1818" t="n">
        <v>89458</v>
      </c>
      <c r="D1818" t="inlineStr">
        <is>
          <t>公共水電瓦斯</t>
        </is>
      </c>
      <c r="E1818" t="inlineStr">
        <is>
          <t>非固定</t>
        </is>
      </c>
    </row>
    <row r="1819" ht="16.5" customHeight="1" s="84">
      <c r="A1819" t="inlineStr">
        <is>
          <t>2026-02</t>
        </is>
      </c>
      <c r="B1819" t="inlineStr">
        <is>
          <t>◆自來水費</t>
        </is>
      </c>
      <c r="C1819" t="n">
        <v>1844</v>
      </c>
      <c r="D1819" t="inlineStr">
        <is>
          <t>公共水電瓦斯</t>
        </is>
      </c>
      <c r="E1819" t="inlineStr">
        <is>
          <t>非固定</t>
        </is>
      </c>
    </row>
    <row r="1820" ht="16.5" customHeight="1" s="84">
      <c r="A1820" t="inlineStr">
        <is>
          <t>2026-03</t>
        </is>
      </c>
      <c r="B1820" t="inlineStr">
        <is>
          <t>02月威駿公寓大廈管理服務費</t>
        </is>
      </c>
      <c r="C1820" t="n">
        <v>149050</v>
      </c>
      <c r="D1820" t="inlineStr">
        <is>
          <t>管理服務費</t>
        </is>
      </c>
      <c r="E1820" t="inlineStr">
        <is>
          <t>固定</t>
        </is>
      </c>
    </row>
    <row r="1821" ht="16.5" customHeight="1" s="84">
      <c r="A1821" t="inlineStr">
        <is>
          <t>2026-03</t>
        </is>
      </c>
      <c r="B1821" t="inlineStr">
        <is>
          <t>02月威駿保全服務費</t>
        </is>
      </c>
      <c r="C1821" t="n">
        <v>355950</v>
      </c>
      <c r="D1821" t="inlineStr">
        <is>
          <t>保全服務費</t>
        </is>
      </c>
      <c r="E1821" t="inlineStr">
        <is>
          <t>固定</t>
        </is>
      </c>
    </row>
    <row r="1822" ht="16.5" customHeight="1" s="84">
      <c r="A1822" t="inlineStr">
        <is>
          <t>2026-03</t>
        </is>
      </c>
      <c r="B1822" t="inlineStr">
        <is>
          <t>02月義明清潔服務費</t>
        </is>
      </c>
      <c r="C1822" t="n">
        <v>129150</v>
      </c>
      <c r="D1822" t="inlineStr">
        <is>
          <t>清潔服務費</t>
        </is>
      </c>
      <c r="E1822" t="inlineStr">
        <is>
          <t>固定</t>
        </is>
      </c>
    </row>
    <row r="1823" ht="16.5" customHeight="1" s="84">
      <c r="A1823" t="inlineStr">
        <is>
          <t>2026-03</t>
        </is>
      </c>
      <c r="B1823" t="inlineStr">
        <is>
          <t>02月順達清潔服務費</t>
        </is>
      </c>
      <c r="C1823" t="n">
        <v>129150</v>
      </c>
      <c r="D1823" t="inlineStr">
        <is>
          <t>清潔服務費</t>
        </is>
      </c>
      <c r="E1823" t="inlineStr">
        <is>
          <t>固定</t>
        </is>
      </c>
    </row>
    <row r="1824" ht="15" customHeight="1" s="84">
      <c r="A1824" t="inlineStr">
        <is>
          <t>2026-03</t>
        </is>
      </c>
      <c r="B1824" t="inlineStr">
        <is>
          <t>02月崇友電梯保養費</t>
        </is>
      </c>
      <c r="C1824" t="n">
        <v>100000</v>
      </c>
      <c r="D1824" t="inlineStr">
        <is>
          <t>電梯保養與修繕</t>
        </is>
      </c>
      <c r="E1824" t="inlineStr">
        <is>
          <t>固定</t>
        </is>
      </c>
    </row>
    <row r="1825" ht="15" customHeight="1" s="84">
      <c r="A1825" t="inlineStr">
        <is>
          <t>2026-03</t>
        </is>
      </c>
      <c r="B1825" t="inlineStr">
        <is>
          <t>02月電梯專用款撥補（每月固定撥補至元大電梯專用帳戶）</t>
        </is>
      </c>
      <c r="C1825" t="n">
        <v>100000</v>
      </c>
      <c r="D1825" t="inlineStr">
        <is>
          <t>內部轉帳</t>
        </is>
      </c>
      <c r="E1825" t="inlineStr">
        <is>
          <t>固定</t>
        </is>
      </c>
    </row>
    <row r="1826" ht="16.5" customHeight="1" s="84">
      <c r="A1826" t="inlineStr">
        <is>
          <t>2026-03</t>
        </is>
      </c>
      <c r="B1826" t="inlineStr">
        <is>
          <t>02月機電保養費</t>
        </is>
      </c>
      <c r="C1826" t="n">
        <v>23000</v>
      </c>
      <c r="D1826" t="inlineStr">
        <is>
          <t>機電/消防/弱電/AED</t>
        </is>
      </c>
      <c r="E1826" t="inlineStr">
        <is>
          <t>固定</t>
        </is>
      </c>
    </row>
    <row r="1827" ht="16.5" customHeight="1" s="84">
      <c r="A1827" t="inlineStr">
        <is>
          <t>2026-03</t>
        </is>
      </c>
      <c r="B1827" t="inlineStr">
        <is>
          <t>02月太古意弱電保養費</t>
        </is>
      </c>
      <c r="C1827" t="n">
        <v>10000</v>
      </c>
      <c r="D1827" t="inlineStr">
        <is>
          <t>機電/消防/弱電/AED</t>
        </is>
      </c>
      <c r="E1827" t="inlineStr">
        <is>
          <t>固定</t>
        </is>
      </c>
    </row>
    <row r="1828" ht="16.5" customHeight="1" s="84">
      <c r="A1828" t="inlineStr">
        <is>
          <t>2026-03</t>
        </is>
      </c>
      <c r="B1828" t="inlineStr">
        <is>
          <t>02月御品網路保養費</t>
        </is>
      </c>
      <c r="C1828" t="n">
        <v>9450</v>
      </c>
      <c r="D1828" t="inlineStr">
        <is>
          <t>機電/消防/弱電/AED</t>
        </is>
      </c>
      <c r="E1828" t="inlineStr">
        <is>
          <t>固定</t>
        </is>
      </c>
    </row>
    <row r="1829" ht="16.5" customHeight="1" s="84">
      <c r="A1829" t="inlineStr">
        <is>
          <t>2026-03</t>
        </is>
      </c>
      <c r="B1829" t="inlineStr">
        <is>
          <t>02月新光電通AED設備月租費</t>
        </is>
      </c>
      <c r="C1829" t="n">
        <v>3000</v>
      </c>
      <c r="D1829" t="inlineStr">
        <is>
          <t>機電/消防/弱電/AED</t>
        </is>
      </c>
      <c r="E1829" t="inlineStr">
        <is>
          <t>固定</t>
        </is>
      </c>
    </row>
    <row r="1830" ht="16.5" customHeight="1" s="84">
      <c r="A1830" t="inlineStr">
        <is>
          <t>2026-03</t>
        </is>
      </c>
      <c r="B1830" t="inlineStr">
        <is>
          <t>02月新鑫堯垃圾廢棄物處理費</t>
        </is>
      </c>
      <c r="C1830" t="n">
        <v>37500</v>
      </c>
      <c r="D1830" t="inlineStr">
        <is>
          <t>垃圾廢棄物/園藝</t>
        </is>
      </c>
      <c r="E1830" t="inlineStr">
        <is>
          <t>固定</t>
        </is>
      </c>
    </row>
    <row r="1831" ht="16.5" customHeight="1" s="84">
      <c r="A1831" t="inlineStr">
        <is>
          <t>2026-03</t>
        </is>
      </c>
      <c r="B1831" t="inlineStr">
        <is>
          <t>02月富賀村園藝景觀修剪維護費(2個月/次)</t>
        </is>
      </c>
      <c r="C1831" t="n">
        <v>0</v>
      </c>
      <c r="D1831" t="inlineStr">
        <is>
          <t>垃圾廢棄物/園藝</t>
        </is>
      </c>
      <c r="E1831" t="inlineStr">
        <is>
          <t>固定</t>
        </is>
      </c>
    </row>
    <row r="1832" ht="16.5" customHeight="1" s="84">
      <c r="A1832" t="inlineStr">
        <is>
          <t>2026-03</t>
        </is>
      </c>
      <c r="B1832" t="inlineStr">
        <is>
          <t>02月零用金撥補</t>
        </is>
      </c>
      <c r="C1832" t="n">
        <v>13037</v>
      </c>
      <c r="D1832" t="inlineStr">
        <is>
          <t>內部轉帳</t>
        </is>
      </c>
      <c r="E1832" t="inlineStr">
        <is>
          <t>非固定</t>
        </is>
      </c>
    </row>
    <row r="1833" ht="16.5" customHeight="1" s="84">
      <c r="A1833" t="inlineStr">
        <is>
          <t>2026-03</t>
        </is>
      </c>
      <c r="B1833" t="inlineStr">
        <is>
          <t>03月管委會出席費用（預領）</t>
        </is>
      </c>
      <c r="C1833" t="n">
        <v>8000</v>
      </c>
      <c r="D1833" t="inlineStr">
        <is>
          <t>內部轉帳</t>
        </is>
      </c>
      <c r="E1833" t="inlineStr">
        <is>
          <t>非固定</t>
        </is>
      </c>
    </row>
    <row r="1834" ht="16.5" customHeight="1" s="84">
      <c r="A1834" t="inlineStr">
        <is>
          <t>2026-03</t>
        </is>
      </c>
      <c r="B1834" t="inlineStr">
        <is>
          <t>02月廚餘處理費(01/01～01/31)</t>
        </is>
      </c>
      <c r="C1834" t="n">
        <v>9300</v>
      </c>
      <c r="D1834" t="inlineStr">
        <is>
          <t>垃圾廢棄物/園藝</t>
        </is>
      </c>
      <c r="E1834" t="inlineStr">
        <is>
          <t>非固定</t>
        </is>
      </c>
    </row>
    <row r="1835" ht="16.5" customHeight="1" s="84">
      <c r="A1835" t="inlineStr">
        <is>
          <t>2026-03</t>
        </is>
      </c>
      <c r="B1835" t="inlineStr">
        <is>
          <t>凱稐-02月工程與燈類維修費</t>
        </is>
      </c>
      <c r="C1835" t="n">
        <v>104265</v>
      </c>
      <c r="D1835" t="inlineStr">
        <is>
          <t>工程維修/購置</t>
        </is>
      </c>
      <c r="E1835" t="inlineStr">
        <is>
          <t>非固定</t>
        </is>
      </c>
    </row>
    <row r="1836" ht="16.5" customHeight="1" s="84">
      <c r="A1836" t="inlineStr">
        <is>
          <t>2026-03</t>
        </is>
      </c>
      <c r="B1836" t="inlineStr">
        <is>
          <t>崇友-HCD顯示器(備品)+微壓按鈕(戊棟#10 1,8,B3F)修繕</t>
        </is>
      </c>
      <c r="C1836" t="n">
        <v>5895</v>
      </c>
      <c r="D1836" t="inlineStr">
        <is>
          <t>電梯保養與修繕</t>
        </is>
      </c>
      <c r="E1836" t="inlineStr">
        <is>
          <t>非固定</t>
        </is>
      </c>
      <c r="F1836" t="inlineStr">
        <is>
          <t>電梯</t>
        </is>
      </c>
    </row>
    <row r="1837" ht="16.5" customHeight="1" s="84">
      <c r="A1837" t="inlineStr">
        <is>
          <t>2026-03</t>
        </is>
      </c>
      <c r="B1837" t="inlineStr">
        <is>
          <t>崇友-PU168基板(甲棟#2)</t>
        </is>
      </c>
      <c r="C1837" t="n">
        <v>29522</v>
      </c>
      <c r="D1837" t="inlineStr">
        <is>
          <t>電梯保養與修繕</t>
        </is>
      </c>
      <c r="E1837" t="inlineStr">
        <is>
          <t>非固定</t>
        </is>
      </c>
      <c r="F1837" t="inlineStr">
        <is>
          <t>電梯</t>
        </is>
      </c>
    </row>
    <row r="1838" ht="16.5" customHeight="1" s="84">
      <c r="A1838" t="inlineStr">
        <is>
          <t>2026-03</t>
        </is>
      </c>
      <c r="B1838" t="inlineStr">
        <is>
          <t>崇友-HCD顯示器(丙棟#5)</t>
        </is>
      </c>
      <c r="C1838" t="n">
        <v>3024</v>
      </c>
      <c r="D1838" t="inlineStr">
        <is>
          <t>電梯保養與修繕</t>
        </is>
      </c>
      <c r="E1838" t="inlineStr">
        <is>
          <t>非固定</t>
        </is>
      </c>
      <c r="F1838" t="inlineStr">
        <is>
          <t>電梯</t>
        </is>
      </c>
    </row>
    <row r="1839" ht="16.5" customHeight="1" s="84">
      <c r="A1839" t="inlineStr">
        <is>
          <t>2026-03</t>
        </is>
      </c>
      <c r="B1839" t="inlineStr">
        <is>
          <t>崇友-HCD顯示器(丙棟#6)</t>
        </is>
      </c>
      <c r="C1839" t="n">
        <v>6048</v>
      </c>
      <c r="D1839" t="inlineStr">
        <is>
          <t>電梯保養與修繕</t>
        </is>
      </c>
      <c r="E1839" t="inlineStr">
        <is>
          <t>非固定</t>
        </is>
      </c>
      <c r="F1839" t="inlineStr">
        <is>
          <t>電梯</t>
        </is>
      </c>
    </row>
    <row r="1840" ht="16.5" customHeight="1" s="84">
      <c r="A1840" t="inlineStr">
        <is>
          <t>2026-03</t>
        </is>
      </c>
      <c r="B1840" t="inlineStr">
        <is>
          <t>新鑫堯-01月垃圾廢棄物處理費(超收費*2/桶)</t>
        </is>
      </c>
      <c r="C1840" t="n">
        <v>1300</v>
      </c>
      <c r="D1840" t="inlineStr">
        <is>
          <t>垃圾廢棄物/園藝</t>
        </is>
      </c>
      <c r="E1840" t="inlineStr">
        <is>
          <t>非固定</t>
        </is>
      </c>
    </row>
    <row r="1841" ht="16.5" customHeight="1" s="84">
      <c r="A1841" t="inlineStr">
        <is>
          <t>2026-03</t>
        </is>
      </c>
      <c r="B1841" t="inlineStr">
        <is>
          <t>榮盛-B3車道汙水蓋拆除/切割/換新(車位146-150)</t>
        </is>
      </c>
      <c r="C1841" t="n">
        <v>24000</v>
      </c>
      <c r="D1841" t="inlineStr">
        <is>
          <t>工程維修/購置</t>
        </is>
      </c>
      <c r="E1841" t="inlineStr">
        <is>
          <t>非固定</t>
        </is>
      </c>
    </row>
    <row r="1842" ht="16.5" customHeight="1" s="84">
      <c r="A1842" t="inlineStr">
        <is>
          <t>2026-03</t>
        </is>
      </c>
      <c r="B1842" t="inlineStr">
        <is>
          <t>廣佑-燈類修繕費</t>
        </is>
      </c>
      <c r="C1842" t="n">
        <v>28980</v>
      </c>
      <c r="D1842" t="inlineStr">
        <is>
          <t>工程維修/購置</t>
        </is>
      </c>
      <c r="E1842" t="inlineStr">
        <is>
          <t>非固定</t>
        </is>
      </c>
    </row>
    <row r="1843" ht="16.5" customHeight="1" s="84">
      <c r="A1843" t="inlineStr">
        <is>
          <t>2026-03</t>
        </is>
      </c>
      <c r="B1843" t="inlineStr">
        <is>
          <t>印普特-購買A4紙*2/箱</t>
        </is>
      </c>
      <c r="C1843" t="n">
        <v>1050</v>
      </c>
      <c r="D1843" t="inlineStr">
        <is>
          <t>工程維修/購置</t>
        </is>
      </c>
      <c r="E1843" t="inlineStr">
        <is>
          <t>非固定</t>
        </is>
      </c>
    </row>
    <row r="1844" ht="16.5" customHeight="1" s="84">
      <c r="A1844" t="inlineStr">
        <is>
          <t>2026-03</t>
        </is>
      </c>
      <c r="B1844" t="inlineStr">
        <is>
          <t>印專家-購買碳粉匣(黑色)*1/個</t>
        </is>
      </c>
      <c r="C1844" t="n">
        <v>2200</v>
      </c>
      <c r="D1844" t="inlineStr">
        <is>
          <t>工程維修/購置</t>
        </is>
      </c>
      <c r="E1844" t="inlineStr">
        <is>
          <t>非固定</t>
        </is>
      </c>
    </row>
    <row r="1845" ht="16.5" customHeight="1" s="84">
      <c r="A1845" t="inlineStr">
        <is>
          <t>2026-03</t>
        </is>
      </c>
      <c r="B1845" t="inlineStr">
        <is>
          <t>新鑫堯-02月垃圾廢棄物處理費、資源回收費(春節加收)</t>
        </is>
      </c>
      <c r="C1845" t="n">
        <v>6000</v>
      </c>
      <c r="D1845" t="inlineStr">
        <is>
          <t>垃圾廢棄物/園藝</t>
        </is>
      </c>
      <c r="E1845" t="inlineStr">
        <is>
          <t>非固定</t>
        </is>
      </c>
    </row>
    <row r="1846" ht="16.5" customHeight="1" s="84">
      <c r="A1846" t="inlineStr">
        <is>
          <t>2026-03</t>
        </is>
      </c>
      <c r="B1846" t="inlineStr">
        <is>
          <t>鋐隆-購買清潔用品(1)擦手紙 (2)衛生紙</t>
        </is>
      </c>
      <c r="C1846" t="n">
        <v>2016</v>
      </c>
      <c r="D1846" t="inlineStr">
        <is>
          <t>清潔服務費</t>
        </is>
      </c>
      <c r="E1846" t="inlineStr">
        <is>
          <t>非固定</t>
        </is>
      </c>
    </row>
    <row r="1847" ht="16.5" customHeight="1" s="84">
      <c r="A1847" t="inlineStr">
        <is>
          <t>2026-03</t>
        </is>
      </c>
      <c r="B1847" t="inlineStr">
        <is>
          <t>乙久利搬運費(外牆磁磚)</t>
        </is>
      </c>
      <c r="C1847" t="n">
        <v>14175</v>
      </c>
      <c r="D1847" t="inlineStr">
        <is>
          <t>工程維修/購置</t>
        </is>
      </c>
      <c r="E1847" t="inlineStr">
        <is>
          <t>非固定</t>
        </is>
      </c>
      <c r="F1847" t="inlineStr">
        <is>
          <t>外牆修繕</t>
        </is>
      </c>
    </row>
    <row r="1848" ht="16.5" customHeight="1" s="84">
      <c r="A1848" t="inlineStr">
        <is>
          <t>2026-03</t>
        </is>
      </c>
      <c r="B1848" t="inlineStr">
        <is>
          <t>好鵬興-修繕車道鐵捲門</t>
        </is>
      </c>
      <c r="C1848" t="n">
        <v>21840</v>
      </c>
      <c r="D1848" t="inlineStr">
        <is>
          <t>工程維修/購置</t>
        </is>
      </c>
      <c r="E1848" t="inlineStr">
        <is>
          <t>非固定</t>
        </is>
      </c>
    </row>
    <row r="1849" ht="16.5" customHeight="1" s="84">
      <c r="A1849" t="inlineStr">
        <is>
          <t>2026-03</t>
        </is>
      </c>
      <c r="B1849" t="inlineStr">
        <is>
          <t>享明-購買(1)棒球插地燈 (2)神木照樹燈 (3)LED燈泡</t>
        </is>
      </c>
      <c r="C1849" t="n">
        <v>47445</v>
      </c>
      <c r="D1849" t="inlineStr">
        <is>
          <t>工程維修/購置</t>
        </is>
      </c>
      <c r="E1849" t="inlineStr">
        <is>
          <t>非固定</t>
        </is>
      </c>
    </row>
    <row r="1850" ht="16.5" customHeight="1" s="84">
      <c r="A1850" t="inlineStr">
        <is>
          <t>2026-03</t>
        </is>
      </c>
      <c r="B1850" t="inlineStr">
        <is>
          <t>浩源-社區1.MF通管</t>
        </is>
      </c>
      <c r="C1850" t="n">
        <v>162000</v>
      </c>
      <c r="D1850" t="inlineStr">
        <is>
          <t>工程維修/購置</t>
        </is>
      </c>
      <c r="E1850" t="inlineStr">
        <is>
          <t>非固定</t>
        </is>
      </c>
    </row>
    <row r="1851" ht="16.5" customHeight="1" s="84">
      <c r="A1851" t="inlineStr">
        <is>
          <t>2026-03</t>
        </is>
      </c>
      <c r="B1851" t="inlineStr">
        <is>
          <t>E21充電樁退保證金</t>
        </is>
      </c>
      <c r="C1851" t="n">
        <v>50000</v>
      </c>
      <c r="D1851" t="inlineStr">
        <is>
          <t>內部轉帳</t>
        </is>
      </c>
      <c r="E1851" t="inlineStr">
        <is>
          <t>非固定</t>
        </is>
      </c>
    </row>
    <row r="1852" ht="16.5" customHeight="1" s="84">
      <c r="A1852" t="inlineStr">
        <is>
          <t>2026-03</t>
        </is>
      </c>
      <c r="B1852" t="inlineStr">
        <is>
          <t>◆社區電話費(5630533)</t>
        </is>
      </c>
      <c r="C1852" t="n">
        <v>1100</v>
      </c>
      <c r="D1852" t="inlineStr">
        <is>
          <t>電話/網路費</t>
        </is>
      </c>
      <c r="E1852" t="inlineStr">
        <is>
          <t>非固定</t>
        </is>
      </c>
    </row>
    <row r="1853" ht="16.5" customHeight="1" s="84">
      <c r="A1853" t="inlineStr">
        <is>
          <t>2026-03</t>
        </is>
      </c>
      <c r="B1853" t="inlineStr">
        <is>
          <t>◆社區網路費(Y123617)</t>
        </is>
      </c>
      <c r="C1853" t="n">
        <v>1899</v>
      </c>
      <c r="D1853" t="inlineStr">
        <is>
          <t>電話/網路費</t>
        </is>
      </c>
      <c r="E1853" t="inlineStr">
        <is>
          <t>非固定</t>
        </is>
      </c>
    </row>
    <row r="1854" ht="16.5" customHeight="1" s="84">
      <c r="A1854" t="inlineStr">
        <is>
          <t>2026-03</t>
        </is>
      </c>
      <c r="B1854" t="inlineStr">
        <is>
          <t>◆社區網路費(Y174790)</t>
        </is>
      </c>
      <c r="C1854" t="n">
        <v>1899</v>
      </c>
      <c r="D1854" t="inlineStr">
        <is>
          <t>電話/網路費</t>
        </is>
      </c>
      <c r="E1854" t="inlineStr">
        <is>
          <t>非固定</t>
        </is>
      </c>
    </row>
    <row r="1855" ht="16.5" customHeight="1" s="84">
      <c r="A1855" t="inlineStr">
        <is>
          <t>2026-03</t>
        </is>
      </c>
      <c r="B1855" t="inlineStr">
        <is>
          <t>◆公共電費</t>
        </is>
      </c>
      <c r="C1855" t="n">
        <v>84786</v>
      </c>
      <c r="D1855" t="inlineStr">
        <is>
          <t>公共水電瓦斯</t>
        </is>
      </c>
      <c r="E1855" t="inlineStr">
        <is>
          <t>非固定</t>
        </is>
      </c>
    </row>
    <row r="1856" ht="16.5" customHeight="1" s="84">
      <c r="A1856" t="inlineStr">
        <is>
          <t>2026-03</t>
        </is>
      </c>
      <c r="B1856" t="inlineStr">
        <is>
          <t>◆自來水費</t>
        </is>
      </c>
      <c r="C1856" t="n">
        <v>0</v>
      </c>
      <c r="D1856" t="inlineStr">
        <is>
          <t>公共水電瓦斯</t>
        </is>
      </c>
      <c r="E1856" t="inlineStr">
        <is>
          <t>非固定</t>
        </is>
      </c>
    </row>
    <row r="1857" ht="16.5" customHeight="1" s="84">
      <c r="A1857" t="inlineStr">
        <is>
          <t>2026-04</t>
        </is>
      </c>
      <c r="B1857" t="inlineStr">
        <is>
          <t>03月威駿公寓大廈管理服務費</t>
        </is>
      </c>
      <c r="C1857" t="n">
        <v>149050</v>
      </c>
      <c r="D1857" t="inlineStr">
        <is>
          <t>管理服務費</t>
        </is>
      </c>
      <c r="E1857" t="inlineStr">
        <is>
          <t>固定</t>
        </is>
      </c>
    </row>
    <row r="1858" ht="16.5" customHeight="1" s="84">
      <c r="A1858" t="inlineStr">
        <is>
          <t>2026-04</t>
        </is>
      </c>
      <c r="B1858" t="inlineStr">
        <is>
          <t>03月威駿保全服務費</t>
        </is>
      </c>
      <c r="C1858" t="n">
        <v>355950</v>
      </c>
      <c r="D1858" t="inlineStr">
        <is>
          <t>保全服務費</t>
        </is>
      </c>
      <c r="E1858" t="inlineStr">
        <is>
          <t>固定</t>
        </is>
      </c>
    </row>
    <row r="1859" ht="16.5" customHeight="1" s="84">
      <c r="A1859" t="inlineStr">
        <is>
          <t>2026-04</t>
        </is>
      </c>
      <c r="B1859" t="inlineStr">
        <is>
          <t>03月義明清潔服務費</t>
        </is>
      </c>
      <c r="C1859" t="n">
        <v>129150</v>
      </c>
      <c r="D1859" t="inlineStr">
        <is>
          <t>清潔服務費</t>
        </is>
      </c>
      <c r="E1859" t="inlineStr">
        <is>
          <t>固定</t>
        </is>
      </c>
    </row>
    <row r="1860" ht="16.5" customHeight="1" s="84">
      <c r="A1860" t="inlineStr">
        <is>
          <t>2026-04</t>
        </is>
      </c>
      <c r="B1860" t="inlineStr">
        <is>
          <t>03月順達清潔服務費</t>
        </is>
      </c>
      <c r="C1860" t="n">
        <v>129150</v>
      </c>
      <c r="D1860" t="inlineStr">
        <is>
          <t>清潔服務費</t>
        </is>
      </c>
      <c r="E1860" t="inlineStr">
        <is>
          <t>固定</t>
        </is>
      </c>
    </row>
    <row r="1861" ht="16.5" customHeight="1" s="84">
      <c r="A1861" t="inlineStr">
        <is>
          <t>2026-04</t>
        </is>
      </c>
      <c r="B1861" t="inlineStr">
        <is>
          <t>03月崇友電梯保養費</t>
        </is>
      </c>
      <c r="C1861" t="n">
        <v>100000</v>
      </c>
      <c r="D1861" t="inlineStr">
        <is>
          <t>電梯保養與修繕</t>
        </is>
      </c>
      <c r="E1861" t="inlineStr">
        <is>
          <t>固定</t>
        </is>
      </c>
    </row>
    <row r="1862" ht="15" customHeight="1" s="84">
      <c r="A1862" t="inlineStr">
        <is>
          <t>2026-04</t>
        </is>
      </c>
      <c r="B1862" t="inlineStr">
        <is>
          <t>03月電梯專用款撥補（每月固定撥補至元大電梯專用帳戶）</t>
        </is>
      </c>
      <c r="C1862" t="n">
        <v>100000</v>
      </c>
      <c r="D1862" t="inlineStr">
        <is>
          <t>內部轉帳</t>
        </is>
      </c>
      <c r="E1862" t="inlineStr">
        <is>
          <t>固定</t>
        </is>
      </c>
    </row>
    <row r="1863" ht="15" customHeight="1" s="84">
      <c r="A1863" t="inlineStr">
        <is>
          <t>2026-04</t>
        </is>
      </c>
      <c r="B1863" t="inlineStr">
        <is>
          <t>03月機電保養費</t>
        </is>
      </c>
      <c r="C1863" t="n">
        <v>0</v>
      </c>
      <c r="D1863" t="inlineStr">
        <is>
          <t>機電/消防/弱電/AED</t>
        </is>
      </c>
      <c r="E1863" t="inlineStr">
        <is>
          <t>固定</t>
        </is>
      </c>
    </row>
    <row r="1864">
      <c r="A1864" t="inlineStr">
        <is>
          <t>2026-04</t>
        </is>
      </c>
      <c r="B1864" t="inlineStr">
        <is>
          <t>03月太古意弱電保養費</t>
        </is>
      </c>
      <c r="C1864" t="n">
        <v>10000</v>
      </c>
      <c r="D1864" t="inlineStr">
        <is>
          <t>機電/消防/弱電/AED</t>
        </is>
      </c>
      <c r="E1864" t="inlineStr">
        <is>
          <t>固定</t>
        </is>
      </c>
    </row>
    <row r="1865" ht="15" customHeight="1" s="84">
      <c r="A1865" t="inlineStr">
        <is>
          <t>2026-04</t>
        </is>
      </c>
    </row>
    <row r="1866" ht="15" customHeight="1" s="84">
      <c r="A1866" t="inlineStr">
        <is>
          <t>2026-04</t>
        </is>
      </c>
    </row>
    <row r="1867" ht="15" customHeight="1" s="84">
      <c r="A1867" t="inlineStr">
        <is>
          <t>2026-04</t>
        </is>
      </c>
    </row>
    <row r="1868" ht="15" customHeight="1" s="84">
      <c r="A1868" t="inlineStr">
        <is>
          <t>2026-04</t>
        </is>
      </c>
    </row>
    <row r="1869" ht="15" customHeight="1" s="84">
      <c r="A1869" t="inlineStr">
        <is>
          <t>2026-04</t>
        </is>
      </c>
    </row>
    <row r="1870" ht="15" customHeight="1" s="84">
      <c r="A1870" t="inlineStr">
        <is>
          <t>2026-04</t>
        </is>
      </c>
    </row>
    <row r="1871">
      <c r="A1871" t="inlineStr">
        <is>
          <t>2026-04</t>
        </is>
      </c>
      <c r="B1871" t="inlineStr">
        <is>
          <t>02月廚餘處理費</t>
        </is>
      </c>
      <c r="C1871" t="n">
        <v>5100</v>
      </c>
      <c r="D1871" t="inlineStr">
        <is>
          <t>垃圾廢棄物/園藝</t>
        </is>
      </c>
      <c r="E1871" t="inlineStr">
        <is>
          <t>非固定</t>
        </is>
      </c>
    </row>
    <row r="1872">
      <c r="A1872" t="inlineStr">
        <is>
          <t>2026-04</t>
        </is>
      </c>
    </row>
    <row r="1873">
      <c r="A1873" t="inlineStr">
        <is>
          <t>2026-04</t>
        </is>
      </c>
    </row>
    <row r="1874">
      <c r="A1874" t="inlineStr">
        <is>
          <t>2026-04</t>
        </is>
      </c>
    </row>
    <row r="1875">
      <c r="A1875" t="inlineStr">
        <is>
          <t>2026-04</t>
        </is>
      </c>
    </row>
    <row r="1876">
      <c r="A1876" t="inlineStr">
        <is>
          <t>2026-04</t>
        </is>
      </c>
    </row>
    <row r="1877">
      <c r="A1877" t="inlineStr">
        <is>
          <t>2026-04</t>
        </is>
      </c>
    </row>
    <row r="1878">
      <c r="A1878" t="inlineStr">
        <is>
          <t>2026-04</t>
        </is>
      </c>
      <c r="B1878" t="inlineStr">
        <is>
          <t>印普特-(1)購買A4彩色列印紙*5/包 (2)列印區權會通知書*430/本</t>
        </is>
      </c>
      <c r="C1878" t="n">
        <v>2368</v>
      </c>
      <c r="D1878" t="inlineStr">
        <is>
          <t>行政/會議/律師</t>
        </is>
      </c>
      <c r="E1878" t="inlineStr">
        <is>
          <t>非固定</t>
        </is>
      </c>
    </row>
    <row r="1879">
      <c r="A1879" t="inlineStr">
        <is>
          <t>2026-04</t>
        </is>
      </c>
      <c r="B1879" t="inlineStr">
        <is>
          <t>浩源-清洗地下室汙廢水管*34/支</t>
        </is>
      </c>
      <c r="C1879" t="n">
        <v>76800</v>
      </c>
      <c r="D1879" t="inlineStr">
        <is>
          <t>工程維修/購置</t>
        </is>
      </c>
      <c r="E1879" t="inlineStr">
        <is>
          <t>非固定</t>
        </is>
      </c>
    </row>
    <row r="1880">
      <c r="A1880" t="inlineStr">
        <is>
          <t>2026-04</t>
        </is>
      </c>
      <c r="B1880" t="inlineStr">
        <is>
          <t>B16退充電樁保證金</t>
        </is>
      </c>
      <c r="C1880" t="n">
        <v>50000</v>
      </c>
      <c r="D1880" t="inlineStr">
        <is>
          <t>內部轉帳</t>
        </is>
      </c>
      <c r="E1880" t="inlineStr">
        <is>
          <t>非固定</t>
        </is>
      </c>
    </row>
    <row r="1881">
      <c r="A1881" t="inlineStr">
        <is>
          <t>2026-04</t>
        </is>
      </c>
      <c r="B1881" t="inlineStr">
        <is>
          <t>區權會會議出席費($500/戶)，共263戶</t>
        </is>
      </c>
      <c r="C1881" t="n">
        <v>131500</v>
      </c>
      <c r="D1881" t="inlineStr">
        <is>
          <t>行政/會議/律師</t>
        </is>
      </c>
      <c r="E1881" t="inlineStr">
        <is>
          <t>非固定</t>
        </is>
      </c>
    </row>
    <row r="1882">
      <c r="A1882" t="inlineStr">
        <is>
          <t>2026-04</t>
        </is>
      </c>
      <c r="B1882" t="inlineStr">
        <is>
          <t>購買氯錠*1/條</t>
        </is>
      </c>
      <c r="C1882" t="n">
        <v>11000</v>
      </c>
      <c r="D1882" t="inlineStr">
        <is>
          <t>工程維修/購置</t>
        </is>
      </c>
      <c r="E1882" t="inlineStr">
        <is>
          <t>非固定</t>
        </is>
      </c>
    </row>
    <row r="1883">
      <c r="A1883" t="inlineStr">
        <is>
          <t>2026-04</t>
        </is>
      </c>
      <c r="B1883" t="inlineStr">
        <is>
          <t>天幕-1F示範區</t>
        </is>
      </c>
      <c r="C1883" t="n">
        <v>138159</v>
      </c>
      <c r="D1883" t="inlineStr">
        <is>
          <t>工程維修/購置</t>
        </is>
      </c>
      <c r="E1883" t="inlineStr">
        <is>
          <t>非固定</t>
        </is>
      </c>
      <c r="F1883" t="inlineStr">
        <is>
          <t>外牆修繕</t>
        </is>
      </c>
    </row>
    <row r="1884">
      <c r="A1884" t="inlineStr">
        <is>
          <t>2026-04</t>
        </is>
      </c>
      <c r="B1884" t="inlineStr">
        <is>
          <t>律師費-律師出席03/21區權會車馬費</t>
        </is>
      </c>
      <c r="C1884" t="n">
        <v>6000</v>
      </c>
      <c r="D1884" t="inlineStr">
        <is>
          <t>行政/會議/律師</t>
        </is>
      </c>
      <c r="E1884" t="inlineStr">
        <is>
          <t>非固定</t>
        </is>
      </c>
    </row>
    <row r="1885">
      <c r="A1885" t="inlineStr">
        <is>
          <t>2026-04</t>
        </is>
      </c>
      <c r="B1885" t="inlineStr">
        <is>
          <t>購買區權會椅子</t>
        </is>
      </c>
      <c r="C1885" t="n">
        <v>1830</v>
      </c>
      <c r="D1885" t="inlineStr">
        <is>
          <t>行政/會議/律師</t>
        </is>
      </c>
      <c r="E1885" t="inlineStr">
        <is>
          <t>非固定</t>
        </is>
      </c>
    </row>
    <row r="1886">
      <c r="A1886" t="inlineStr">
        <is>
          <t>2026-04</t>
        </is>
      </c>
      <c r="B1886" t="inlineStr">
        <is>
          <t>S8漏水修繕</t>
        </is>
      </c>
      <c r="C1886" t="n">
        <v>10000</v>
      </c>
      <c r="D1886" t="inlineStr">
        <is>
          <t>其他支出</t>
        </is>
      </c>
      <c r="E1886" t="inlineStr">
        <is>
          <t>非固定</t>
        </is>
      </c>
    </row>
    <row r="1887">
      <c r="A1887" t="inlineStr">
        <is>
          <t>2026-04</t>
        </is>
      </c>
      <c r="B1887" t="inlineStr">
        <is>
          <t>築起-人行道汙水管配管工程尾款</t>
        </is>
      </c>
      <c r="C1887" t="n">
        <v>500000</v>
      </c>
      <c r="D1887" t="inlineStr">
        <is>
          <t>工程維修/購置</t>
        </is>
      </c>
      <c r="E1887" t="inlineStr">
        <is>
          <t>非固定</t>
        </is>
      </c>
      <c r="F1887" t="inlineStr">
        <is>
          <t>納管</t>
        </is>
      </c>
    </row>
    <row r="1888">
      <c r="A1888" t="inlineStr">
        <is>
          <t>2026-04</t>
        </is>
      </c>
      <c r="B1888" t="inlineStr">
        <is>
          <t>S11退施工裝潢保證金</t>
        </is>
      </c>
      <c r="C1888" t="n">
        <v>80000</v>
      </c>
      <c r="D1888" t="inlineStr">
        <is>
          <t>內部轉帳</t>
        </is>
      </c>
      <c r="E1888" t="inlineStr">
        <is>
          <t>非固定</t>
        </is>
      </c>
    </row>
    <row r="1889">
      <c r="A1889" t="inlineStr">
        <is>
          <t>2026-04</t>
        </is>
      </c>
      <c r="B1889" t="inlineStr">
        <is>
          <t>天幕-外牆檢測工程費</t>
        </is>
      </c>
      <c r="C1889" t="n">
        <v>472500</v>
      </c>
      <c r="D1889" t="inlineStr">
        <is>
          <t>工程維修/購置</t>
        </is>
      </c>
      <c r="E1889" t="inlineStr">
        <is>
          <t>非固定</t>
        </is>
      </c>
      <c r="F1889" t="inlineStr">
        <is>
          <t>外牆修繕</t>
        </is>
      </c>
    </row>
    <row r="1890">
      <c r="A1890" t="inlineStr">
        <is>
          <t>2026-04</t>
        </is>
      </c>
      <c r="B1890" t="inlineStr">
        <is>
          <t>◆社區電話費(5630533)(04/01.04/29扣款)</t>
        </is>
      </c>
      <c r="C1890" t="n">
        <v>1617</v>
      </c>
      <c r="D1890" t="inlineStr">
        <is>
          <t>電話/網路費</t>
        </is>
      </c>
      <c r="E1890" t="inlineStr">
        <is>
          <t>非固定</t>
        </is>
      </c>
    </row>
    <row r="1891">
      <c r="A1891" t="inlineStr">
        <is>
          <t>2026-04</t>
        </is>
      </c>
      <c r="B1891" t="inlineStr">
        <is>
          <t>◆社區網路費(Y123617)(04/01.04/29扣款)</t>
        </is>
      </c>
      <c r="C1891" t="n">
        <v>3798</v>
      </c>
      <c r="D1891" t="inlineStr">
        <is>
          <t>電話/網路費</t>
        </is>
      </c>
      <c r="E1891" t="inlineStr">
        <is>
          <t>非固定</t>
        </is>
      </c>
    </row>
    <row r="1892">
      <c r="A1892" t="inlineStr">
        <is>
          <t>2026-04</t>
        </is>
      </c>
      <c r="B1892" t="inlineStr">
        <is>
          <t>◆社區網路費(Y174790)(04/01.04/29扣款)</t>
        </is>
      </c>
      <c r="C1892" t="n">
        <v>3798</v>
      </c>
      <c r="D1892" t="inlineStr">
        <is>
          <t>電話/網路費</t>
        </is>
      </c>
      <c r="E1892" t="inlineStr">
        <is>
          <t>非固定</t>
        </is>
      </c>
    </row>
    <row r="1893">
      <c r="A1893" t="inlineStr">
        <is>
          <t>2026-04</t>
        </is>
      </c>
      <c r="B1893" t="inlineStr">
        <is>
          <t>◆公共電費</t>
        </is>
      </c>
      <c r="C1893" t="n">
        <v>92257</v>
      </c>
      <c r="D1893" t="inlineStr">
        <is>
          <t>公共水電瓦斯</t>
        </is>
      </c>
      <c r="E1893" t="inlineStr">
        <is>
          <t>非固定</t>
        </is>
      </c>
    </row>
    <row r="1894">
      <c r="A1894" t="inlineStr">
        <is>
          <t>2026-04</t>
        </is>
      </c>
      <c r="B1894" t="inlineStr">
        <is>
          <t>◆自來水費</t>
        </is>
      </c>
      <c r="C1894" t="n">
        <v>2755</v>
      </c>
      <c r="D1894" t="inlineStr">
        <is>
          <t>公共水電瓦斯</t>
        </is>
      </c>
      <c r="E1894" t="inlineStr">
        <is>
          <t>非固定</t>
        </is>
      </c>
    </row>
    <row r="1895">
      <c r="A1895" t="inlineStr">
        <is>
          <t>2026-06</t>
        </is>
      </c>
      <c r="B1895" t="inlineStr">
        <is>
          <t>凱稐機電-汙水池全區入槽清池</t>
        </is>
      </c>
      <c r="C1895" t="n">
        <v>600000</v>
      </c>
      <c r="D1895" t="inlineStr">
        <is>
          <t>工程維修/購置</t>
        </is>
      </c>
      <c r="E1895" t="inlineStr">
        <is>
          <t>非固定</t>
        </is>
      </c>
      <c r="F1895" t="inlineStr">
        <is>
          <t>納管</t>
        </is>
      </c>
    </row>
    <row r="1896">
      <c r="A1896" t="inlineStr">
        <is>
          <t>📝 Section 來源：月報表 cell 底色偵測 (theme:4 藍 = 固定、theme:5 橘 = 非固定)</t>
        </is>
      </c>
    </row>
    <row r="1897">
      <c r="A1897" t="inlineStr">
        <is>
          <t>📝 「內部轉帳」高亮 (藍色背景)：212 項 — 會被 UI toggle「過濾內部轉帳」過濾掉</t>
        </is>
      </c>
    </row>
    <row r="1898">
      <c r="A1898" t="inlineStr">
        <is>
          <t>📝 「其他」高亮 (黃色背景)：185 項 — 若分類不正確，請告知以調整 regex</t>
        </is>
      </c>
    </row>
    <row r="1899">
      <c r="A1899" t="inlineStr">
        <is>
          <t>📝 議案類別 (column F) 由 classify_proposal_category() 自動 regex 分類 — 黃=外牆修繕、藍=納管、橙=電梯</t>
        </is>
      </c>
    </row>
  </sheetData>
  <mergeCells count="6">
    <mergeCell ref="A1866:F1866"/>
    <mergeCell ref="A1867:F1867"/>
    <mergeCell ref="A1865:F1865"/>
    <mergeCell ref="A1869:F1869"/>
    <mergeCell ref="A1870:F1870"/>
    <mergeCell ref="A1868:F1868"/>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J65"/>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7.83203125" defaultRowHeight="17"/>
  <cols>
    <col width="11" customWidth="1" style="84" min="1" max="1"/>
    <col width="14.5" customWidth="1" style="84" min="2" max="10"/>
  </cols>
  <sheetData>
    <row r="1" ht="18" customHeight="1" s="84">
      <c r="A1" s="6" t="inlineStr">
        <is>
          <t>月份</t>
        </is>
      </c>
      <c r="B1" s="6" t="inlineStr">
        <is>
          <t>管理費收入</t>
        </is>
      </c>
      <c r="C1" s="6" t="inlineStr">
        <is>
          <t>利息收入</t>
        </is>
      </c>
      <c r="D1" s="6" t="inlineStr">
        <is>
          <t>公設收入</t>
        </is>
      </c>
      <c r="E1" s="6" t="inlineStr">
        <is>
          <t>出席費回存</t>
        </is>
      </c>
      <c r="F1" s="6" t="inlineStr">
        <is>
          <t>贊助/活動</t>
        </is>
      </c>
      <c r="G1" s="6" t="inlineStr">
        <is>
          <t>暫收款進</t>
        </is>
      </c>
      <c r="H1" s="6" t="inlineStr">
        <is>
          <t>內部轉帳</t>
        </is>
      </c>
      <c r="I1" s="6" t="inlineStr">
        <is>
          <t>其他收入</t>
        </is>
      </c>
      <c r="J1" s="6" t="inlineStr">
        <is>
          <t>合計</t>
        </is>
      </c>
    </row>
    <row r="2" ht="15" customHeight="1" s="84">
      <c r="A2" s="7" t="inlineStr">
        <is>
          <t>2021-01</t>
        </is>
      </c>
      <c r="B2" s="104" t="n">
        <v>5919</v>
      </c>
      <c r="C2" s="104" t="n">
        <v>416</v>
      </c>
      <c r="D2" s="104" t="n">
        <v>8810</v>
      </c>
      <c r="E2" s="104" t="n">
        <v>2000</v>
      </c>
      <c r="F2" s="104" t="n"/>
      <c r="G2" s="104" t="n"/>
      <c r="H2" s="104" t="n"/>
      <c r="I2" s="104" t="n">
        <v>2162149</v>
      </c>
      <c r="J2" s="104" t="n">
        <v>2179294</v>
      </c>
    </row>
    <row r="3" ht="15" customHeight="1" s="84">
      <c r="A3" s="7" t="inlineStr">
        <is>
          <t>2021-02</t>
        </is>
      </c>
      <c r="B3" s="104" t="n">
        <v>878514</v>
      </c>
      <c r="C3" s="104" t="n">
        <v>1800</v>
      </c>
      <c r="D3" s="104" t="n">
        <v>6320</v>
      </c>
      <c r="E3" s="104" t="n">
        <v>3000</v>
      </c>
      <c r="F3" s="104" t="n"/>
      <c r="G3" s="104" t="n"/>
      <c r="H3" s="104" t="n"/>
      <c r="I3" s="104" t="n"/>
      <c r="J3" s="104" t="n">
        <v>889634</v>
      </c>
    </row>
    <row r="4" ht="15" customHeight="1" s="84">
      <c r="A4" s="7" t="inlineStr">
        <is>
          <t>2021-03</t>
        </is>
      </c>
      <c r="B4" s="104" t="n">
        <v>68688</v>
      </c>
      <c r="C4" s="104" t="n">
        <v>4116</v>
      </c>
      <c r="D4" s="104" t="n">
        <v>11345</v>
      </c>
      <c r="E4" s="104" t="n">
        <v>4000</v>
      </c>
      <c r="F4" s="104" t="n"/>
      <c r="G4" s="104" t="n"/>
      <c r="H4" s="104" t="n"/>
      <c r="I4" s="104" t="n">
        <v>10000</v>
      </c>
      <c r="J4" s="104" t="n">
        <v>98149</v>
      </c>
    </row>
    <row r="5" ht="15" customHeight="1" s="84">
      <c r="A5" s="7" t="inlineStr">
        <is>
          <t>2021-04</t>
        </is>
      </c>
      <c r="B5" s="104" t="n">
        <v>2301010</v>
      </c>
      <c r="C5" s="104" t="n">
        <v>3108</v>
      </c>
      <c r="D5" s="104" t="n">
        <v>8140</v>
      </c>
      <c r="E5" s="104" t="n">
        <v>3000</v>
      </c>
      <c r="F5" s="104" t="n"/>
      <c r="G5" s="104" t="n"/>
      <c r="H5" s="104" t="n"/>
      <c r="I5" s="104" t="n"/>
      <c r="J5" s="104" t="n">
        <v>2315258</v>
      </c>
    </row>
    <row r="6" ht="15" customHeight="1" s="84">
      <c r="A6" s="7" t="inlineStr">
        <is>
          <t>2021-05</t>
        </is>
      </c>
      <c r="B6" s="104" t="n">
        <v>498165</v>
      </c>
      <c r="C6" s="104" t="n">
        <v>3009</v>
      </c>
      <c r="D6" s="104" t="n">
        <v>4375</v>
      </c>
      <c r="E6" s="104" t="n">
        <v>2000</v>
      </c>
      <c r="F6" s="104" t="n"/>
      <c r="G6" s="104" t="n"/>
      <c r="H6" s="104" t="n"/>
      <c r="I6" s="104" t="n"/>
      <c r="J6" s="104" t="n">
        <v>507549</v>
      </c>
    </row>
    <row r="7" ht="15" customHeight="1" s="84">
      <c r="A7" s="7" t="inlineStr">
        <is>
          <t>2021-06</t>
        </is>
      </c>
      <c r="B7" s="104" t="n">
        <v>111660</v>
      </c>
      <c r="C7" s="104" t="n">
        <v>7601</v>
      </c>
      <c r="D7" s="104" t="n">
        <v>750</v>
      </c>
      <c r="E7" s="104" t="n">
        <v>1500</v>
      </c>
      <c r="F7" s="104" t="n"/>
      <c r="G7" s="104" t="n"/>
      <c r="H7" s="104" t="n"/>
      <c r="I7" s="104" t="n"/>
      <c r="J7" s="104" t="n">
        <v>121511</v>
      </c>
    </row>
    <row r="8" ht="15" customHeight="1" s="84">
      <c r="A8" s="7" t="inlineStr">
        <is>
          <t>2021-07</t>
        </is>
      </c>
      <c r="B8" s="104" t="n">
        <v>2586275</v>
      </c>
      <c r="C8" s="104" t="n">
        <v>3009</v>
      </c>
      <c r="D8" s="104" t="n">
        <v>500</v>
      </c>
      <c r="E8" s="104" t="n">
        <v>500</v>
      </c>
      <c r="F8" s="104" t="n"/>
      <c r="G8" s="104" t="n"/>
      <c r="H8" s="104" t="n"/>
      <c r="I8" s="104" t="n">
        <v>60000</v>
      </c>
      <c r="J8" s="104" t="n">
        <v>2650284</v>
      </c>
    </row>
    <row r="9" ht="15" customHeight="1" s="84">
      <c r="A9" s="7" t="inlineStr">
        <is>
          <t>2021-08</t>
        </is>
      </c>
      <c r="B9" s="104" t="n">
        <v>502143</v>
      </c>
      <c r="C9" s="104" t="n">
        <v>3108</v>
      </c>
      <c r="D9" s="104" t="n">
        <v>960</v>
      </c>
      <c r="E9" s="104" t="n">
        <v>1000</v>
      </c>
      <c r="F9" s="104" t="n"/>
      <c r="G9" s="104" t="n"/>
      <c r="H9" s="104" t="n"/>
      <c r="I9" s="104" t="n"/>
      <c r="J9" s="104" t="n">
        <v>507211</v>
      </c>
    </row>
    <row r="10" ht="15" customHeight="1" s="84">
      <c r="A10" s="7" t="inlineStr">
        <is>
          <t>2021-09</t>
        </is>
      </c>
      <c r="B10" s="104" t="n">
        <v>73539</v>
      </c>
      <c r="C10" s="104" t="n">
        <v>3108</v>
      </c>
      <c r="D10" s="104" t="n">
        <v>3200</v>
      </c>
      <c r="E10" s="104" t="n">
        <v>1000</v>
      </c>
      <c r="F10" s="104" t="n"/>
      <c r="G10" s="104" t="n"/>
      <c r="H10" s="104" t="n"/>
      <c r="I10" s="104" t="n"/>
      <c r="J10" s="104" t="n">
        <v>80847</v>
      </c>
    </row>
    <row r="11" ht="15" customHeight="1" s="84">
      <c r="A11" s="7" t="inlineStr">
        <is>
          <t>2021-10</t>
        </is>
      </c>
      <c r="B11" s="104" t="n">
        <v>2362716</v>
      </c>
      <c r="C11" s="104" t="n">
        <v>3009</v>
      </c>
      <c r="D11" s="104" t="n">
        <v>5320</v>
      </c>
      <c r="E11" s="104" t="n">
        <v>2500</v>
      </c>
      <c r="F11" s="104" t="n"/>
      <c r="G11" s="104" t="n"/>
      <c r="H11" s="104" t="n"/>
      <c r="I11" s="104" t="n"/>
      <c r="J11" s="104" t="n">
        <v>2373545</v>
      </c>
    </row>
    <row r="12" ht="15" customHeight="1" s="84">
      <c r="A12" s="7" t="inlineStr">
        <is>
          <t>2021-11</t>
        </is>
      </c>
      <c r="B12" s="104" t="n">
        <v>584076</v>
      </c>
      <c r="C12" s="104" t="n">
        <v>3108</v>
      </c>
      <c r="D12" s="104" t="n">
        <v>7710</v>
      </c>
      <c r="E12" s="104" t="n">
        <v>2500</v>
      </c>
      <c r="F12" s="104" t="n"/>
      <c r="G12" s="104" t="n"/>
      <c r="H12" s="104" t="n"/>
      <c r="I12" s="104" t="n">
        <v>21210</v>
      </c>
      <c r="J12" s="104" t="n">
        <v>618604</v>
      </c>
    </row>
    <row r="13" ht="15" customHeight="1" s="84">
      <c r="A13" s="7" t="inlineStr">
        <is>
          <t>2021-12</t>
        </is>
      </c>
      <c r="B13" s="104" t="n">
        <v>184344</v>
      </c>
      <c r="C13" s="104" t="n">
        <v>5862</v>
      </c>
      <c r="D13" s="104" t="n">
        <v>8435</v>
      </c>
      <c r="E13" s="104" t="n">
        <v>500</v>
      </c>
      <c r="F13" s="104" t="n"/>
      <c r="G13" s="104" t="n"/>
      <c r="H13" s="104" t="n"/>
      <c r="I13" s="104" t="n"/>
      <c r="J13" s="104" t="n">
        <v>199141</v>
      </c>
    </row>
    <row r="14" ht="15" customHeight="1" s="84">
      <c r="A14" s="7" t="inlineStr">
        <is>
          <t>2022-01</t>
        </is>
      </c>
      <c r="B14" s="104" t="n">
        <v>2394522</v>
      </c>
      <c r="C14" s="104" t="n">
        <v>3108</v>
      </c>
      <c r="D14" s="104" t="n">
        <v>5605</v>
      </c>
      <c r="E14" s="104" t="n">
        <v>1000</v>
      </c>
      <c r="F14" s="104" t="n"/>
      <c r="G14" s="104" t="n"/>
      <c r="H14" s="104" t="n"/>
      <c r="I14" s="104" t="n">
        <v>970</v>
      </c>
      <c r="J14" s="104" t="n">
        <v>2405205</v>
      </c>
    </row>
    <row r="15" ht="15" customHeight="1" s="84">
      <c r="A15" s="7" t="inlineStr">
        <is>
          <t>2022-02</t>
        </is>
      </c>
      <c r="B15" s="104" t="n">
        <v>655662</v>
      </c>
      <c r="C15" s="104" t="n">
        <v>1800</v>
      </c>
      <c r="D15" s="104" t="n"/>
      <c r="E15" s="104" t="n"/>
      <c r="F15" s="104" t="n"/>
      <c r="G15" s="104" t="n"/>
      <c r="H15" s="104" t="n"/>
      <c r="I15" s="104" t="n"/>
      <c r="J15" s="104" t="n">
        <v>657462</v>
      </c>
    </row>
    <row r="16" ht="15" customHeight="1" s="84">
      <c r="A16" s="7" t="inlineStr">
        <is>
          <t>2022-03</t>
        </is>
      </c>
      <c r="B16" s="104" t="n">
        <v>76940</v>
      </c>
      <c r="C16" s="104" t="n">
        <v>4116</v>
      </c>
      <c r="D16" s="104" t="n">
        <v>15305</v>
      </c>
      <c r="E16" s="104" t="n">
        <v>3000</v>
      </c>
      <c r="F16" s="104" t="n"/>
      <c r="G16" s="104" t="n"/>
      <c r="H16" s="104" t="n"/>
      <c r="I16" s="104" t="n">
        <v>1116507</v>
      </c>
      <c r="J16" s="104" t="n">
        <v>1215868</v>
      </c>
    </row>
    <row r="17" ht="15" customHeight="1" s="84">
      <c r="A17" s="7" t="inlineStr">
        <is>
          <t>2022-04</t>
        </is>
      </c>
      <c r="B17" s="104" t="n">
        <v>2955381</v>
      </c>
      <c r="C17" s="104" t="n">
        <v>2794</v>
      </c>
      <c r="D17" s="104" t="n">
        <v>6160</v>
      </c>
      <c r="E17" s="104" t="n">
        <v>4000</v>
      </c>
      <c r="F17" s="104" t="n"/>
      <c r="G17" s="104" t="n"/>
      <c r="H17" s="104" t="n"/>
      <c r="I17" s="104" t="n"/>
      <c r="J17" s="104" t="n">
        <v>2968335</v>
      </c>
    </row>
    <row r="18" ht="15" customHeight="1" s="84">
      <c r="A18" s="7" t="inlineStr">
        <is>
          <t>2022-05</t>
        </is>
      </c>
      <c r="B18" s="104" t="n">
        <v>703893</v>
      </c>
      <c r="C18" s="104" t="n">
        <v>3132</v>
      </c>
      <c r="D18" s="104" t="n">
        <v>5895</v>
      </c>
      <c r="E18" s="104" t="n">
        <v>1500</v>
      </c>
      <c r="F18" s="104" t="n"/>
      <c r="G18" s="104" t="n"/>
      <c r="H18" s="104" t="n"/>
      <c r="I18" s="104" t="n"/>
      <c r="J18" s="104" t="n">
        <v>714420</v>
      </c>
    </row>
    <row r="19" ht="15" customHeight="1" s="84">
      <c r="A19" s="7" t="inlineStr">
        <is>
          <t>2022-06</t>
        </is>
      </c>
      <c r="B19" s="104" t="n">
        <v>85452</v>
      </c>
      <c r="C19" s="104" t="n">
        <v>5205</v>
      </c>
      <c r="D19" s="104" t="n">
        <v>9560</v>
      </c>
      <c r="E19" s="104" t="n">
        <v>2000</v>
      </c>
      <c r="F19" s="104" t="n"/>
      <c r="G19" s="104" t="n"/>
      <c r="H19" s="104" t="n"/>
      <c r="I19" s="104" t="n"/>
      <c r="J19" s="104" t="n">
        <v>102217</v>
      </c>
    </row>
    <row r="20" ht="15" customHeight="1" s="84">
      <c r="A20" s="7" t="inlineStr">
        <is>
          <t>2022-07</t>
        </is>
      </c>
      <c r="B20" s="104" t="n">
        <v>2947852</v>
      </c>
      <c r="C20" s="104" t="n">
        <v>3860</v>
      </c>
      <c r="D20" s="104" t="n">
        <v>5295</v>
      </c>
      <c r="E20" s="104" t="n">
        <v>1500</v>
      </c>
      <c r="F20" s="104" t="n"/>
      <c r="G20" s="104" t="n"/>
      <c r="H20" s="104" t="n"/>
      <c r="I20" s="104" t="n">
        <v>6177</v>
      </c>
      <c r="J20" s="104" t="n">
        <v>2964684</v>
      </c>
    </row>
    <row r="21" ht="15" customHeight="1" s="84">
      <c r="A21" s="7" t="inlineStr">
        <is>
          <t>2022-08</t>
        </is>
      </c>
      <c r="B21" s="104" t="n">
        <v>835890</v>
      </c>
      <c r="C21" s="104" t="n">
        <v>4545</v>
      </c>
      <c r="D21" s="104" t="n">
        <v>5035</v>
      </c>
      <c r="E21" s="104" t="n">
        <v>2500</v>
      </c>
      <c r="F21" s="104" t="n"/>
      <c r="G21" s="104" t="n"/>
      <c r="H21" s="104" t="n"/>
      <c r="I21" s="104" t="n"/>
      <c r="J21" s="104" t="n">
        <v>847970</v>
      </c>
    </row>
    <row r="22" ht="15" customHeight="1" s="84">
      <c r="A22" s="7" t="inlineStr">
        <is>
          <t>2022-09</t>
        </is>
      </c>
      <c r="B22" s="104" t="n">
        <v>132612</v>
      </c>
      <c r="C22" s="104" t="n">
        <v>4306</v>
      </c>
      <c r="D22" s="104" t="n">
        <v>9090</v>
      </c>
      <c r="E22" s="104" t="n">
        <v>3000</v>
      </c>
      <c r="F22" s="104" t="n"/>
      <c r="G22" s="104" t="n"/>
      <c r="H22" s="104" t="n"/>
      <c r="I22" s="104" t="n"/>
      <c r="J22" s="104" t="n">
        <v>149008</v>
      </c>
    </row>
    <row r="23" ht="15" customHeight="1" s="84">
      <c r="A23" s="7" t="inlineStr">
        <is>
          <t>2022-10</t>
        </is>
      </c>
      <c r="B23" s="104" t="n">
        <v>3223413</v>
      </c>
      <c r="C23" s="104" t="n">
        <v>5431</v>
      </c>
      <c r="D23" s="104" t="n">
        <v>6625</v>
      </c>
      <c r="E23" s="104" t="n">
        <v>2000</v>
      </c>
      <c r="F23" s="104" t="n"/>
      <c r="G23" s="104" t="n"/>
      <c r="H23" s="104" t="n"/>
      <c r="I23" s="104" t="n"/>
      <c r="J23" s="104" t="n">
        <v>3237469</v>
      </c>
    </row>
    <row r="24" ht="15" customHeight="1" s="84">
      <c r="A24" s="7" t="inlineStr">
        <is>
          <t>2022-11</t>
        </is>
      </c>
      <c r="B24" s="104" t="n">
        <v>484833</v>
      </c>
      <c r="C24" s="104" t="n">
        <v>6189</v>
      </c>
      <c r="D24" s="104" t="n">
        <v>7565</v>
      </c>
      <c r="E24" s="104" t="n">
        <v>2500</v>
      </c>
      <c r="F24" s="104" t="n"/>
      <c r="G24" s="104" t="n"/>
      <c r="H24" s="104" t="n"/>
      <c r="I24" s="104" t="n"/>
      <c r="J24" s="104" t="n">
        <v>501087</v>
      </c>
    </row>
    <row r="25" ht="15" customHeight="1" s="84">
      <c r="A25" s="7" t="inlineStr">
        <is>
          <t>2022-12</t>
        </is>
      </c>
      <c r="B25" s="104" t="n">
        <v>68334</v>
      </c>
      <c r="C25" s="104" t="n">
        <v>5704</v>
      </c>
      <c r="D25" s="104" t="n">
        <v>7450</v>
      </c>
      <c r="E25" s="104" t="n">
        <v>3000</v>
      </c>
      <c r="F25" s="104" t="n"/>
      <c r="G25" s="104" t="n"/>
      <c r="H25" s="104" t="n"/>
      <c r="I25" s="104" t="n"/>
      <c r="J25" s="104" t="n">
        <v>84488</v>
      </c>
    </row>
    <row r="26" ht="15" customHeight="1" s="84">
      <c r="A26" s="7" t="inlineStr">
        <is>
          <t>2023-01</t>
        </is>
      </c>
      <c r="B26" s="104" t="n">
        <v>3226644</v>
      </c>
      <c r="C26" s="104" t="n">
        <v>5986</v>
      </c>
      <c r="D26" s="104" t="n">
        <v>5050</v>
      </c>
      <c r="E26" s="104" t="n">
        <v>4000</v>
      </c>
      <c r="F26" s="104" t="n">
        <v>3000</v>
      </c>
      <c r="G26" s="104" t="n"/>
      <c r="H26" s="104" t="n"/>
      <c r="I26" s="104" t="n"/>
      <c r="J26" s="104" t="n">
        <v>3244680</v>
      </c>
    </row>
    <row r="27" ht="15" customHeight="1" s="84">
      <c r="A27" s="7" t="inlineStr">
        <is>
          <t>2023-02</t>
        </is>
      </c>
      <c r="B27" s="104" t="n">
        <v>524196</v>
      </c>
      <c r="C27" s="104" t="n">
        <v>4888</v>
      </c>
      <c r="D27" s="104" t="n">
        <v>4570</v>
      </c>
      <c r="E27" s="104" t="n">
        <v>3000</v>
      </c>
      <c r="F27" s="104" t="n">
        <v>4000</v>
      </c>
      <c r="G27" s="104" t="n"/>
      <c r="H27" s="104" t="n"/>
      <c r="I27" s="104" t="n"/>
      <c r="J27" s="104" t="n">
        <v>540654</v>
      </c>
    </row>
    <row r="28" ht="15" customHeight="1" s="84">
      <c r="A28" s="7" t="inlineStr">
        <is>
          <t>2023-03</t>
        </is>
      </c>
      <c r="B28" s="104" t="n">
        <v>138576</v>
      </c>
      <c r="C28" s="104" t="n">
        <v>7214</v>
      </c>
      <c r="D28" s="104" t="n">
        <v>11630</v>
      </c>
      <c r="E28" s="104" t="n">
        <v>3000</v>
      </c>
      <c r="F28" s="104" t="n"/>
      <c r="G28" s="104" t="n"/>
      <c r="H28" s="104" t="n"/>
      <c r="I28" s="104" t="n">
        <v>16720</v>
      </c>
      <c r="J28" s="104" t="n">
        <v>177140</v>
      </c>
    </row>
    <row r="29" ht="15" customHeight="1" s="84">
      <c r="A29" s="7" t="inlineStr">
        <is>
          <t>2023-04</t>
        </is>
      </c>
      <c r="B29" s="104" t="n">
        <v>2931309</v>
      </c>
      <c r="C29" s="104" t="n">
        <v>6453</v>
      </c>
      <c r="D29" s="104" t="n">
        <v>6025</v>
      </c>
      <c r="E29" s="104" t="n">
        <v>4000</v>
      </c>
      <c r="F29" s="104" t="n"/>
      <c r="G29" s="104" t="n"/>
      <c r="H29" s="104" t="n"/>
      <c r="I29" s="104" t="n"/>
      <c r="J29" s="104" t="n">
        <v>2947787</v>
      </c>
    </row>
    <row r="30" ht="15" customHeight="1" s="84">
      <c r="A30" s="7" t="inlineStr">
        <is>
          <t>2023-05</t>
        </is>
      </c>
      <c r="B30" s="104" t="n">
        <v>855633</v>
      </c>
      <c r="C30" s="104" t="n">
        <v>8250</v>
      </c>
      <c r="D30" s="104" t="n">
        <v>8020</v>
      </c>
      <c r="E30" s="104" t="n">
        <v>1000</v>
      </c>
      <c r="F30" s="104" t="n"/>
      <c r="G30" s="104" t="n"/>
      <c r="H30" s="104" t="n"/>
      <c r="I30" s="104" t="n"/>
      <c r="J30" s="104" t="n">
        <v>872903</v>
      </c>
    </row>
    <row r="31" ht="15" customHeight="1" s="84">
      <c r="A31" s="7" t="inlineStr">
        <is>
          <t>2023-06</t>
        </is>
      </c>
      <c r="B31" s="104" t="n">
        <v>118779</v>
      </c>
      <c r="C31" s="104" t="n">
        <v>8148</v>
      </c>
      <c r="D31" s="104" t="n">
        <v>7290</v>
      </c>
      <c r="E31" s="104" t="n">
        <v>500</v>
      </c>
      <c r="F31" s="104" t="n"/>
      <c r="G31" s="104" t="n"/>
      <c r="H31" s="104" t="n"/>
      <c r="I31" s="104" t="n">
        <v>2400</v>
      </c>
      <c r="J31" s="104" t="n">
        <v>137117</v>
      </c>
    </row>
    <row r="32" ht="15" customHeight="1" s="84">
      <c r="A32" s="7" t="inlineStr">
        <is>
          <t>2023-07</t>
        </is>
      </c>
      <c r="B32" s="104" t="n">
        <v>3146871</v>
      </c>
      <c r="C32" s="104" t="n">
        <v>7712</v>
      </c>
      <c r="D32" s="104" t="n">
        <v>6815</v>
      </c>
      <c r="E32" s="104" t="n">
        <v>1000</v>
      </c>
      <c r="F32" s="104" t="n"/>
      <c r="G32" s="104" t="n"/>
      <c r="H32" s="104" t="n"/>
      <c r="I32" s="104" t="n">
        <v>28710</v>
      </c>
      <c r="J32" s="104" t="n">
        <v>3191108</v>
      </c>
    </row>
    <row r="33" ht="15" customHeight="1" s="84">
      <c r="A33" s="7" t="inlineStr">
        <is>
          <t>2023-08</t>
        </is>
      </c>
      <c r="B33" s="104" t="n">
        <v>480417</v>
      </c>
      <c r="C33" s="104" t="n">
        <v>8892</v>
      </c>
      <c r="D33" s="104" t="n">
        <v>4660</v>
      </c>
      <c r="E33" s="104" t="n">
        <v>1000</v>
      </c>
      <c r="F33" s="104" t="n"/>
      <c r="G33" s="104" t="n"/>
      <c r="H33" s="104" t="n"/>
      <c r="I33" s="104" t="n">
        <v>18420</v>
      </c>
      <c r="J33" s="104" t="n">
        <v>513389</v>
      </c>
    </row>
    <row r="34" ht="15" customHeight="1" s="84">
      <c r="A34" s="7" t="inlineStr">
        <is>
          <t>2023-09</t>
        </is>
      </c>
      <c r="B34" s="104" t="n">
        <v>75744</v>
      </c>
      <c r="C34" s="104" t="n">
        <v>8388</v>
      </c>
      <c r="D34" s="104" t="n">
        <v>20820</v>
      </c>
      <c r="E34" s="104" t="n">
        <v>1000</v>
      </c>
      <c r="F34" s="104" t="n"/>
      <c r="G34" s="104" t="n"/>
      <c r="H34" s="104" t="n"/>
      <c r="I34" s="104" t="n">
        <v>120</v>
      </c>
      <c r="J34" s="104" t="n">
        <v>106072</v>
      </c>
    </row>
    <row r="35" ht="15" customHeight="1" s="84">
      <c r="A35" s="7" t="inlineStr">
        <is>
          <t>2023-10</t>
        </is>
      </c>
      <c r="B35" s="104" t="n">
        <v>3466637</v>
      </c>
      <c r="C35" s="104" t="n">
        <v>8514</v>
      </c>
      <c r="D35" s="104" t="n">
        <v>8800</v>
      </c>
      <c r="E35" s="104" t="n">
        <v>2500</v>
      </c>
      <c r="F35" s="104" t="n"/>
      <c r="G35" s="104" t="n"/>
      <c r="H35" s="104" t="n"/>
      <c r="I35" s="104" t="n"/>
      <c r="J35" s="104" t="n">
        <v>3486451</v>
      </c>
    </row>
    <row r="36" ht="15" customHeight="1" s="84">
      <c r="A36" s="7" t="inlineStr">
        <is>
          <t>2023-11</t>
        </is>
      </c>
      <c r="B36" s="104" t="n">
        <v>476505</v>
      </c>
      <c r="C36" s="104" t="n">
        <v>9790</v>
      </c>
      <c r="D36" s="104" t="n">
        <v>10400</v>
      </c>
      <c r="E36" s="104" t="n">
        <v>1500</v>
      </c>
      <c r="F36" s="104" t="n"/>
      <c r="G36" s="104" t="n"/>
      <c r="H36" s="104" t="n"/>
      <c r="I36" s="104" t="n"/>
      <c r="J36" s="104" t="n">
        <v>498195</v>
      </c>
    </row>
    <row r="37" ht="15" customHeight="1" s="84">
      <c r="A37" s="7" t="inlineStr">
        <is>
          <t>2023-12</t>
        </is>
      </c>
      <c r="B37" s="104" t="n">
        <v>15528</v>
      </c>
      <c r="C37" s="104" t="n">
        <v>9124</v>
      </c>
      <c r="D37" s="104" t="n">
        <v>11830</v>
      </c>
      <c r="E37" s="104" t="n">
        <v>3500</v>
      </c>
      <c r="F37" s="104" t="n">
        <v>308</v>
      </c>
      <c r="G37" s="104" t="n"/>
      <c r="H37" s="104" t="n"/>
      <c r="I37" s="104" t="n">
        <v>21900</v>
      </c>
      <c r="J37" s="104" t="n">
        <v>62190</v>
      </c>
    </row>
    <row r="38" ht="15" customHeight="1" s="84">
      <c r="A38" s="7" t="inlineStr">
        <is>
          <t>2024-01</t>
        </is>
      </c>
      <c r="B38" s="104" t="n">
        <v>3609691</v>
      </c>
      <c r="C38" s="104" t="n">
        <v>9088</v>
      </c>
      <c r="D38" s="104" t="n">
        <v>13310</v>
      </c>
      <c r="E38" s="104" t="n">
        <v>1500</v>
      </c>
      <c r="F38" s="104" t="n"/>
      <c r="G38" s="104" t="n"/>
      <c r="H38" s="104" t="n"/>
      <c r="I38" s="104" t="n"/>
      <c r="J38" s="104" t="n">
        <v>3633589</v>
      </c>
    </row>
    <row r="39" ht="15" customHeight="1" s="84">
      <c r="A39" s="7" t="inlineStr">
        <is>
          <t>2024-02</t>
        </is>
      </c>
      <c r="B39" s="104" t="n">
        <v>284220</v>
      </c>
      <c r="C39" s="104" t="n">
        <v>10032</v>
      </c>
      <c r="D39" s="104" t="n">
        <v>6180</v>
      </c>
      <c r="E39" s="104" t="n">
        <v>1000</v>
      </c>
      <c r="F39" s="104" t="n"/>
      <c r="G39" s="104" t="n"/>
      <c r="H39" s="104" t="n"/>
      <c r="I39" s="104" t="n"/>
      <c r="J39" s="104" t="n">
        <v>301432</v>
      </c>
    </row>
    <row r="40" ht="15" customHeight="1" s="84">
      <c r="A40" s="7" t="inlineStr">
        <is>
          <t>2024-03</t>
        </is>
      </c>
      <c r="B40" s="104" t="n">
        <v>28980</v>
      </c>
      <c r="C40" s="104" t="n">
        <v>8868</v>
      </c>
      <c r="D40" s="104" t="n"/>
      <c r="E40" s="104" t="n"/>
      <c r="F40" s="104" t="n"/>
      <c r="G40" s="104" t="n"/>
      <c r="H40" s="104" t="n"/>
      <c r="I40" s="104" t="n"/>
      <c r="J40" s="104" t="n">
        <v>37848</v>
      </c>
    </row>
    <row r="41" ht="15" customHeight="1" s="84">
      <c r="A41" s="7" t="inlineStr">
        <is>
          <t>2024-04</t>
        </is>
      </c>
      <c r="B41" s="104" t="n">
        <v>3071838</v>
      </c>
      <c r="C41" s="104" t="n">
        <v>9681</v>
      </c>
      <c r="D41" s="104" t="n">
        <v>19800</v>
      </c>
      <c r="E41" s="104" t="n">
        <v>4000</v>
      </c>
      <c r="F41" s="104" t="n"/>
      <c r="G41" s="104" t="n"/>
      <c r="H41" s="104" t="n"/>
      <c r="I41" s="104" t="n">
        <v>16720</v>
      </c>
      <c r="J41" s="104" t="n">
        <v>3122039</v>
      </c>
    </row>
    <row r="42" ht="15" customHeight="1" s="84">
      <c r="A42" s="7" t="inlineStr">
        <is>
          <t>2024-05</t>
        </is>
      </c>
      <c r="B42" s="104" t="n">
        <v>673380</v>
      </c>
      <c r="C42" s="104" t="n">
        <v>10341</v>
      </c>
      <c r="D42" s="104" t="n">
        <v>11360</v>
      </c>
      <c r="E42" s="104" t="n">
        <v>1500</v>
      </c>
      <c r="F42" s="104" t="n"/>
      <c r="G42" s="104" t="n"/>
      <c r="H42" s="104" t="n"/>
      <c r="I42" s="104" t="n"/>
      <c r="J42" s="104" t="n">
        <v>696581</v>
      </c>
    </row>
    <row r="43" ht="15" customHeight="1" s="84">
      <c r="A43" s="7" t="inlineStr">
        <is>
          <t>2024-06</t>
        </is>
      </c>
      <c r="B43" s="104" t="n">
        <v>100986</v>
      </c>
      <c r="C43" s="104" t="n">
        <v>10449</v>
      </c>
      <c r="D43" s="104" t="n">
        <v>10750</v>
      </c>
      <c r="E43" s="104" t="n">
        <v>1500</v>
      </c>
      <c r="F43" s="104" t="n"/>
      <c r="G43" s="104" t="n"/>
      <c r="H43" s="104" t="n"/>
      <c r="I43" s="104" t="n"/>
      <c r="J43" s="104" t="n">
        <v>123685</v>
      </c>
    </row>
    <row r="44" ht="15" customHeight="1" s="84">
      <c r="A44" s="7" t="inlineStr">
        <is>
          <t>2024-07</t>
        </is>
      </c>
      <c r="B44" s="104" t="n">
        <v>3374370</v>
      </c>
      <c r="C44" s="104" t="n">
        <v>9632</v>
      </c>
      <c r="D44" s="104" t="n">
        <v>8080</v>
      </c>
      <c r="E44" s="104" t="n">
        <v>3000</v>
      </c>
      <c r="F44" s="104" t="n"/>
      <c r="G44" s="104" t="n"/>
      <c r="H44" s="104" t="n"/>
      <c r="I44" s="104" t="n">
        <v>21780</v>
      </c>
      <c r="J44" s="104" t="n">
        <v>3416862</v>
      </c>
    </row>
    <row r="45" ht="15" customHeight="1" s="84">
      <c r="A45" s="7" t="inlineStr">
        <is>
          <t>2024-08</t>
        </is>
      </c>
      <c r="B45" s="104" t="n">
        <v>442743</v>
      </c>
      <c r="C45" s="104" t="n">
        <v>11030</v>
      </c>
      <c r="D45" s="104" t="n">
        <v>10340</v>
      </c>
      <c r="E45" s="104" t="n">
        <v>2500</v>
      </c>
      <c r="F45" s="104" t="n"/>
      <c r="G45" s="104" t="n"/>
      <c r="H45" s="104" t="n"/>
      <c r="I45" s="104" t="n">
        <v>26430</v>
      </c>
      <c r="J45" s="104" t="n">
        <v>493043</v>
      </c>
    </row>
    <row r="46" ht="15" customHeight="1" s="84">
      <c r="A46" s="7" t="inlineStr">
        <is>
          <t>2024-09</t>
        </is>
      </c>
      <c r="B46" s="104" t="n">
        <v>53937</v>
      </c>
      <c r="C46" s="104" t="n">
        <v>10290</v>
      </c>
      <c r="D46" s="104" t="n">
        <v>12450</v>
      </c>
      <c r="E46" s="104" t="n">
        <v>3500</v>
      </c>
      <c r="F46" s="104" t="n"/>
      <c r="G46" s="104" t="n"/>
      <c r="H46" s="104" t="n"/>
      <c r="I46" s="104" t="n">
        <v>4020</v>
      </c>
      <c r="J46" s="104" t="n">
        <v>84197</v>
      </c>
    </row>
    <row r="47" ht="15" customHeight="1" s="84">
      <c r="A47" s="7" t="inlineStr">
        <is>
          <t>2024-11</t>
        </is>
      </c>
      <c r="B47" s="104" t="n">
        <v>305373</v>
      </c>
      <c r="C47" s="104" t="n">
        <v>11217</v>
      </c>
      <c r="D47" s="104" t="n">
        <v>19460</v>
      </c>
      <c r="E47" s="104" t="n">
        <v>5000</v>
      </c>
      <c r="F47" s="104" t="n"/>
      <c r="G47" s="104" t="n"/>
      <c r="H47" s="104" t="n"/>
      <c r="I47" s="104" t="n"/>
      <c r="J47" s="104" t="n">
        <v>341050</v>
      </c>
    </row>
    <row r="48" ht="15" customHeight="1" s="84">
      <c r="A48" s="7" t="inlineStr">
        <is>
          <t>2024-12</t>
        </is>
      </c>
      <c r="B48" s="104" t="n">
        <v>111621</v>
      </c>
      <c r="C48" s="104" t="n">
        <v>10640</v>
      </c>
      <c r="D48" s="104" t="n">
        <v>11380</v>
      </c>
      <c r="E48" s="104" t="n">
        <v>3500</v>
      </c>
      <c r="F48" s="104" t="n"/>
      <c r="G48" s="104" t="n"/>
      <c r="H48" s="104" t="n"/>
      <c r="I48" s="104" t="n"/>
      <c r="J48" s="104" t="n">
        <v>137141</v>
      </c>
    </row>
    <row r="49" ht="15" customHeight="1" s="84">
      <c r="A49" s="7" t="inlineStr">
        <is>
          <t>2025-01</t>
        </is>
      </c>
      <c r="B49" s="104" t="n">
        <v>1824402</v>
      </c>
      <c r="C49" s="104" t="n">
        <v>7342</v>
      </c>
      <c r="D49" s="104" t="n">
        <v>7980</v>
      </c>
      <c r="E49" s="104" t="n">
        <v>3500</v>
      </c>
      <c r="F49" s="104" t="n"/>
      <c r="G49" s="104" t="n"/>
      <c r="H49" s="104" t="n"/>
      <c r="I49" s="104" t="n"/>
      <c r="J49" s="104" t="n">
        <v>1843224</v>
      </c>
    </row>
    <row r="50" ht="15" customHeight="1" s="84">
      <c r="A50" s="7" t="inlineStr">
        <is>
          <t>2025-02</t>
        </is>
      </c>
      <c r="B50" s="104" t="n">
        <v>1639314</v>
      </c>
      <c r="C50" s="104" t="n">
        <v>10456</v>
      </c>
      <c r="D50" s="104" t="n"/>
      <c r="E50" s="104" t="n"/>
      <c r="F50" s="104" t="n"/>
      <c r="G50" s="104" t="n"/>
      <c r="H50" s="104" t="n"/>
      <c r="I50" s="104" t="n"/>
      <c r="J50" s="104" t="n">
        <v>1649770</v>
      </c>
    </row>
    <row r="51" ht="15" customHeight="1" s="84">
      <c r="A51" s="7" t="inlineStr">
        <is>
          <t>2025-03</t>
        </is>
      </c>
      <c r="B51" s="104" t="n">
        <v>128328</v>
      </c>
      <c r="C51" s="104" t="n">
        <v>12348</v>
      </c>
      <c r="D51" s="104" t="n">
        <v>9410</v>
      </c>
      <c r="E51" s="104" t="n">
        <v>4000</v>
      </c>
      <c r="F51" s="104" t="n"/>
      <c r="G51" s="104" t="n"/>
      <c r="H51" s="104" t="n"/>
      <c r="I51" s="104" t="n"/>
      <c r="J51" s="104" t="n">
        <v>154086</v>
      </c>
    </row>
    <row r="52" ht="15" customHeight="1" s="84">
      <c r="A52" s="7" t="inlineStr">
        <is>
          <t>2025-04</t>
        </is>
      </c>
      <c r="B52" s="104" t="n">
        <v>2459034</v>
      </c>
      <c r="C52" s="104" t="n">
        <v>10027</v>
      </c>
      <c r="D52" s="104" t="n">
        <v>9520</v>
      </c>
      <c r="E52" s="104" t="n">
        <v>2500</v>
      </c>
      <c r="F52" s="104" t="n"/>
      <c r="G52" s="104" t="n"/>
      <c r="H52" s="104" t="n"/>
      <c r="I52" s="104" t="n"/>
      <c r="J52" s="104" t="n">
        <v>2481081</v>
      </c>
    </row>
    <row r="53" ht="15" customHeight="1" s="84">
      <c r="A53" s="7" t="inlineStr">
        <is>
          <t>2025-05</t>
        </is>
      </c>
      <c r="B53" s="104" t="n">
        <v>1448643</v>
      </c>
      <c r="C53" s="104" t="n">
        <v>9946</v>
      </c>
      <c r="D53" s="104" t="n">
        <v>21650</v>
      </c>
      <c r="E53" s="104" t="n">
        <v>3000</v>
      </c>
      <c r="F53" s="104" t="n"/>
      <c r="G53" s="104" t="n"/>
      <c r="H53" s="104" t="n"/>
      <c r="I53" s="104" t="n"/>
      <c r="J53" s="104" t="n">
        <v>1483239</v>
      </c>
    </row>
    <row r="54" ht="15" customHeight="1" s="84">
      <c r="A54" s="7" t="inlineStr">
        <is>
          <t>2025-06</t>
        </is>
      </c>
      <c r="B54" s="104" t="n">
        <v>110625</v>
      </c>
      <c r="C54" s="104" t="n">
        <v>10319</v>
      </c>
      <c r="D54" s="104" t="n">
        <v>6050</v>
      </c>
      <c r="E54" s="104" t="n">
        <v>2000</v>
      </c>
      <c r="F54" s="104" t="n"/>
      <c r="G54" s="104" t="n"/>
      <c r="H54" s="104" t="n"/>
      <c r="I54" s="104" t="n"/>
      <c r="J54" s="104" t="n">
        <v>128994</v>
      </c>
    </row>
    <row r="55" ht="15" customHeight="1" s="84">
      <c r="A55" s="7" t="inlineStr">
        <is>
          <t>2025-07</t>
        </is>
      </c>
      <c r="B55" s="104" t="n">
        <v>2087811</v>
      </c>
      <c r="C55" s="104" t="n">
        <v>8836</v>
      </c>
      <c r="D55" s="104" t="n">
        <v>17210</v>
      </c>
      <c r="E55" s="104" t="n">
        <v>1000</v>
      </c>
      <c r="F55" s="104" t="n"/>
      <c r="G55" s="104" t="n"/>
      <c r="H55" s="104" t="n"/>
      <c r="I55" s="104" t="n">
        <v>5026574</v>
      </c>
      <c r="J55" s="104" t="n">
        <v>7141431</v>
      </c>
    </row>
    <row r="56" ht="15" customHeight="1" s="84">
      <c r="A56" s="7" t="inlineStr">
        <is>
          <t>2025-08</t>
        </is>
      </c>
      <c r="B56" s="104" t="n">
        <v>1558284</v>
      </c>
      <c r="C56" s="104" t="n">
        <v>9057</v>
      </c>
      <c r="D56" s="104" t="n">
        <v>10150</v>
      </c>
      <c r="E56" s="104" t="n">
        <v>3500</v>
      </c>
      <c r="F56" s="104" t="n"/>
      <c r="G56" s="104" t="n">
        <v>20000</v>
      </c>
      <c r="H56" s="104" t="n"/>
      <c r="I56" s="104" t="n">
        <v>89600</v>
      </c>
      <c r="J56" s="104" t="n">
        <v>1690591</v>
      </c>
    </row>
    <row r="57" ht="15" customHeight="1" s="84">
      <c r="A57" s="7" t="inlineStr">
        <is>
          <t>2025-09</t>
        </is>
      </c>
      <c r="B57" s="104" t="n">
        <v>88322</v>
      </c>
      <c r="C57" s="104" t="n">
        <v>8755</v>
      </c>
      <c r="D57" s="104" t="n">
        <v>12760</v>
      </c>
      <c r="E57" s="104" t="n">
        <v>1000</v>
      </c>
      <c r="F57" s="104" t="n"/>
      <c r="G57" s="104" t="n">
        <v>80000</v>
      </c>
      <c r="H57" s="104" t="n"/>
      <c r="I57" s="104" t="n">
        <v>142017</v>
      </c>
      <c r="J57" s="104" t="n">
        <v>332854</v>
      </c>
    </row>
    <row r="58" ht="15" customHeight="1" s="84">
      <c r="A58" s="7" t="inlineStr">
        <is>
          <t>2025-10</t>
        </is>
      </c>
      <c r="B58" s="104" t="n">
        <v>2462318</v>
      </c>
      <c r="C58" s="104" t="n">
        <v>7526</v>
      </c>
      <c r="D58" s="104" t="n">
        <v>8100</v>
      </c>
      <c r="E58" s="104" t="n">
        <v>2500</v>
      </c>
      <c r="F58" s="104" t="n"/>
      <c r="G58" s="104" t="n"/>
      <c r="H58" s="104" t="n"/>
      <c r="I58" s="104" t="n"/>
      <c r="J58" s="104" t="n">
        <v>2480444</v>
      </c>
    </row>
    <row r="59" ht="15" customHeight="1" s="84">
      <c r="A59" s="7" t="inlineStr">
        <is>
          <t>2025-11</t>
        </is>
      </c>
      <c r="B59" s="104" t="n">
        <v>1457330</v>
      </c>
      <c r="C59" s="104" t="n">
        <v>7338</v>
      </c>
      <c r="D59" s="104" t="n">
        <v>10720</v>
      </c>
      <c r="E59" s="104" t="n">
        <v>2500</v>
      </c>
      <c r="F59" s="104" t="n"/>
      <c r="G59" s="104" t="n">
        <v>60000</v>
      </c>
      <c r="H59" s="104" t="n"/>
      <c r="I59" s="104" t="n">
        <v>161370</v>
      </c>
      <c r="J59" s="104" t="n">
        <v>1699258</v>
      </c>
    </row>
    <row r="60" ht="15" customHeight="1" s="84">
      <c r="A60" s="7" t="inlineStr">
        <is>
          <t>2025-12</t>
        </is>
      </c>
      <c r="B60" s="104" t="n">
        <v>1257126</v>
      </c>
      <c r="C60" s="104" t="n">
        <v>14940</v>
      </c>
      <c r="D60" s="104" t="n">
        <v>13220</v>
      </c>
      <c r="E60" s="104" t="n">
        <v>3000</v>
      </c>
      <c r="F60" s="104" t="n"/>
      <c r="G60" s="104" t="n">
        <v>20000</v>
      </c>
      <c r="H60" s="104" t="n"/>
      <c r="I60" s="104" t="n">
        <v>237215</v>
      </c>
      <c r="J60" s="104" t="n">
        <v>1545501</v>
      </c>
    </row>
    <row r="61" ht="15" customHeight="1" s="84">
      <c r="A61" s="7" t="inlineStr">
        <is>
          <t>2026-01</t>
        </is>
      </c>
      <c r="B61" s="104" t="n">
        <v>2877166</v>
      </c>
      <c r="C61" s="104" t="n">
        <v>6488</v>
      </c>
      <c r="D61" s="104" t="n">
        <v>11340</v>
      </c>
      <c r="E61" s="104" t="n">
        <v>1500</v>
      </c>
      <c r="F61" s="104" t="n"/>
      <c r="G61" s="104" t="n">
        <v>20000</v>
      </c>
      <c r="H61" s="104" t="n"/>
      <c r="I61" s="104" t="n"/>
      <c r="J61" s="104" t="n">
        <v>2916494</v>
      </c>
    </row>
    <row r="62" ht="15" customHeight="1" s="84">
      <c r="A62" s="7" t="inlineStr">
        <is>
          <t>2026-02</t>
        </is>
      </c>
      <c r="B62" s="104" t="n">
        <v>1234742</v>
      </c>
      <c r="C62" s="104" t="n">
        <v>6989</v>
      </c>
      <c r="D62" s="104" t="n">
        <v>6520</v>
      </c>
      <c r="E62" s="104" t="n"/>
      <c r="F62" s="104" t="n"/>
      <c r="G62" s="104" t="n"/>
      <c r="H62" s="104" t="n">
        <v>50000</v>
      </c>
      <c r="I62" s="104" t="n"/>
      <c r="J62" s="104" t="n">
        <v>1298251</v>
      </c>
    </row>
    <row r="63" ht="15" customHeight="1" s="84">
      <c r="A63" s="7" t="inlineStr">
        <is>
          <t>2026-03</t>
        </is>
      </c>
      <c r="B63" s="104" t="n">
        <v>1316371</v>
      </c>
      <c r="C63" s="104" t="n">
        <v>7199</v>
      </c>
      <c r="D63" s="104" t="n">
        <v>11560</v>
      </c>
      <c r="E63" s="104" t="n">
        <v>3000</v>
      </c>
      <c r="F63" s="104" t="n">
        <v>15095</v>
      </c>
      <c r="G63" s="104" t="n"/>
      <c r="H63" s="104" t="n">
        <v>36</v>
      </c>
      <c r="I63" s="104" t="n"/>
      <c r="J63" s="104" t="n">
        <v>1353261</v>
      </c>
    </row>
    <row r="64" ht="15" customHeight="1" s="84">
      <c r="A64" s="7" t="inlineStr">
        <is>
          <t>2026-04</t>
        </is>
      </c>
      <c r="B64" s="104" t="n">
        <v>3114907</v>
      </c>
      <c r="C64" s="104" t="n">
        <v>6301</v>
      </c>
      <c r="D64" s="104" t="n">
        <v>8480</v>
      </c>
      <c r="E64" s="104" t="n">
        <v>60500</v>
      </c>
      <c r="F64" s="104" t="n"/>
      <c r="G64" s="104" t="n">
        <v>20000</v>
      </c>
      <c r="H64" s="104" t="n">
        <v>2289346</v>
      </c>
      <c r="I64" s="104" t="n"/>
      <c r="J64" s="104" t="n">
        <v>5499534</v>
      </c>
    </row>
    <row r="65" ht="15" customHeight="1" s="84">
      <c r="A65" s="10" t="inlineStr">
        <is>
          <t>全期合計</t>
        </is>
      </c>
      <c r="B65" s="106" t="n">
        <v>77300534</v>
      </c>
      <c r="C65" s="106" t="n">
        <v>439938</v>
      </c>
      <c r="D65" s="106" t="n">
        <v>543140</v>
      </c>
      <c r="E65" s="106" t="n">
        <v>196000</v>
      </c>
      <c r="F65" s="106" t="n">
        <v>22403</v>
      </c>
      <c r="G65" s="106" t="n">
        <v>220000</v>
      </c>
      <c r="H65" s="106" t="n">
        <v>2339382</v>
      </c>
      <c r="I65" s="106" t="n">
        <v>9191009</v>
      </c>
      <c r="J65" s="106" t="n">
        <v>90252406</v>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7"/>
  <sheetViews>
    <sheetView zoomScaleNormal="100" workbookViewId="0">
      <pane ySplit="10" topLeftCell="A11" activePane="bottomLeft" state="frozen"/>
      <selection pane="bottomLeft" activeCell="A1" sqref="A1"/>
    </sheetView>
  </sheetViews>
  <sheetFormatPr baseColWidth="10" defaultColWidth="7.83203125" defaultRowHeight="17"/>
  <cols>
    <col width="20" customWidth="1" style="84" min="1" max="1"/>
    <col width="14.5" customWidth="1" style="84" min="2" max="2"/>
    <col width="36.33203125" customWidth="1" style="84" min="3" max="3"/>
    <col width="14.5" customWidth="1" style="84" min="4" max="4"/>
    <col width="9.1640625" customWidth="1" style="84" min="5" max="5"/>
    <col width="12.6640625" customWidth="1" style="84" min="6" max="6"/>
  </cols>
  <sheetData>
    <row r="1" ht="30" customHeight="1" s="84">
      <c r="A1" s="89" t="inlineStr">
        <is>
          <t>議案彙整 — 外牆修繕</t>
        </is>
      </c>
    </row>
    <row r="2" ht="16.5" customHeight="1" s="84">
      <c r="A2" s="88" t="inlineStr">
        <is>
          <t>外牆磁磚修繕系列 (天幕高空 + 蜘蛛人施工 + 坦茂磁磚採購 + 建築師公會鑑定報告)</t>
        </is>
      </c>
    </row>
    <row r="4" ht="15" customHeight="1" s="84">
      <c r="A4" s="90" t="inlineStr">
        <is>
          <t>─── 統計（公式自動計算）───</t>
        </is>
      </c>
    </row>
    <row r="5" ht="18" customHeight="1" s="84">
      <c r="A5" s="1" t="inlineStr">
        <is>
          <t>合計金額 (NT$)</t>
        </is>
      </c>
      <c r="B5" s="116">
        <f>SUMIFS(支出明細!C:C,支出明細!F:F,"外牆修繕")</f>
        <v/>
      </c>
      <c r="D5" s="87" t="inlineStr">
        <is>
          <t>← SUMIFS 公式：sum of C where F='外牆修繕'</t>
        </is>
      </c>
    </row>
    <row r="6" ht="15" customHeight="1" s="84">
      <c r="A6" s="1" t="inlineStr">
        <is>
          <t>筆數</t>
        </is>
      </c>
      <c r="B6" s="29">
        <f>COUNTIF(支出明細!F:F,"外牆修繕")</f>
        <v/>
      </c>
      <c r="D6" s="87" t="inlineStr">
        <is>
          <t>← COUNTIF 公式：count of F='外牆修繕'</t>
        </is>
      </c>
    </row>
    <row r="7" ht="15" customHeight="1" s="84">
      <c r="A7" s="1" t="inlineStr">
        <is>
          <t>期間</t>
        </is>
      </c>
      <c r="B7" s="30" t="inlineStr">
        <is>
          <t>2025-07 ~ 2026-04</t>
        </is>
      </c>
      <c r="D7" s="87" t="inlineStr">
        <is>
          <t>← Python pre-compute (min/max month)</t>
        </is>
      </c>
    </row>
    <row r="9" ht="18" customHeight="1" s="84">
      <c r="A9" s="90" t="inlineStr">
        <is>
          <t>─── 明細（每 cell = 「支出明細」 sheet 對應 row 的公式 reference）───</t>
        </is>
      </c>
    </row>
    <row r="10" ht="18" customHeight="1" s="84">
      <c r="A10" s="6" t="inlineStr">
        <is>
          <t>月份</t>
        </is>
      </c>
      <c r="B10" s="6" t="inlineStr">
        <is>
          <t>金額 (NT$)</t>
        </is>
      </c>
      <c r="C10" s="6" t="inlineStr">
        <is>
          <t>工程項目</t>
        </is>
      </c>
      <c r="D10" s="6" t="inlineStr">
        <is>
          <t>分類</t>
        </is>
      </c>
      <c r="E10" s="24" t="inlineStr">
        <is>
          <t>Section</t>
        </is>
      </c>
      <c r="F10" s="24" t="inlineStr">
        <is>
          <t>(支出明細 row #)</t>
        </is>
      </c>
    </row>
    <row r="11" ht="16.5" customHeight="1" s="84">
      <c r="A11" s="7">
        <f>支出明細!A1549</f>
        <v/>
      </c>
      <c r="B11" s="104">
        <f>支出明細!C1549</f>
        <v/>
      </c>
      <c r="C11" s="104">
        <f>支出明細!B1549</f>
        <v/>
      </c>
      <c r="D11" s="104">
        <f>支出明細!D1549</f>
        <v/>
      </c>
      <c r="E11" s="104">
        <f>支出明細!E1549</f>
        <v/>
      </c>
      <c r="F11" s="117" t="n">
        <v>1549</v>
      </c>
    </row>
    <row r="12" ht="16.5" customHeight="1" s="84">
      <c r="A12" s="7">
        <f>支出明細!A1617</f>
        <v/>
      </c>
      <c r="B12" s="104">
        <f>支出明細!C1617</f>
        <v/>
      </c>
      <c r="C12" s="104">
        <f>支出明細!B1617</f>
        <v/>
      </c>
      <c r="D12" s="104">
        <f>支出明細!D1617</f>
        <v/>
      </c>
      <c r="E12" s="104">
        <f>支出明細!E1617</f>
        <v/>
      </c>
      <c r="F12" s="117" t="n">
        <v>1618</v>
      </c>
    </row>
    <row r="13" ht="16.5" customHeight="1" s="84">
      <c r="A13" s="7">
        <f>支出明細!A1578</f>
        <v/>
      </c>
      <c r="B13" s="104">
        <f>支出明細!C1578</f>
        <v/>
      </c>
      <c r="C13" s="104">
        <f>支出明細!B1578</f>
        <v/>
      </c>
      <c r="D13" s="104">
        <f>支出明細!D1578</f>
        <v/>
      </c>
      <c r="E13" s="104">
        <f>支出明細!E1578</f>
        <v/>
      </c>
      <c r="F13" s="117" t="n">
        <v>1579</v>
      </c>
    </row>
    <row r="14" ht="16.5" customHeight="1" s="84">
      <c r="A14" s="7">
        <f>支出明細!A1661</f>
        <v/>
      </c>
      <c r="B14" s="104">
        <f>支出明細!C1661</f>
        <v/>
      </c>
      <c r="C14" s="104">
        <f>支出明細!B1661</f>
        <v/>
      </c>
      <c r="D14" s="104">
        <f>支出明細!D1661</f>
        <v/>
      </c>
      <c r="E14" s="104">
        <f>支出明細!E1661</f>
        <v/>
      </c>
      <c r="F14" s="117" t="n">
        <v>1662</v>
      </c>
    </row>
    <row r="15" ht="16.5" customHeight="1" s="84">
      <c r="A15" s="7">
        <f>支出明細!A1512</f>
        <v/>
      </c>
      <c r="B15" s="104">
        <f>支出明細!C1512</f>
        <v/>
      </c>
      <c r="C15" s="104">
        <f>支出明細!B1512</f>
        <v/>
      </c>
      <c r="D15" s="104">
        <f>支出明細!D1512</f>
        <v/>
      </c>
      <c r="E15" s="104">
        <f>支出明細!E1512</f>
        <v/>
      </c>
      <c r="F15" s="117" t="n">
        <v>1512</v>
      </c>
    </row>
    <row r="16" ht="16.5" customHeight="1" s="84">
      <c r="A16" s="7">
        <f>支出明細!A1858</f>
        <v/>
      </c>
      <c r="B16" s="104">
        <f>支出明細!C1858</f>
        <v/>
      </c>
      <c r="C16" s="104">
        <f>支出明細!B1858</f>
        <v/>
      </c>
      <c r="D16" s="104">
        <f>支出明細!D1858</f>
        <v/>
      </c>
      <c r="E16" s="104">
        <f>支出明細!E1858</f>
        <v/>
      </c>
      <c r="F16" s="117" t="n">
        <v>1859</v>
      </c>
    </row>
    <row r="17" ht="16.5" customHeight="1" s="84">
      <c r="A17" s="7">
        <f>支出明細!A1706</f>
        <v/>
      </c>
      <c r="B17" s="104">
        <f>支出明細!C1706</f>
        <v/>
      </c>
      <c r="C17" s="104">
        <f>支出明細!B1706</f>
        <v/>
      </c>
      <c r="D17" s="104">
        <f>支出明細!D1706</f>
        <v/>
      </c>
      <c r="E17" s="104">
        <f>支出明細!E1706</f>
        <v/>
      </c>
      <c r="F17" s="117" t="n">
        <v>1707</v>
      </c>
    </row>
    <row r="18" ht="16.5" customHeight="1" s="84">
      <c r="A18" s="7">
        <f>支出明細!A1774</f>
        <v/>
      </c>
      <c r="B18" s="104">
        <f>支出明細!C1774</f>
        <v/>
      </c>
      <c r="C18" s="104">
        <f>支出明細!B1774</f>
        <v/>
      </c>
      <c r="D18" s="104">
        <f>支出明細!D1774</f>
        <v/>
      </c>
      <c r="E18" s="104">
        <f>支出明細!E1774</f>
        <v/>
      </c>
      <c r="F18" s="117" t="n">
        <v>1775</v>
      </c>
    </row>
    <row r="19" ht="16.5" customHeight="1" s="84">
      <c r="A19" s="7">
        <f>支出明細!A1702</f>
        <v/>
      </c>
      <c r="B19" s="104">
        <f>支出明細!C1702</f>
        <v/>
      </c>
      <c r="C19" s="104">
        <f>支出明細!B1702</f>
        <v/>
      </c>
      <c r="D19" s="104">
        <f>支出明細!D1702</f>
        <v/>
      </c>
      <c r="E19" s="104">
        <f>支出明細!E1702</f>
        <v/>
      </c>
      <c r="F19" s="117" t="n">
        <v>1703</v>
      </c>
    </row>
    <row r="20" ht="16.5" customHeight="1" s="84">
      <c r="A20" s="7">
        <f>支出明細!A1703</f>
        <v/>
      </c>
      <c r="B20" s="104">
        <f>支出明細!C1703</f>
        <v/>
      </c>
      <c r="C20" s="104">
        <f>支出明細!B1703</f>
        <v/>
      </c>
      <c r="D20" s="104">
        <f>支出明細!D1703</f>
        <v/>
      </c>
      <c r="E20" s="104">
        <f>支出明細!E1703</f>
        <v/>
      </c>
      <c r="F20" s="117" t="n">
        <v>1704</v>
      </c>
    </row>
    <row r="21" ht="16.5" customHeight="1" s="84">
      <c r="A21" s="7">
        <f>支出明細!A1852</f>
        <v/>
      </c>
      <c r="B21" s="104">
        <f>支出明細!C1852</f>
        <v/>
      </c>
      <c r="C21" s="104">
        <f>支出明細!B1852</f>
        <v/>
      </c>
      <c r="D21" s="104">
        <f>支出明細!D1852</f>
        <v/>
      </c>
      <c r="E21" s="104">
        <f>支出明細!E1852</f>
        <v/>
      </c>
      <c r="F21" s="117" t="n">
        <v>1853</v>
      </c>
    </row>
    <row r="22" ht="16.5" customHeight="1" s="84">
      <c r="A22" s="7">
        <f>支出明細!A1631</f>
        <v/>
      </c>
      <c r="B22" s="104">
        <f>支出明細!C1631</f>
        <v/>
      </c>
      <c r="C22" s="104">
        <f>支出明細!B1631</f>
        <v/>
      </c>
      <c r="D22" s="104">
        <f>支出明細!D1631</f>
        <v/>
      </c>
      <c r="E22" s="104">
        <f>支出明細!E1631</f>
        <v/>
      </c>
      <c r="F22" s="117" t="n">
        <v>1632</v>
      </c>
    </row>
    <row r="23" ht="16.5" customHeight="1" s="84">
      <c r="A23" s="7">
        <f>支出明細!A1550</f>
        <v/>
      </c>
      <c r="B23" s="104">
        <f>支出明細!C1550</f>
        <v/>
      </c>
      <c r="C23" s="104">
        <f>支出明細!B1550</f>
        <v/>
      </c>
      <c r="D23" s="104">
        <f>支出明細!D1550</f>
        <v/>
      </c>
      <c r="E23" s="104">
        <f>支出明細!E1550</f>
        <v/>
      </c>
      <c r="F23" s="117" t="n">
        <v>1550</v>
      </c>
    </row>
    <row r="24" ht="16.5" customHeight="1" s="84">
      <c r="A24" s="7">
        <f>支出明細!A1816</f>
        <v/>
      </c>
      <c r="B24" s="104">
        <f>支出明細!C1816</f>
        <v/>
      </c>
      <c r="C24" s="104">
        <f>支出明細!B1816</f>
        <v/>
      </c>
      <c r="D24" s="104">
        <f>支出明細!D1816</f>
        <v/>
      </c>
      <c r="E24" s="104">
        <f>支出明細!E1816</f>
        <v/>
      </c>
      <c r="F24" s="117" t="n">
        <v>1817</v>
      </c>
    </row>
    <row r="25" ht="16.5" customHeight="1" s="84">
      <c r="A25" s="7" t="inlineStr">
        <is>
          <t>明細加總（應 = 上方統計 B5）</t>
        </is>
      </c>
      <c r="B25" s="104">
        <f>SUM(B11:B24)</f>
        <v/>
      </c>
      <c r="C25" s="104" t="n"/>
      <c r="D25" s="104" t="n"/>
      <c r="E25" s="104" t="n"/>
      <c r="F25" s="117" t="n"/>
    </row>
    <row r="26" ht="18" customHeight="1" s="84">
      <c r="A26" s="10" t="inlineStr">
        <is>
          <t>差額 (B5 − 明細加總)</t>
        </is>
      </c>
      <c r="B26" s="118">
        <f>B5-B25</f>
        <v/>
      </c>
      <c r="C26" s="106" t="n"/>
      <c r="D26" s="106" t="inlineStr">
        <is>
          <t>← 應為 0；若 ≠ 0 表示 SUMIFS 抓的 row ≠ 明細列出的 row</t>
        </is>
      </c>
      <c r="E26" s="92" t="n"/>
      <c r="F26" s="93" t="n"/>
    </row>
    <row r="27" ht="15" customHeight="1" s="84">
      <c r="A27" s="86" t="n"/>
      <c r="B27" s="119" t="n"/>
      <c r="D27" s="86" t="n"/>
    </row>
  </sheetData>
  <mergeCells count="8">
    <mergeCell ref="A2:F2"/>
    <mergeCell ref="D5:F5"/>
    <mergeCell ref="A1:F1"/>
    <mergeCell ref="A9:F9"/>
    <mergeCell ref="D26:F26"/>
    <mergeCell ref="A4:F4"/>
    <mergeCell ref="D7:F7"/>
    <mergeCell ref="D6:F6"/>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F24"/>
  <sheetViews>
    <sheetView zoomScaleNormal="100" workbookViewId="0">
      <pane ySplit="10" topLeftCell="A11" activePane="bottomLeft" state="frozen"/>
      <selection pane="bottomLeft" activeCell="A1" sqref="A1"/>
    </sheetView>
  </sheetViews>
  <sheetFormatPr baseColWidth="10" defaultColWidth="7.83203125" defaultRowHeight="17"/>
  <cols>
    <col width="20" customWidth="1" style="84" min="1" max="1"/>
    <col width="14.5" customWidth="1" style="84" min="2" max="2"/>
    <col width="36.33203125" customWidth="1" style="84" min="3" max="3"/>
    <col width="14.5" customWidth="1" style="84" min="4" max="4"/>
    <col width="9.1640625" customWidth="1" style="84" min="5" max="5"/>
    <col width="12.6640625" customWidth="1" style="84" min="6" max="6"/>
  </cols>
  <sheetData>
    <row r="1" ht="30" customHeight="1" s="84">
      <c r="A1" s="95" t="inlineStr">
        <is>
          <t>議案彙整 — 納管</t>
        </is>
      </c>
    </row>
    <row r="2" ht="16.5" customHeight="1" s="84">
      <c r="A2" s="88" t="inlineStr">
        <is>
          <t>汙水管路納管工程 (慈濟路人行道納管 + B3 汙水自動控制系統 + 配管 / 抽水 / 雜項)</t>
        </is>
      </c>
    </row>
    <row r="4" ht="15" customHeight="1" s="84">
      <c r="A4" s="90" t="inlineStr">
        <is>
          <t>─── 統計（公式自動計算）───</t>
        </is>
      </c>
    </row>
    <row r="5" ht="18" customHeight="1" s="84">
      <c r="A5" s="1" t="inlineStr">
        <is>
          <t>合計金額 (NT$)</t>
        </is>
      </c>
      <c r="B5" s="116">
        <f>SUMIFS(支出明細!C:C,支出明細!F:F,"納管")</f>
        <v/>
      </c>
      <c r="D5" s="87" t="inlineStr">
        <is>
          <t>← SUMIFS 公式：sum of C where F='納管'</t>
        </is>
      </c>
    </row>
    <row r="6" ht="15" customHeight="1" s="84">
      <c r="A6" s="1" t="inlineStr">
        <is>
          <t>筆數</t>
        </is>
      </c>
      <c r="B6" s="29">
        <f>COUNTIF(支出明細!F:F,"納管")</f>
        <v/>
      </c>
      <c r="D6" s="87" t="inlineStr">
        <is>
          <t>← COUNTIF 公式：count of F='納管'</t>
        </is>
      </c>
    </row>
    <row r="7" ht="15" customHeight="1" s="84">
      <c r="A7" s="1" t="inlineStr">
        <is>
          <t>期間</t>
        </is>
      </c>
      <c r="B7" s="30" t="inlineStr">
        <is>
          <t>2025-04 ~ 2026-06</t>
        </is>
      </c>
      <c r="D7" s="87" t="inlineStr">
        <is>
          <t>← Python pre-compute (min/max month)</t>
        </is>
      </c>
    </row>
    <row r="9" ht="18" customHeight="1" s="84">
      <c r="A9" s="90" t="inlineStr">
        <is>
          <t>─── 明細（每 cell = 「支出明細」 sheet 對應 row 的公式 reference）───</t>
        </is>
      </c>
    </row>
    <row r="10" ht="18" customHeight="1" s="84">
      <c r="A10" s="6" t="inlineStr">
        <is>
          <t>月份</t>
        </is>
      </c>
      <c r="B10" s="6" t="inlineStr">
        <is>
          <t>金額 (NT$)</t>
        </is>
      </c>
      <c r="C10" s="6" t="inlineStr">
        <is>
          <t>工程項目</t>
        </is>
      </c>
      <c r="D10" s="6" t="inlineStr">
        <is>
          <t>分類</t>
        </is>
      </c>
      <c r="E10" s="24" t="inlineStr">
        <is>
          <t>Section</t>
        </is>
      </c>
      <c r="F10" s="24" t="inlineStr">
        <is>
          <t>(支出明細 row #)</t>
        </is>
      </c>
    </row>
    <row r="11" ht="16.5" customHeight="1" s="84">
      <c r="A11" s="7">
        <f>支出明細!A1503</f>
        <v/>
      </c>
      <c r="B11" s="104">
        <f>支出明細!C1503</f>
        <v/>
      </c>
      <c r="C11" s="104">
        <f>支出明細!B1503</f>
        <v/>
      </c>
      <c r="D11" s="104">
        <f>支出明細!D1503</f>
        <v/>
      </c>
      <c r="E11" s="104">
        <f>支出明細!E1503</f>
        <v/>
      </c>
      <c r="F11" s="117" t="n">
        <v>1503</v>
      </c>
    </row>
    <row r="12" ht="16.5" customHeight="1" s="84">
      <c r="A12" s="7">
        <f>支出明細!A1516</f>
        <v/>
      </c>
      <c r="B12" s="104">
        <f>支出明細!C1516</f>
        <v/>
      </c>
      <c r="C12" s="104">
        <f>支出明細!B1516</f>
        <v/>
      </c>
      <c r="D12" s="104">
        <f>支出明細!D1516</f>
        <v/>
      </c>
      <c r="E12" s="104">
        <f>支出明細!E1516</f>
        <v/>
      </c>
      <c r="F12" s="117" t="n">
        <v>1516</v>
      </c>
    </row>
    <row r="13" ht="16.5" customHeight="1" s="84">
      <c r="A13" s="7">
        <f>支出明細!A1864</f>
        <v/>
      </c>
      <c r="B13" s="104">
        <f>支出明細!C1864</f>
        <v/>
      </c>
      <c r="C13" s="104">
        <f>支出明細!B1864</f>
        <v/>
      </c>
      <c r="D13" s="104">
        <f>支出明細!D1864</f>
        <v/>
      </c>
      <c r="E13" s="104">
        <f>支出明細!E1864</f>
        <v/>
      </c>
      <c r="F13" s="117" t="n">
        <v>1865</v>
      </c>
    </row>
    <row r="14" ht="16.5" customHeight="1" s="84">
      <c r="A14" s="7">
        <f>支出明細!A1856</f>
        <v/>
      </c>
      <c r="B14" s="104">
        <f>支出明細!C1856</f>
        <v/>
      </c>
      <c r="C14" s="104">
        <f>支出明細!B1856</f>
        <v/>
      </c>
      <c r="D14" s="104">
        <f>支出明細!D1856</f>
        <v/>
      </c>
      <c r="E14" s="104">
        <f>支出明細!E1856</f>
        <v/>
      </c>
      <c r="F14" s="117" t="n">
        <v>1857</v>
      </c>
    </row>
    <row r="15" ht="16.5" customHeight="1" s="84">
      <c r="A15" s="7">
        <f>支出明細!A1446</f>
        <v/>
      </c>
      <c r="B15" s="104">
        <f>支出明細!C1446</f>
        <v/>
      </c>
      <c r="C15" s="104">
        <f>支出明細!B1446</f>
        <v/>
      </c>
      <c r="D15" s="104">
        <f>支出明細!D1446</f>
        <v/>
      </c>
      <c r="E15" s="104">
        <f>支出明細!E1446</f>
        <v/>
      </c>
      <c r="F15" s="117" t="n">
        <v>1446</v>
      </c>
    </row>
    <row r="16" ht="16.5" customHeight="1" s="84">
      <c r="A16" s="7">
        <f>支出明細!A1746</f>
        <v/>
      </c>
      <c r="B16" s="104">
        <f>支出明細!C1746</f>
        <v/>
      </c>
      <c r="C16" s="104">
        <f>支出明細!B1746</f>
        <v/>
      </c>
      <c r="D16" s="104">
        <f>支出明細!D1746</f>
        <v/>
      </c>
      <c r="E16" s="104">
        <f>支出明細!E1746</f>
        <v/>
      </c>
      <c r="F16" s="117" t="n">
        <v>1747</v>
      </c>
    </row>
    <row r="17" ht="16.5" customHeight="1" s="84">
      <c r="A17" s="7">
        <f>支出明細!A1416</f>
        <v/>
      </c>
      <c r="B17" s="104">
        <f>支出明細!C1416</f>
        <v/>
      </c>
      <c r="C17" s="104">
        <f>支出明細!B1416</f>
        <v/>
      </c>
      <c r="D17" s="104">
        <f>支出明細!D1416</f>
        <v/>
      </c>
      <c r="E17" s="104">
        <f>支出明細!E1416</f>
        <v/>
      </c>
      <c r="F17" s="117" t="n">
        <v>1416</v>
      </c>
    </row>
    <row r="18" ht="16.5" customHeight="1" s="84">
      <c r="A18" s="7">
        <f>支出明細!A1779</f>
        <v/>
      </c>
      <c r="B18" s="104">
        <f>支出明細!C1779</f>
        <v/>
      </c>
      <c r="C18" s="104">
        <f>支出明細!B1779</f>
        <v/>
      </c>
      <c r="D18" s="104">
        <f>支出明細!D1779</f>
        <v/>
      </c>
      <c r="E18" s="104">
        <f>支出明細!E1779</f>
        <v/>
      </c>
      <c r="F18" s="117" t="n">
        <v>1780</v>
      </c>
    </row>
    <row r="19" ht="16.5" customHeight="1" s="84">
      <c r="A19" s="7">
        <f>支出明細!A1413</f>
        <v/>
      </c>
      <c r="B19" s="104">
        <f>支出明細!C1413</f>
        <v/>
      </c>
      <c r="C19" s="104">
        <f>支出明細!B1413</f>
        <v/>
      </c>
      <c r="D19" s="104">
        <f>支出明細!D1413</f>
        <v/>
      </c>
      <c r="E19" s="104">
        <f>支出明細!E1413</f>
        <v/>
      </c>
      <c r="F19" s="117" t="n">
        <v>1413</v>
      </c>
    </row>
    <row r="20" ht="16.5" customHeight="1" s="84">
      <c r="A20" s="7" t="inlineStr">
        <is>
          <t>明細加總（應 = 上方統計 B5）</t>
        </is>
      </c>
      <c r="B20" s="104">
        <f>SUM(B11:B19)</f>
        <v/>
      </c>
      <c r="C20" s="104" t="n"/>
      <c r="D20" s="104" t="n"/>
      <c r="E20" s="104" t="n"/>
      <c r="F20" s="117" t="n"/>
    </row>
    <row r="21" ht="16.5" customHeight="1" s="84">
      <c r="A21" s="7" t="inlineStr">
        <is>
          <t>差額 (B5 − 明細加總)</t>
        </is>
      </c>
      <c r="B21" s="104">
        <f>B5-B20</f>
        <v/>
      </c>
      <c r="C21" s="104" t="n"/>
      <c r="D21" s="104" t="inlineStr">
        <is>
          <t>← 應為 0；若 ≠ 0 表示 SUMIFS 抓的 row ≠ 明細列出的 row</t>
        </is>
      </c>
      <c r="E21" s="92" t="n"/>
      <c r="F21" s="93" t="n"/>
    </row>
    <row r="22" ht="16.5" customHeight="1" s="84">
      <c r="A22" s="7" t="n"/>
      <c r="B22" s="104" t="n"/>
      <c r="C22" s="104" t="n"/>
      <c r="D22" s="104" t="n"/>
    </row>
    <row r="23" ht="18" customHeight="1" s="84">
      <c r="A23" s="10" t="n"/>
      <c r="B23" s="118" t="n"/>
      <c r="C23" s="106" t="n"/>
      <c r="D23" s="106" t="n"/>
      <c r="E23" s="106" t="n"/>
      <c r="F23" s="106" t="n"/>
    </row>
    <row r="24" ht="15" customHeight="1" s="84">
      <c r="A24" s="86" t="n"/>
      <c r="B24" s="119" t="n"/>
      <c r="D24" s="86" t="n"/>
    </row>
  </sheetData>
  <mergeCells count="8">
    <mergeCell ref="D21:F21"/>
    <mergeCell ref="A2:F2"/>
    <mergeCell ref="D5:F5"/>
    <mergeCell ref="A1:F1"/>
    <mergeCell ref="A9:F9"/>
    <mergeCell ref="A4:F4"/>
    <mergeCell ref="D7:F7"/>
    <mergeCell ref="D6:F6"/>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212"/>
  <sheetViews>
    <sheetView zoomScaleNormal="100" workbookViewId="0">
      <pane ySplit="10" topLeftCell="A11" activePane="bottomLeft" state="frozen"/>
      <selection pane="bottomLeft" activeCell="A1" sqref="A1"/>
    </sheetView>
  </sheetViews>
  <sheetFormatPr baseColWidth="10" defaultColWidth="7.83203125" defaultRowHeight="17"/>
  <cols>
    <col width="20" customWidth="1" style="84" min="1" max="1"/>
    <col width="14.5" customWidth="1" style="84" min="2" max="2"/>
    <col width="36.33203125" customWidth="1" style="84" min="3" max="3"/>
    <col width="14.5" customWidth="1" style="84" min="4" max="4"/>
    <col width="9.1640625" customWidth="1" style="84" min="5" max="5"/>
    <col width="12.6640625" customWidth="1" style="84" min="6" max="6"/>
  </cols>
  <sheetData>
    <row r="1" ht="30" customHeight="1" s="84">
      <c r="A1" s="96" t="inlineStr">
        <is>
          <t>議案彙整 — 電梯</t>
        </is>
      </c>
    </row>
    <row r="2" ht="16.5" customHeight="1" s="84">
      <c r="A2" s="88" t="inlineStr">
        <is>
          <t>電梯議案 (崇友月保養費 + 變頻器/控制板/HCD顯示器/微壓按鈕 等零件修繕) — 排除電梯專用款撥補</t>
        </is>
      </c>
    </row>
    <row r="4" ht="15" customHeight="1" s="84">
      <c r="A4" s="90" t="inlineStr">
        <is>
          <t>─── 統計（公式自動計算）───</t>
        </is>
      </c>
    </row>
    <row r="5" ht="18" customHeight="1" s="84">
      <c r="A5" s="1" t="inlineStr">
        <is>
          <t>合計金額 (NT$)</t>
        </is>
      </c>
      <c r="B5" s="116">
        <f>SUMIFS(支出明細!C:C,支出明細!F:F,"電梯")</f>
        <v/>
      </c>
      <c r="D5" s="87" t="inlineStr">
        <is>
          <t>← SUMIFS 公式：sum of C where F='電梯'</t>
        </is>
      </c>
    </row>
    <row r="6" ht="15" customHeight="1" s="84">
      <c r="A6" s="1" t="inlineStr">
        <is>
          <t>筆數</t>
        </is>
      </c>
      <c r="B6" s="29">
        <f>COUNTIF(支出明細!F:F,"電梯")</f>
        <v/>
      </c>
      <c r="D6" s="87" t="inlineStr">
        <is>
          <t>← COUNTIF 公式：count of F='電梯'</t>
        </is>
      </c>
    </row>
    <row r="7" ht="15" customHeight="1" s="84">
      <c r="A7" s="1" t="inlineStr">
        <is>
          <t>期間</t>
        </is>
      </c>
      <c r="B7" s="30" t="inlineStr">
        <is>
          <t>2021-01 ~ 2026-04</t>
        </is>
      </c>
      <c r="D7" s="87" t="inlineStr">
        <is>
          <t>← Python pre-compute (min/max month)</t>
        </is>
      </c>
    </row>
    <row r="9" ht="18" customHeight="1" s="84">
      <c r="A9" s="90" t="inlineStr">
        <is>
          <t>─── 明細（每 cell = 「支出明細」 sheet 對應 row 的公式 reference）───</t>
        </is>
      </c>
    </row>
    <row r="10" ht="18" customHeight="1" s="84">
      <c r="A10" s="6" t="inlineStr">
        <is>
          <t>月份</t>
        </is>
      </c>
      <c r="B10" s="6" t="inlineStr">
        <is>
          <t>金額 (NT$)</t>
        </is>
      </c>
      <c r="C10" s="6" t="inlineStr">
        <is>
          <t>工程項目</t>
        </is>
      </c>
      <c r="D10" s="6" t="inlineStr">
        <is>
          <t>分類</t>
        </is>
      </c>
      <c r="E10" s="24" t="inlineStr">
        <is>
          <t>Section</t>
        </is>
      </c>
      <c r="F10" s="24" t="inlineStr">
        <is>
          <t>(支出明細 row #)</t>
        </is>
      </c>
    </row>
    <row r="11" ht="16.5" customHeight="1" s="84">
      <c r="A11" s="7">
        <f>支出明細!A687</f>
        <v/>
      </c>
      <c r="B11" s="104">
        <f>支出明細!C687</f>
        <v/>
      </c>
      <c r="C11" s="104">
        <f>支出明細!B687</f>
        <v/>
      </c>
      <c r="D11" s="104">
        <f>支出明細!D687</f>
        <v/>
      </c>
      <c r="E11" s="104">
        <f>支出明細!E687</f>
        <v/>
      </c>
      <c r="F11" s="117" t="n">
        <v>687</v>
      </c>
    </row>
    <row r="12" ht="16.5" customHeight="1" s="84">
      <c r="A12" s="7">
        <f>支出明細!A1176</f>
        <v/>
      </c>
      <c r="B12" s="104">
        <f>支出明細!C1176</f>
        <v/>
      </c>
      <c r="C12" s="104">
        <f>支出明細!B1176</f>
        <v/>
      </c>
      <c r="D12" s="104">
        <f>支出明細!D1176</f>
        <v/>
      </c>
      <c r="E12" s="104">
        <f>支出明細!E1176</f>
        <v/>
      </c>
      <c r="F12" s="117" t="n">
        <v>1176</v>
      </c>
    </row>
    <row r="13" ht="16.5" customHeight="1" s="84">
      <c r="A13" s="7">
        <f>支出明細!A641</f>
        <v/>
      </c>
      <c r="B13" s="104">
        <f>支出明細!C641</f>
        <v/>
      </c>
      <c r="C13" s="104">
        <f>支出明細!B641</f>
        <v/>
      </c>
      <c r="D13" s="104">
        <f>支出明細!D641</f>
        <v/>
      </c>
      <c r="E13" s="104">
        <f>支出明細!E641</f>
        <v/>
      </c>
      <c r="F13" s="117" t="n">
        <v>641</v>
      </c>
    </row>
    <row r="14" ht="16.5" customHeight="1" s="84">
      <c r="A14" s="7">
        <f>支出明細!A800</f>
        <v/>
      </c>
      <c r="B14" s="104">
        <f>支出明細!C800</f>
        <v/>
      </c>
      <c r="C14" s="104">
        <f>支出明細!B800</f>
        <v/>
      </c>
      <c r="D14" s="104">
        <f>支出明細!D800</f>
        <v/>
      </c>
      <c r="E14" s="104">
        <f>支出明細!E800</f>
        <v/>
      </c>
      <c r="F14" s="117" t="n">
        <v>800</v>
      </c>
    </row>
    <row r="15" ht="16.5" customHeight="1" s="84">
      <c r="A15" s="7">
        <f>支出明細!A1434</f>
        <v/>
      </c>
      <c r="B15" s="104">
        <f>支出明細!C1434</f>
        <v/>
      </c>
      <c r="C15" s="104">
        <f>支出明細!B1434</f>
        <v/>
      </c>
      <c r="D15" s="104">
        <f>支出明細!D1434</f>
        <v/>
      </c>
      <c r="E15" s="104">
        <f>支出明細!E1434</f>
        <v/>
      </c>
      <c r="F15" s="117" t="n">
        <v>1434</v>
      </c>
    </row>
    <row r="16" ht="16.5" customHeight="1" s="84">
      <c r="A16" s="7">
        <f>支出明細!A1608</f>
        <v/>
      </c>
      <c r="B16" s="104">
        <f>支出明細!C1608</f>
        <v/>
      </c>
      <c r="C16" s="104">
        <f>支出明細!B1608</f>
        <v/>
      </c>
      <c r="D16" s="104">
        <f>支出明細!D1608</f>
        <v/>
      </c>
      <c r="E16" s="104">
        <f>支出明細!E1608</f>
        <v/>
      </c>
      <c r="F16" s="117" t="n">
        <v>1609</v>
      </c>
    </row>
    <row r="17" ht="16.5" customHeight="1" s="84">
      <c r="A17" s="7">
        <f>支出明細!A168</f>
        <v/>
      </c>
      <c r="B17" s="104">
        <f>支出明細!C168</f>
        <v/>
      </c>
      <c r="C17" s="104">
        <f>支出明細!B168</f>
        <v/>
      </c>
      <c r="D17" s="104">
        <f>支出明細!D168</f>
        <v/>
      </c>
      <c r="E17" s="104">
        <f>支出明細!E168</f>
        <v/>
      </c>
      <c r="F17" s="117" t="n">
        <v>168</v>
      </c>
    </row>
    <row r="18" ht="16.5" customHeight="1" s="84">
      <c r="A18" s="7">
        <f>支出明細!A1443</f>
        <v/>
      </c>
      <c r="B18" s="104">
        <f>支出明細!C1443</f>
        <v/>
      </c>
      <c r="C18" s="104">
        <f>支出明細!B1443</f>
        <v/>
      </c>
      <c r="D18" s="104">
        <f>支出明細!D1443</f>
        <v/>
      </c>
      <c r="E18" s="104">
        <f>支出明細!E1443</f>
        <v/>
      </c>
      <c r="F18" s="117" t="n">
        <v>1443</v>
      </c>
    </row>
    <row r="19" ht="16.5" customHeight="1" s="84">
      <c r="A19" s="7">
        <f>支出明細!A1175</f>
        <v/>
      </c>
      <c r="B19" s="104">
        <f>支出明細!C1175</f>
        <v/>
      </c>
      <c r="C19" s="104">
        <f>支出明細!B1175</f>
        <v/>
      </c>
      <c r="D19" s="104">
        <f>支出明細!D1175</f>
        <v/>
      </c>
      <c r="E19" s="104">
        <f>支出明細!E1175</f>
        <v/>
      </c>
      <c r="F19" s="117" t="n">
        <v>1175</v>
      </c>
    </row>
    <row r="20" ht="16.5" customHeight="1" s="84">
      <c r="A20" s="7">
        <f>支出明細!A1472</f>
        <v/>
      </c>
      <c r="B20" s="104">
        <f>支出明細!C1472</f>
        <v/>
      </c>
      <c r="C20" s="104">
        <f>支出明細!B1472</f>
        <v/>
      </c>
      <c r="D20" s="104">
        <f>支出明細!D1472</f>
        <v/>
      </c>
      <c r="E20" s="104">
        <f>支出明細!E1472</f>
        <v/>
      </c>
      <c r="F20" s="117" t="n">
        <v>1472</v>
      </c>
    </row>
    <row r="21" ht="16.5" customHeight="1" s="84">
      <c r="A21" s="7">
        <f>支出明細!A1541</f>
        <v/>
      </c>
      <c r="B21" s="104">
        <f>支出明細!C1541</f>
        <v/>
      </c>
      <c r="C21" s="104">
        <f>支出明細!B1541</f>
        <v/>
      </c>
      <c r="D21" s="104">
        <f>支出明細!D1541</f>
        <v/>
      </c>
      <c r="E21" s="104">
        <f>支出明細!E1541</f>
        <v/>
      </c>
      <c r="F21" s="117" t="n">
        <v>1541</v>
      </c>
    </row>
    <row r="22" ht="16.5" customHeight="1" s="84">
      <c r="A22" s="7">
        <f>支出明細!A1179</f>
        <v/>
      </c>
      <c r="B22" s="104">
        <f>支出明細!C1179</f>
        <v/>
      </c>
      <c r="C22" s="104">
        <f>支出明細!B1179</f>
        <v/>
      </c>
      <c r="D22" s="104">
        <f>支出明細!D1179</f>
        <v/>
      </c>
      <c r="E22" s="104">
        <f>支出明細!E1179</f>
        <v/>
      </c>
      <c r="F22" s="117" t="n">
        <v>1179</v>
      </c>
    </row>
    <row r="23" ht="16.5" customHeight="1" s="84">
      <c r="A23" s="7">
        <f>支出明細!A1539</f>
        <v/>
      </c>
      <c r="B23" s="104">
        <f>支出明細!C1539</f>
        <v/>
      </c>
      <c r="C23" s="104">
        <f>支出明細!B1539</f>
        <v/>
      </c>
      <c r="D23" s="104">
        <f>支出明細!D1539</f>
        <v/>
      </c>
      <c r="E23" s="104">
        <f>支出明細!E1539</f>
        <v/>
      </c>
      <c r="F23" s="117" t="n">
        <v>1539</v>
      </c>
    </row>
    <row r="24" ht="16.5" customHeight="1" s="84">
      <c r="A24" s="7">
        <f>支出明細!A1408</f>
        <v/>
      </c>
      <c r="B24" s="104">
        <f>支出明細!C1408</f>
        <v/>
      </c>
      <c r="C24" s="104">
        <f>支出明細!B1408</f>
        <v/>
      </c>
      <c r="D24" s="104">
        <f>支出明細!D1408</f>
        <v/>
      </c>
      <c r="E24" s="104">
        <f>支出明細!E1408</f>
        <v/>
      </c>
      <c r="F24" s="117" t="n">
        <v>1408</v>
      </c>
    </row>
    <row r="25" ht="16.5" customHeight="1" s="84">
      <c r="A25" s="7">
        <f>支出明細!A1614</f>
        <v/>
      </c>
      <c r="B25" s="104">
        <f>支出明細!C1614</f>
        <v/>
      </c>
      <c r="C25" s="104">
        <f>支出明細!B1614</f>
        <v/>
      </c>
      <c r="D25" s="104">
        <f>支出明細!D1614</f>
        <v/>
      </c>
      <c r="E25" s="104">
        <f>支出明細!E1614</f>
        <v/>
      </c>
      <c r="F25" s="117" t="n">
        <v>1615</v>
      </c>
    </row>
    <row r="26" ht="16.5" customHeight="1" s="84">
      <c r="A26" s="7">
        <f>支出明細!A1471</f>
        <v/>
      </c>
      <c r="B26" s="104">
        <f>支出明細!C1471</f>
        <v/>
      </c>
      <c r="C26" s="104">
        <f>支出明細!B1471</f>
        <v/>
      </c>
      <c r="D26" s="104">
        <f>支出明細!D1471</f>
        <v/>
      </c>
      <c r="E26" s="104">
        <f>支出明細!E1471</f>
        <v/>
      </c>
      <c r="F26" s="117" t="n">
        <v>1471</v>
      </c>
    </row>
    <row r="27" ht="16.5" customHeight="1" s="84">
      <c r="A27" s="7">
        <f>支出明細!A473</f>
        <v/>
      </c>
      <c r="B27" s="104">
        <f>支出明細!C473</f>
        <v/>
      </c>
      <c r="C27" s="104">
        <f>支出明細!B473</f>
        <v/>
      </c>
      <c r="D27" s="104">
        <f>支出明細!D473</f>
        <v/>
      </c>
      <c r="E27" s="104">
        <f>支出明細!E473</f>
        <v/>
      </c>
      <c r="F27" s="117" t="n">
        <v>473</v>
      </c>
    </row>
    <row r="28" ht="16.5" customHeight="1" s="84">
      <c r="A28" s="7">
        <f>支出明細!A1114</f>
        <v/>
      </c>
      <c r="B28" s="104">
        <f>支出明細!C1114</f>
        <v/>
      </c>
      <c r="C28" s="104">
        <f>支出明細!B1114</f>
        <v/>
      </c>
      <c r="D28" s="104">
        <f>支出明細!D1114</f>
        <v/>
      </c>
      <c r="E28" s="104">
        <f>支出明細!E1114</f>
        <v/>
      </c>
      <c r="F28" s="117" t="n">
        <v>1114</v>
      </c>
    </row>
    <row r="29" ht="16.5" customHeight="1" s="84">
      <c r="A29" s="7">
        <f>支出明細!A131</f>
        <v/>
      </c>
      <c r="B29" s="104">
        <f>支出明細!C131</f>
        <v/>
      </c>
      <c r="C29" s="104">
        <f>支出明細!B131</f>
        <v/>
      </c>
      <c r="D29" s="104">
        <f>支出明細!D131</f>
        <v/>
      </c>
      <c r="E29" s="104">
        <f>支出明細!E131</f>
        <v/>
      </c>
      <c r="F29" s="117" t="n">
        <v>131</v>
      </c>
    </row>
    <row r="30" ht="16.5" customHeight="1" s="84">
      <c r="A30" s="7">
        <f>支出明細!A108</f>
        <v/>
      </c>
      <c r="B30" s="104">
        <f>支出明細!C108</f>
        <v/>
      </c>
      <c r="C30" s="104">
        <f>支出明細!B108</f>
        <v/>
      </c>
      <c r="D30" s="104">
        <f>支出明細!D108</f>
        <v/>
      </c>
      <c r="E30" s="104">
        <f>支出明細!E108</f>
        <v/>
      </c>
      <c r="F30" s="117" t="n">
        <v>108</v>
      </c>
    </row>
    <row r="31" ht="16.5" customHeight="1" s="84">
      <c r="A31" s="7">
        <f>支出明細!A1694</f>
        <v/>
      </c>
      <c r="B31" s="104">
        <f>支出明細!C1694</f>
        <v/>
      </c>
      <c r="C31" s="104">
        <f>支出明細!B1694</f>
        <v/>
      </c>
      <c r="D31" s="104">
        <f>支出明細!D1694</f>
        <v/>
      </c>
      <c r="E31" s="104">
        <f>支出明細!E1694</f>
        <v/>
      </c>
      <c r="F31" s="117" t="n">
        <v>1695</v>
      </c>
    </row>
    <row r="32" ht="16.5" customHeight="1" s="84">
      <c r="A32" s="7">
        <f>支出明細!A1806</f>
        <v/>
      </c>
      <c r="B32" s="104">
        <f>支出明細!C1806</f>
        <v/>
      </c>
      <c r="C32" s="104">
        <f>支出明細!B1806</f>
        <v/>
      </c>
      <c r="D32" s="104">
        <f>支出明細!D1806</f>
        <v/>
      </c>
      <c r="E32" s="104">
        <f>支出明細!E1806</f>
        <v/>
      </c>
      <c r="F32" s="117" t="n">
        <v>1807</v>
      </c>
    </row>
    <row r="33" ht="16.5" customHeight="1" s="84">
      <c r="A33" s="7">
        <f>支出明細!A72</f>
        <v/>
      </c>
      <c r="B33" s="104">
        <f>支出明細!C72</f>
        <v/>
      </c>
      <c r="C33" s="104">
        <f>支出明細!B72</f>
        <v/>
      </c>
      <c r="D33" s="104">
        <f>支出明細!D72</f>
        <v/>
      </c>
      <c r="E33" s="104">
        <f>支出明細!E72</f>
        <v/>
      </c>
      <c r="F33" s="117" t="n">
        <v>72</v>
      </c>
    </row>
    <row r="34" ht="16.5" customHeight="1" s="84">
      <c r="A34" s="7">
        <f>支出明細!A73</f>
        <v/>
      </c>
      <c r="B34" s="104">
        <f>支出明細!C73</f>
        <v/>
      </c>
      <c r="C34" s="104">
        <f>支出明細!B73</f>
        <v/>
      </c>
      <c r="D34" s="104">
        <f>支出明細!D73</f>
        <v/>
      </c>
      <c r="E34" s="104">
        <f>支出明細!E73</f>
        <v/>
      </c>
      <c r="F34" s="117" t="n">
        <v>73</v>
      </c>
    </row>
    <row r="35" ht="16.5" customHeight="1" s="84">
      <c r="A35" s="7">
        <f>支出明細!A965</f>
        <v/>
      </c>
      <c r="B35" s="104">
        <f>支出明細!C965</f>
        <v/>
      </c>
      <c r="C35" s="104">
        <f>支出明細!B965</f>
        <v/>
      </c>
      <c r="D35" s="104">
        <f>支出明細!D965</f>
        <v/>
      </c>
      <c r="E35" s="104">
        <f>支出明細!E965</f>
        <v/>
      </c>
      <c r="F35" s="117" t="n">
        <v>965</v>
      </c>
    </row>
    <row r="36" ht="16.5" customHeight="1" s="84">
      <c r="A36" s="7">
        <f>支出明細!A447</f>
        <v/>
      </c>
      <c r="B36" s="104">
        <f>支出明細!C447</f>
        <v/>
      </c>
      <c r="C36" s="104">
        <f>支出明細!B447</f>
        <v/>
      </c>
      <c r="D36" s="104">
        <f>支出明細!D447</f>
        <v/>
      </c>
      <c r="E36" s="104">
        <f>支出明細!E447</f>
        <v/>
      </c>
      <c r="F36" s="117" t="n">
        <v>447</v>
      </c>
    </row>
    <row r="37" ht="16.5" customHeight="1" s="84">
      <c r="A37" s="7">
        <f>支出明細!A799</f>
        <v/>
      </c>
      <c r="B37" s="104">
        <f>支出明細!C799</f>
        <v/>
      </c>
      <c r="C37" s="104">
        <f>支出明細!B799</f>
        <v/>
      </c>
      <c r="D37" s="104">
        <f>支出明細!D799</f>
        <v/>
      </c>
      <c r="E37" s="104">
        <f>支出明細!E799</f>
        <v/>
      </c>
      <c r="F37" s="117" t="n">
        <v>799</v>
      </c>
    </row>
    <row r="38" ht="16.5" customHeight="1" s="84">
      <c r="A38" s="7">
        <f>支出明細!A388</f>
        <v/>
      </c>
      <c r="B38" s="104">
        <f>支出明細!C388</f>
        <v/>
      </c>
      <c r="C38" s="104">
        <f>支出明細!B388</f>
        <v/>
      </c>
      <c r="D38" s="104">
        <f>支出明細!D388</f>
        <v/>
      </c>
      <c r="E38" s="104">
        <f>支出明細!E388</f>
        <v/>
      </c>
      <c r="F38" s="117" t="n">
        <v>388</v>
      </c>
    </row>
    <row r="39" ht="16.5" customHeight="1" s="84">
      <c r="A39" s="7">
        <f>支出明細!A332</f>
        <v/>
      </c>
      <c r="B39" s="104">
        <f>支出明細!C332</f>
        <v/>
      </c>
      <c r="C39" s="104">
        <f>支出明細!B332</f>
        <v/>
      </c>
      <c r="D39" s="104">
        <f>支出明細!D332</f>
        <v/>
      </c>
      <c r="E39" s="104">
        <f>支出明細!E332</f>
        <v/>
      </c>
      <c r="F39" s="117" t="n">
        <v>332</v>
      </c>
    </row>
    <row r="40" ht="16.5" customHeight="1" s="84">
      <c r="A40" s="7">
        <f>支出明細!A1178</f>
        <v/>
      </c>
      <c r="B40" s="104">
        <f>支出明細!C1178</f>
        <v/>
      </c>
      <c r="C40" s="104">
        <f>支出明細!B1178</f>
        <v/>
      </c>
      <c r="D40" s="104">
        <f>支出明細!D1178</f>
        <v/>
      </c>
      <c r="E40" s="104">
        <f>支出明細!E1178</f>
        <v/>
      </c>
      <c r="F40" s="117" t="n">
        <v>1178</v>
      </c>
    </row>
    <row r="41" ht="16.5" customHeight="1" s="84">
      <c r="A41" s="7">
        <f>支出明細!A1409</f>
        <v/>
      </c>
      <c r="B41" s="104">
        <f>支出明細!C1409</f>
        <v/>
      </c>
      <c r="C41" s="104">
        <f>支出明細!B1409</f>
        <v/>
      </c>
      <c r="D41" s="104">
        <f>支出明細!D1409</f>
        <v/>
      </c>
      <c r="E41" s="104">
        <f>支出明細!E1409</f>
        <v/>
      </c>
      <c r="F41" s="117" t="n">
        <v>1409</v>
      </c>
    </row>
    <row r="42" ht="16.5" customHeight="1" s="84">
      <c r="A42" s="7">
        <f>支出明細!A1671</f>
        <v/>
      </c>
      <c r="B42" s="104">
        <f>支出明細!C1671</f>
        <v/>
      </c>
      <c r="C42" s="104">
        <f>支出明細!B1671</f>
        <v/>
      </c>
      <c r="D42" s="104">
        <f>支出明細!D1671</f>
        <v/>
      </c>
      <c r="E42" s="104">
        <f>支出明細!E1671</f>
        <v/>
      </c>
      <c r="F42" s="117" t="n">
        <v>1672</v>
      </c>
    </row>
    <row r="43" ht="16.5" customHeight="1" s="84">
      <c r="A43" s="7">
        <f>支出明細!A191</f>
        <v/>
      </c>
      <c r="B43" s="104">
        <f>支出明細!C191</f>
        <v/>
      </c>
      <c r="C43" s="104">
        <f>支出明細!B191</f>
        <v/>
      </c>
      <c r="D43" s="104">
        <f>支出明細!D191</f>
        <v/>
      </c>
      <c r="E43" s="104">
        <f>支出明細!E191</f>
        <v/>
      </c>
      <c r="F43" s="117" t="n">
        <v>191</v>
      </c>
    </row>
    <row r="44" ht="16.5" customHeight="1" s="84">
      <c r="A44" s="7">
        <f>支出明細!A582</f>
        <v/>
      </c>
      <c r="B44" s="104">
        <f>支出明細!C582</f>
        <v/>
      </c>
      <c r="C44" s="104">
        <f>支出明細!B582</f>
        <v/>
      </c>
      <c r="D44" s="104">
        <f>支出明細!D582</f>
        <v/>
      </c>
      <c r="E44" s="104">
        <f>支出明細!E582</f>
        <v/>
      </c>
      <c r="F44" s="117" t="n">
        <v>582</v>
      </c>
    </row>
    <row r="45" ht="16.5" customHeight="1" s="84">
      <c r="A45" s="7">
        <f>支出明細!A715</f>
        <v/>
      </c>
      <c r="B45" s="104">
        <f>支出明細!C715</f>
        <v/>
      </c>
      <c r="C45" s="104">
        <f>支出明細!B715</f>
        <v/>
      </c>
      <c r="D45" s="104">
        <f>支出明細!D715</f>
        <v/>
      </c>
      <c r="E45" s="104">
        <f>支出明細!E715</f>
        <v/>
      </c>
      <c r="F45" s="117" t="n">
        <v>715</v>
      </c>
    </row>
    <row r="46" ht="16.5" customHeight="1" s="84">
      <c r="A46" s="7">
        <f>支出明細!A909</f>
        <v/>
      </c>
      <c r="B46" s="104">
        <f>支出明細!C909</f>
        <v/>
      </c>
      <c r="C46" s="104">
        <f>支出明細!B909</f>
        <v/>
      </c>
      <c r="D46" s="104">
        <f>支出明細!D909</f>
        <v/>
      </c>
      <c r="E46" s="104">
        <f>支出明細!E909</f>
        <v/>
      </c>
      <c r="F46" s="117" t="n">
        <v>909</v>
      </c>
    </row>
    <row r="47" ht="16.5" customHeight="1" s="84">
      <c r="A47" s="7">
        <f>支出明細!A611</f>
        <v/>
      </c>
      <c r="B47" s="104">
        <f>支出明細!C611</f>
        <v/>
      </c>
      <c r="C47" s="104">
        <f>支出明細!B611</f>
        <v/>
      </c>
      <c r="D47" s="104">
        <f>支出明細!D611</f>
        <v/>
      </c>
      <c r="E47" s="104">
        <f>支出明細!E611</f>
        <v/>
      </c>
      <c r="F47" s="117" t="n">
        <v>611</v>
      </c>
    </row>
    <row r="48" ht="16.5" customHeight="1" s="84">
      <c r="A48" s="7">
        <f>支出明細!A774</f>
        <v/>
      </c>
      <c r="B48" s="104">
        <f>支出明細!C774</f>
        <v/>
      </c>
      <c r="C48" s="104">
        <f>支出明細!B774</f>
        <v/>
      </c>
      <c r="D48" s="104">
        <f>支出明細!D774</f>
        <v/>
      </c>
      <c r="E48" s="104">
        <f>支出明細!E774</f>
        <v/>
      </c>
      <c r="F48" s="117" t="n">
        <v>774</v>
      </c>
    </row>
    <row r="49" ht="16.5" customHeight="1" s="84">
      <c r="A49" s="7">
        <f>支出明細!A966</f>
        <v/>
      </c>
      <c r="B49" s="104">
        <f>支出明細!C966</f>
        <v/>
      </c>
      <c r="C49" s="104">
        <f>支出明細!B966</f>
        <v/>
      </c>
      <c r="D49" s="104">
        <f>支出明細!D966</f>
        <v/>
      </c>
      <c r="E49" s="104">
        <f>支出明細!E966</f>
        <v/>
      </c>
      <c r="F49" s="117" t="n">
        <v>966</v>
      </c>
    </row>
    <row r="50" ht="16.5" customHeight="1" s="84">
      <c r="A50" s="7">
        <f>支出明細!A1055</f>
        <v/>
      </c>
      <c r="B50" s="104">
        <f>支出明細!C1055</f>
        <v/>
      </c>
      <c r="C50" s="104">
        <f>支出明細!B1055</f>
        <v/>
      </c>
      <c r="D50" s="104">
        <f>支出明細!D1055</f>
        <v/>
      </c>
      <c r="E50" s="104">
        <f>支出明細!E1055</f>
        <v/>
      </c>
      <c r="F50" s="117" t="n">
        <v>1055</v>
      </c>
    </row>
    <row r="51" ht="16.5" customHeight="1" s="84">
      <c r="A51" s="7">
        <f>支出明細!A1350</f>
        <v/>
      </c>
      <c r="B51" s="104">
        <f>支出明細!C1350</f>
        <v/>
      </c>
      <c r="C51" s="104">
        <f>支出明細!B1350</f>
        <v/>
      </c>
      <c r="D51" s="104">
        <f>支出明細!D1350</f>
        <v/>
      </c>
      <c r="E51" s="104">
        <f>支出明細!E1350</f>
        <v/>
      </c>
      <c r="F51" s="117" t="n">
        <v>1350</v>
      </c>
    </row>
    <row r="52" ht="16.5" customHeight="1" s="84">
      <c r="A52" s="7">
        <f>支出明細!A1657</f>
        <v/>
      </c>
      <c r="B52" s="104">
        <f>支出明細!C1657</f>
        <v/>
      </c>
      <c r="C52" s="104">
        <f>支出明細!B1657</f>
        <v/>
      </c>
      <c r="D52" s="104">
        <f>支出明細!D1657</f>
        <v/>
      </c>
      <c r="E52" s="104">
        <f>支出明細!E1657</f>
        <v/>
      </c>
      <c r="F52" s="117" t="n">
        <v>1658</v>
      </c>
    </row>
    <row r="53" ht="16.5" customHeight="1" s="84">
      <c r="A53" s="7">
        <f>支出明細!A1845</f>
        <v/>
      </c>
      <c r="B53" s="104">
        <f>支出明細!C1845</f>
        <v/>
      </c>
      <c r="C53" s="104">
        <f>支出明細!B1845</f>
        <v/>
      </c>
      <c r="D53" s="104">
        <f>支出明細!D1845</f>
        <v/>
      </c>
      <c r="E53" s="104">
        <f>支出明細!E1845</f>
        <v/>
      </c>
      <c r="F53" s="117" t="n">
        <v>1846</v>
      </c>
    </row>
    <row r="54" ht="16.5" customHeight="1" s="84">
      <c r="A54" s="7">
        <f>支出明細!A448</f>
        <v/>
      </c>
      <c r="B54" s="104">
        <f>支出明細!C448</f>
        <v/>
      </c>
      <c r="C54" s="104">
        <f>支出明細!B448</f>
        <v/>
      </c>
      <c r="D54" s="104">
        <f>支出明細!D448</f>
        <v/>
      </c>
      <c r="E54" s="104">
        <f>支出明細!E448</f>
        <v/>
      </c>
      <c r="F54" s="117" t="n">
        <v>448</v>
      </c>
    </row>
    <row r="55" ht="16.5" customHeight="1" s="84">
      <c r="A55" s="7">
        <f>支出明細!A772</f>
        <v/>
      </c>
      <c r="B55" s="104">
        <f>支出明細!C772</f>
        <v/>
      </c>
      <c r="C55" s="104">
        <f>支出明細!B772</f>
        <v/>
      </c>
      <c r="D55" s="104">
        <f>支出明細!D772</f>
        <v/>
      </c>
      <c r="E55" s="104">
        <f>支出明細!E772</f>
        <v/>
      </c>
      <c r="F55" s="117" t="n">
        <v>772</v>
      </c>
    </row>
    <row r="56" ht="16.5" customHeight="1" s="84">
      <c r="A56" s="7">
        <f>支出明細!A995</f>
        <v/>
      </c>
      <c r="B56" s="104">
        <f>支出明細!C995</f>
        <v/>
      </c>
      <c r="C56" s="104">
        <f>支出明細!B995</f>
        <v/>
      </c>
      <c r="D56" s="104">
        <f>支出明細!D995</f>
        <v/>
      </c>
      <c r="E56" s="104">
        <f>支出明細!E995</f>
        <v/>
      </c>
      <c r="F56" s="117" t="n">
        <v>995</v>
      </c>
    </row>
    <row r="57" ht="16.5" customHeight="1" s="84">
      <c r="A57" s="7">
        <f>支出明細!A302</f>
        <v/>
      </c>
      <c r="B57" s="104">
        <f>支出明細!C302</f>
        <v/>
      </c>
      <c r="C57" s="104">
        <f>支出明細!B302</f>
        <v/>
      </c>
      <c r="D57" s="104">
        <f>支出明細!D302</f>
        <v/>
      </c>
      <c r="E57" s="104">
        <f>支出明細!E302</f>
        <v/>
      </c>
      <c r="F57" s="117" t="n">
        <v>302</v>
      </c>
    </row>
    <row r="58" ht="16.5" customHeight="1" s="84">
      <c r="A58" s="7">
        <f>支出明細!A389</f>
        <v/>
      </c>
      <c r="B58" s="104">
        <f>支出明細!C389</f>
        <v/>
      </c>
      <c r="C58" s="104">
        <f>支出明細!B389</f>
        <v/>
      </c>
      <c r="D58" s="104">
        <f>支出明細!D389</f>
        <v/>
      </c>
      <c r="E58" s="104">
        <f>支出明細!E389</f>
        <v/>
      </c>
      <c r="F58" s="117" t="n">
        <v>389</v>
      </c>
    </row>
    <row r="59" ht="16.5" customHeight="1" s="84">
      <c r="A59" s="7">
        <f>支出明細!A1844</f>
        <v/>
      </c>
      <c r="B59" s="104">
        <f>支出明細!C1844</f>
        <v/>
      </c>
      <c r="C59" s="104">
        <f>支出明細!B1844</f>
        <v/>
      </c>
      <c r="D59" s="104">
        <f>支出明細!D1844</f>
        <v/>
      </c>
      <c r="E59" s="104">
        <f>支出明細!E1844</f>
        <v/>
      </c>
      <c r="F59" s="117" t="n">
        <v>1845</v>
      </c>
    </row>
    <row r="60" ht="16.5" customHeight="1" s="84">
      <c r="A60" s="7">
        <f>支出明細!A583</f>
        <v/>
      </c>
      <c r="B60" s="104">
        <f>支出明細!C583</f>
        <v/>
      </c>
      <c r="C60" s="104">
        <f>支出明細!B583</f>
        <v/>
      </c>
      <c r="D60" s="104">
        <f>支出明細!D583</f>
        <v/>
      </c>
      <c r="E60" s="104">
        <f>支出明細!E583</f>
        <v/>
      </c>
      <c r="F60" s="117" t="n">
        <v>583</v>
      </c>
    </row>
    <row r="61" ht="16.5" customHeight="1" s="84">
      <c r="A61" s="7">
        <f>支出明細!A1444</f>
        <v/>
      </c>
      <c r="B61" s="104">
        <f>支出明細!C1444</f>
        <v/>
      </c>
      <c r="C61" s="104">
        <f>支出明細!B1444</f>
        <v/>
      </c>
      <c r="D61" s="104">
        <f>支出明細!D1444</f>
        <v/>
      </c>
      <c r="E61" s="104">
        <f>支出明細!E1444</f>
        <v/>
      </c>
      <c r="F61" s="117" t="n">
        <v>1444</v>
      </c>
    </row>
    <row r="62" ht="16.5" customHeight="1" s="84">
      <c r="A62" s="7">
        <f>支出明細!A911</f>
        <v/>
      </c>
      <c r="B62" s="104">
        <f>支出明細!C911</f>
        <v/>
      </c>
      <c r="C62" s="104">
        <f>支出明細!B911</f>
        <v/>
      </c>
      <c r="D62" s="104">
        <f>支出明細!D911</f>
        <v/>
      </c>
      <c r="E62" s="104">
        <f>支出明細!E911</f>
        <v/>
      </c>
      <c r="F62" s="117" t="n">
        <v>911</v>
      </c>
    </row>
    <row r="63" ht="16.5" customHeight="1" s="84">
      <c r="A63" s="7">
        <f>支出明細!A1277</f>
        <v/>
      </c>
      <c r="B63" s="104">
        <f>支出明細!C1277</f>
        <v/>
      </c>
      <c r="C63" s="104">
        <f>支出明細!B1277</f>
        <v/>
      </c>
      <c r="D63" s="104">
        <f>支出明細!D1277</f>
        <v/>
      </c>
      <c r="E63" s="104">
        <f>支出明細!E1277</f>
        <v/>
      </c>
      <c r="F63" s="117" t="n">
        <v>1277</v>
      </c>
    </row>
    <row r="64" ht="16.5" customHeight="1" s="84">
      <c r="A64" s="7">
        <f>支出明細!A1660</f>
        <v/>
      </c>
      <c r="B64" s="104">
        <f>支出明細!C1660</f>
        <v/>
      </c>
      <c r="C64" s="104">
        <f>支出明細!B1660</f>
        <v/>
      </c>
      <c r="D64" s="104">
        <f>支出明細!D1660</f>
        <v/>
      </c>
      <c r="E64" s="104">
        <f>支出明細!E1660</f>
        <v/>
      </c>
      <c r="F64" s="117" t="n">
        <v>1661</v>
      </c>
    </row>
    <row r="65" ht="16.5" customHeight="1" s="84">
      <c r="A65" s="7">
        <f>支出明細!A912</f>
        <v/>
      </c>
      <c r="B65" s="104">
        <f>支出明細!C912</f>
        <v/>
      </c>
      <c r="C65" s="104">
        <f>支出明細!B912</f>
        <v/>
      </c>
      <c r="D65" s="104">
        <f>支出明細!D912</f>
        <v/>
      </c>
      <c r="E65" s="104">
        <f>支出明細!E912</f>
        <v/>
      </c>
      <c r="F65" s="117" t="n">
        <v>912</v>
      </c>
    </row>
    <row r="66" ht="16.5" customHeight="1" s="84">
      <c r="A66" s="7">
        <f>支出明細!A1571</f>
        <v/>
      </c>
      <c r="B66" s="104">
        <f>支出明細!C1571</f>
        <v/>
      </c>
      <c r="C66" s="104">
        <f>支出明細!B1571</f>
        <v/>
      </c>
      <c r="D66" s="104">
        <f>支出明細!D1571</f>
        <v/>
      </c>
      <c r="E66" s="104">
        <f>支出明細!E1571</f>
        <v/>
      </c>
      <c r="F66" s="117" t="n">
        <v>1571</v>
      </c>
    </row>
    <row r="67" ht="16.5" customHeight="1" s="84">
      <c r="A67" s="7">
        <f>支出明細!A1505</f>
        <v/>
      </c>
      <c r="B67" s="104">
        <f>支出明細!C1505</f>
        <v/>
      </c>
      <c r="C67" s="104">
        <f>支出明細!B1505</f>
        <v/>
      </c>
      <c r="D67" s="104">
        <f>支出明細!D1505</f>
        <v/>
      </c>
      <c r="E67" s="104">
        <f>支出明細!E1505</f>
        <v/>
      </c>
      <c r="F67" s="117" t="n">
        <v>1505</v>
      </c>
    </row>
    <row r="68" ht="16.5" customHeight="1" s="84">
      <c r="A68" s="7">
        <f>支出明細!A222</f>
        <v/>
      </c>
      <c r="B68" s="104">
        <f>支出明細!C222</f>
        <v/>
      </c>
      <c r="C68" s="104">
        <f>支出明細!B222</f>
        <v/>
      </c>
      <c r="D68" s="104">
        <f>支出明細!D222</f>
        <v/>
      </c>
      <c r="E68" s="104">
        <f>支出明細!E222</f>
        <v/>
      </c>
      <c r="F68" s="117" t="n">
        <v>222</v>
      </c>
    </row>
    <row r="69" ht="16.5" customHeight="1" s="84">
      <c r="A69" s="7">
        <f>支出明細!A553</f>
        <v/>
      </c>
      <c r="B69" s="104">
        <f>支出明細!C553</f>
        <v/>
      </c>
      <c r="C69" s="104">
        <f>支出明細!B553</f>
        <v/>
      </c>
      <c r="D69" s="104">
        <f>支出明細!D553</f>
        <v/>
      </c>
      <c r="E69" s="104">
        <f>支出明細!E553</f>
        <v/>
      </c>
      <c r="F69" s="117" t="n">
        <v>553</v>
      </c>
    </row>
    <row r="70" ht="16.5" customHeight="1" s="84">
      <c r="A70" s="7">
        <f>支出明細!A664</f>
        <v/>
      </c>
      <c r="B70" s="104">
        <f>支出明細!C664</f>
        <v/>
      </c>
      <c r="C70" s="104">
        <f>支出明細!B664</f>
        <v/>
      </c>
      <c r="D70" s="104">
        <f>支出明細!D664</f>
        <v/>
      </c>
      <c r="E70" s="104">
        <f>支出明細!E664</f>
        <v/>
      </c>
      <c r="F70" s="117" t="n">
        <v>664</v>
      </c>
    </row>
    <row r="71" ht="16.5" customHeight="1" s="84">
      <c r="A71" s="7">
        <f>支出明細!A665</f>
        <v/>
      </c>
      <c r="B71" s="104">
        <f>支出明細!C665</f>
        <v/>
      </c>
      <c r="C71" s="104">
        <f>支出明細!B665</f>
        <v/>
      </c>
      <c r="D71" s="104">
        <f>支出明細!D665</f>
        <v/>
      </c>
      <c r="E71" s="104">
        <f>支出明細!E665</f>
        <v/>
      </c>
      <c r="F71" s="117" t="n">
        <v>665</v>
      </c>
    </row>
    <row r="72" ht="16.5" customHeight="1" s="84">
      <c r="A72" s="7">
        <f>支出明細!A688</f>
        <v/>
      </c>
      <c r="B72" s="104">
        <f>支出明細!C688</f>
        <v/>
      </c>
      <c r="C72" s="104">
        <f>支出明細!B688</f>
        <v/>
      </c>
      <c r="D72" s="104">
        <f>支出明細!D688</f>
        <v/>
      </c>
      <c r="E72" s="104">
        <f>支出明細!E688</f>
        <v/>
      </c>
      <c r="F72" s="117" t="n">
        <v>688</v>
      </c>
    </row>
    <row r="73" ht="16.5" customHeight="1" s="84">
      <c r="A73" s="7">
        <f>支出明細!A849</f>
        <v/>
      </c>
      <c r="B73" s="104">
        <f>支出明細!C849</f>
        <v/>
      </c>
      <c r="C73" s="104">
        <f>支出明細!B849</f>
        <v/>
      </c>
      <c r="D73" s="104">
        <f>支出明細!D849</f>
        <v/>
      </c>
      <c r="E73" s="104">
        <f>支出明細!E849</f>
        <v/>
      </c>
      <c r="F73" s="117" t="n">
        <v>849</v>
      </c>
    </row>
    <row r="74" ht="16.5" customHeight="1" s="84">
      <c r="A74" s="7">
        <f>支出明細!A1056</f>
        <v/>
      </c>
      <c r="B74" s="104">
        <f>支出明細!C1056</f>
        <v/>
      </c>
      <c r="C74" s="104">
        <f>支出明細!B1056</f>
        <v/>
      </c>
      <c r="D74" s="104">
        <f>支出明細!D1056</f>
        <v/>
      </c>
      <c r="E74" s="104">
        <f>支出明細!E1056</f>
        <v/>
      </c>
      <c r="F74" s="117" t="n">
        <v>1056</v>
      </c>
    </row>
    <row r="75" ht="16.5" customHeight="1" s="84">
      <c r="A75" s="7">
        <f>支出明細!A1057</f>
        <v/>
      </c>
      <c r="B75" s="104">
        <f>支出明細!C1057</f>
        <v/>
      </c>
      <c r="C75" s="104">
        <f>支出明細!B1057</f>
        <v/>
      </c>
      <c r="D75" s="104">
        <f>支出明細!D1057</f>
        <v/>
      </c>
      <c r="E75" s="104">
        <f>支出明細!E1057</f>
        <v/>
      </c>
      <c r="F75" s="117" t="n">
        <v>1057</v>
      </c>
    </row>
    <row r="76" ht="16.5" customHeight="1" s="84">
      <c r="A76" s="7">
        <f>支出明細!A1146</f>
        <v/>
      </c>
      <c r="B76" s="104">
        <f>支出明細!C1146</f>
        <v/>
      </c>
      <c r="C76" s="104">
        <f>支出明細!B1146</f>
        <v/>
      </c>
      <c r="D76" s="104">
        <f>支出明細!D1146</f>
        <v/>
      </c>
      <c r="E76" s="104">
        <f>支出明細!E1146</f>
        <v/>
      </c>
      <c r="F76" s="117" t="n">
        <v>1146</v>
      </c>
    </row>
    <row r="77" ht="16.5" customHeight="1" s="84">
      <c r="A77" s="7">
        <f>支出明細!A1275</f>
        <v/>
      </c>
      <c r="B77" s="104">
        <f>支出明細!C1275</f>
        <v/>
      </c>
      <c r="C77" s="104">
        <f>支出明細!B1275</f>
        <v/>
      </c>
      <c r="D77" s="104">
        <f>支出明細!D1275</f>
        <v/>
      </c>
      <c r="E77" s="104">
        <f>支出明細!E1275</f>
        <v/>
      </c>
      <c r="F77" s="117" t="n">
        <v>1275</v>
      </c>
    </row>
    <row r="78" ht="16.5" customHeight="1" s="84">
      <c r="A78" s="7">
        <f>支出明細!A1611</f>
        <v/>
      </c>
      <c r="B78" s="104">
        <f>支出明細!C1611</f>
        <v/>
      </c>
      <c r="C78" s="104">
        <f>支出明細!B1611</f>
        <v/>
      </c>
      <c r="D78" s="104">
        <f>支出明細!D1611</f>
        <v/>
      </c>
      <c r="E78" s="104">
        <f>支出明細!E1611</f>
        <v/>
      </c>
      <c r="F78" s="117" t="n">
        <v>1612</v>
      </c>
    </row>
    <row r="79" ht="16.5" customHeight="1" s="84">
      <c r="A79" s="7">
        <f>支出明細!A1612</f>
        <v/>
      </c>
      <c r="B79" s="104">
        <f>支出明細!C1612</f>
        <v/>
      </c>
      <c r="C79" s="104">
        <f>支出明細!B1612</f>
        <v/>
      </c>
      <c r="D79" s="104">
        <f>支出明細!D1612</f>
        <v/>
      </c>
      <c r="E79" s="104">
        <f>支出明細!E1612</f>
        <v/>
      </c>
      <c r="F79" s="117" t="n">
        <v>1613</v>
      </c>
    </row>
    <row r="80" ht="16.5" customHeight="1" s="84">
      <c r="A80" s="7">
        <f>支出明細!A132</f>
        <v/>
      </c>
      <c r="B80" s="104">
        <f>支出明細!C132</f>
        <v/>
      </c>
      <c r="C80" s="104">
        <f>支出明細!B132</f>
        <v/>
      </c>
      <c r="D80" s="104">
        <f>支出明細!D132</f>
        <v/>
      </c>
      <c r="E80" s="104">
        <f>支出明細!E132</f>
        <v/>
      </c>
      <c r="F80" s="117" t="n">
        <v>132</v>
      </c>
    </row>
    <row r="81" ht="16.5" customHeight="1" s="84">
      <c r="A81" s="7">
        <f>支出明細!A1083</f>
        <v/>
      </c>
      <c r="B81" s="104">
        <f>支出明細!C1083</f>
        <v/>
      </c>
      <c r="C81" s="104">
        <f>支出明細!B1083</f>
        <v/>
      </c>
      <c r="D81" s="104">
        <f>支出明細!D1083</f>
        <v/>
      </c>
      <c r="E81" s="104">
        <f>支出明細!E1083</f>
        <v/>
      </c>
      <c r="F81" s="117" t="n">
        <v>1083</v>
      </c>
    </row>
    <row r="82" ht="16.5" customHeight="1" s="84">
      <c r="A82" s="7">
        <f>支出明細!A1177</f>
        <v/>
      </c>
      <c r="B82" s="104">
        <f>支出明細!C1177</f>
        <v/>
      </c>
      <c r="C82" s="104">
        <f>支出明細!B1177</f>
        <v/>
      </c>
      <c r="D82" s="104">
        <f>支出明細!D1177</f>
        <v/>
      </c>
      <c r="E82" s="104">
        <f>支出明細!E1177</f>
        <v/>
      </c>
      <c r="F82" s="117" t="n">
        <v>1177</v>
      </c>
    </row>
    <row r="83" ht="16.5" customHeight="1" s="84">
      <c r="A83" s="7">
        <f>支出明細!A1613</f>
        <v/>
      </c>
      <c r="B83" s="104">
        <f>支出明細!C1613</f>
        <v/>
      </c>
      <c r="C83" s="104">
        <f>支出明細!B1613</f>
        <v/>
      </c>
      <c r="D83" s="104">
        <f>支出明細!D1613</f>
        <v/>
      </c>
      <c r="E83" s="104">
        <f>支出明細!E1613</f>
        <v/>
      </c>
      <c r="F83" s="117" t="n">
        <v>1614</v>
      </c>
    </row>
    <row r="84" ht="16.5" customHeight="1" s="84">
      <c r="A84" s="7">
        <f>支出明細!A1808</f>
        <v/>
      </c>
      <c r="B84" s="104">
        <f>支出明細!C1808</f>
        <v/>
      </c>
      <c r="C84" s="104">
        <f>支出明細!B1808</f>
        <v/>
      </c>
      <c r="D84" s="104">
        <f>支出明細!D1808</f>
        <v/>
      </c>
      <c r="E84" s="104">
        <f>支出明細!E1808</f>
        <v/>
      </c>
      <c r="F84" s="117" t="n">
        <v>1809</v>
      </c>
    </row>
    <row r="85" ht="16.5" customHeight="1" s="84">
      <c r="A85" s="7">
        <f>支出明細!A1054</f>
        <v/>
      </c>
      <c r="B85" s="104">
        <f>支出明細!C1054</f>
        <v/>
      </c>
      <c r="C85" s="104">
        <f>支出明細!B1054</f>
        <v/>
      </c>
      <c r="D85" s="104">
        <f>支出明細!D1054</f>
        <v/>
      </c>
      <c r="E85" s="104">
        <f>支出明細!E1054</f>
        <v/>
      </c>
      <c r="F85" s="117" t="n">
        <v>1054</v>
      </c>
    </row>
    <row r="86" ht="16.5" customHeight="1" s="84">
      <c r="A86" s="7">
        <f>支出明細!A1805</f>
        <v/>
      </c>
      <c r="B86" s="104">
        <f>支出明細!C1805</f>
        <v/>
      </c>
      <c r="C86" s="104">
        <f>支出明細!B1805</f>
        <v/>
      </c>
      <c r="D86" s="104">
        <f>支出明細!D1805</f>
        <v/>
      </c>
      <c r="E86" s="104">
        <f>支出明細!E1805</f>
        <v/>
      </c>
      <c r="F86" s="117" t="n">
        <v>1806</v>
      </c>
    </row>
    <row r="87" ht="16.5" customHeight="1" s="84">
      <c r="A87" s="7">
        <f>支出明細!A248</f>
        <v/>
      </c>
      <c r="B87" s="104">
        <f>支出明細!C248</f>
        <v/>
      </c>
      <c r="C87" s="104">
        <f>支出明細!B248</f>
        <v/>
      </c>
      <c r="D87" s="104">
        <f>支出明細!D248</f>
        <v/>
      </c>
      <c r="E87" s="104">
        <f>支出明細!E248</f>
        <v/>
      </c>
      <c r="F87" s="117" t="n">
        <v>248</v>
      </c>
    </row>
    <row r="88" ht="16.5" customHeight="1" s="84">
      <c r="A88" s="7">
        <f>支出明細!A852</f>
        <v/>
      </c>
      <c r="B88" s="104">
        <f>支出明細!C852</f>
        <v/>
      </c>
      <c r="C88" s="104">
        <f>支出明細!B852</f>
        <v/>
      </c>
      <c r="D88" s="104">
        <f>支出明細!D852</f>
        <v/>
      </c>
      <c r="E88" s="104">
        <f>支出明細!E852</f>
        <v/>
      </c>
      <c r="F88" s="117" t="n">
        <v>852</v>
      </c>
    </row>
    <row r="89" ht="16.5" customHeight="1" s="84">
      <c r="A89" s="7">
        <f>支出明細!A219</f>
        <v/>
      </c>
      <c r="B89" s="104">
        <f>支出明細!C219</f>
        <v/>
      </c>
      <c r="C89" s="104">
        <f>支出明細!B219</f>
        <v/>
      </c>
      <c r="D89" s="104">
        <f>支出明細!D219</f>
        <v/>
      </c>
      <c r="E89" s="104">
        <f>支出明細!E219</f>
        <v/>
      </c>
      <c r="F89" s="117" t="n">
        <v>219</v>
      </c>
    </row>
    <row r="90" ht="16.5" customHeight="1" s="84">
      <c r="A90" s="7">
        <f>支出明細!A1841</f>
        <v/>
      </c>
      <c r="B90" s="104">
        <f>支出明細!C1841</f>
        <v/>
      </c>
      <c r="C90" s="104">
        <f>支出明細!B1841</f>
        <v/>
      </c>
      <c r="D90" s="104">
        <f>支出明細!D1841</f>
        <v/>
      </c>
      <c r="E90" s="104">
        <f>支出明細!E1841</f>
        <v/>
      </c>
      <c r="F90" s="117" t="n">
        <v>1842</v>
      </c>
    </row>
    <row r="91" ht="16.5" customHeight="1" s="84">
      <c r="A91" s="7">
        <f>支出明細!A554</f>
        <v/>
      </c>
      <c r="B91" s="104">
        <f>支出明細!C554</f>
        <v/>
      </c>
      <c r="C91" s="104">
        <f>支出明細!B554</f>
        <v/>
      </c>
      <c r="D91" s="104">
        <f>支出明細!D554</f>
        <v/>
      </c>
      <c r="E91" s="104">
        <f>支出明細!E554</f>
        <v/>
      </c>
      <c r="F91" s="117" t="n">
        <v>554</v>
      </c>
    </row>
    <row r="92" ht="16.5" customHeight="1" s="84">
      <c r="A92" s="7">
        <f>支出明細!A1769</f>
        <v/>
      </c>
      <c r="B92" s="104">
        <f>支出明細!C1769</f>
        <v/>
      </c>
      <c r="C92" s="104">
        <f>支出明細!B1769</f>
        <v/>
      </c>
      <c r="D92" s="104">
        <f>支出明細!D1769</f>
        <v/>
      </c>
      <c r="E92" s="104">
        <f>支出明細!E1769</f>
        <v/>
      </c>
      <c r="F92" s="117" t="n">
        <v>1770</v>
      </c>
    </row>
    <row r="93" ht="16.5" customHeight="1" s="84">
      <c r="A93" s="7">
        <f>支出明細!A889</f>
        <v/>
      </c>
      <c r="B93" s="104">
        <f>支出明細!C889</f>
        <v/>
      </c>
      <c r="C93" s="104">
        <f>支出明細!B889</f>
        <v/>
      </c>
      <c r="D93" s="104">
        <f>支出明細!D889</f>
        <v/>
      </c>
      <c r="E93" s="104">
        <f>支出明細!E889</f>
        <v/>
      </c>
      <c r="F93" s="117" t="n">
        <v>889</v>
      </c>
    </row>
    <row r="94" ht="16.5" customHeight="1" s="84">
      <c r="A94" s="7">
        <f>支出明細!A1272</f>
        <v/>
      </c>
      <c r="B94" s="104">
        <f>支出明細!C1272</f>
        <v/>
      </c>
      <c r="C94" s="104">
        <f>支出明細!B1272</f>
        <v/>
      </c>
      <c r="D94" s="104">
        <f>支出明細!D1272</f>
        <v/>
      </c>
      <c r="E94" s="104">
        <f>支出明細!E1272</f>
        <v/>
      </c>
      <c r="F94" s="117" t="n">
        <v>1272</v>
      </c>
    </row>
    <row r="95" ht="16.5" customHeight="1" s="84">
      <c r="A95" s="7">
        <f>支出明細!A1273</f>
        <v/>
      </c>
      <c r="B95" s="104">
        <f>支出明細!C1273</f>
        <v/>
      </c>
      <c r="C95" s="104">
        <f>支出明細!B1273</f>
        <v/>
      </c>
      <c r="D95" s="104">
        <f>支出明細!D1273</f>
        <v/>
      </c>
      <c r="E95" s="104">
        <f>支出明細!E1273</f>
        <v/>
      </c>
      <c r="F95" s="117" t="n">
        <v>1273</v>
      </c>
    </row>
    <row r="96" ht="16.5" customHeight="1" s="84">
      <c r="A96" s="7">
        <f>支出明細!A130</f>
        <v/>
      </c>
      <c r="B96" s="104">
        <f>支出明細!C130</f>
        <v/>
      </c>
      <c r="C96" s="104">
        <f>支出明細!B130</f>
        <v/>
      </c>
      <c r="D96" s="104">
        <f>支出明細!D130</f>
        <v/>
      </c>
      <c r="E96" s="104">
        <f>支出明細!E130</f>
        <v/>
      </c>
      <c r="F96" s="117" t="n">
        <v>130</v>
      </c>
    </row>
    <row r="97" ht="16.5" customHeight="1" s="84">
      <c r="A97" s="7">
        <f>支出明細!A331</f>
        <v/>
      </c>
      <c r="B97" s="104">
        <f>支出明細!C331</f>
        <v/>
      </c>
      <c r="C97" s="104">
        <f>支出明細!B331</f>
        <v/>
      </c>
      <c r="D97" s="104">
        <f>支出明細!D331</f>
        <v/>
      </c>
      <c r="E97" s="104">
        <f>支出明細!E331</f>
        <v/>
      </c>
      <c r="F97" s="117" t="n">
        <v>331</v>
      </c>
    </row>
    <row r="98" ht="16.5" customHeight="1" s="84">
      <c r="A98" s="7">
        <f>支出明細!A301</f>
        <v/>
      </c>
      <c r="B98" s="104">
        <f>支出明細!C301</f>
        <v/>
      </c>
      <c r="C98" s="104">
        <f>支出明細!B301</f>
        <v/>
      </c>
      <c r="D98" s="104">
        <f>支出明細!D301</f>
        <v/>
      </c>
      <c r="E98" s="104">
        <f>支出明細!E301</f>
        <v/>
      </c>
      <c r="F98" s="117" t="n">
        <v>301</v>
      </c>
    </row>
    <row r="99" ht="16.5" customHeight="1" s="84">
      <c r="A99" s="7">
        <f>支出明細!A689</f>
        <v/>
      </c>
      <c r="B99" s="104">
        <f>支出明細!C689</f>
        <v/>
      </c>
      <c r="C99" s="104">
        <f>支出明細!B689</f>
        <v/>
      </c>
      <c r="D99" s="104">
        <f>支出明細!D689</f>
        <v/>
      </c>
      <c r="E99" s="104">
        <f>支出明細!E689</f>
        <v/>
      </c>
      <c r="F99" s="117" t="n">
        <v>689</v>
      </c>
    </row>
    <row r="100" ht="16.5" customHeight="1" s="84">
      <c r="A100" s="7">
        <f>支出明細!A690</f>
        <v/>
      </c>
      <c r="B100" s="104">
        <f>支出明細!C690</f>
        <v/>
      </c>
      <c r="C100" s="104">
        <f>支出明細!B690</f>
        <v/>
      </c>
      <c r="D100" s="104">
        <f>支出明細!D690</f>
        <v/>
      </c>
      <c r="E100" s="104">
        <f>支出明細!E690</f>
        <v/>
      </c>
      <c r="F100" s="117" t="n">
        <v>690</v>
      </c>
    </row>
    <row r="101" ht="16.5" customHeight="1" s="84">
      <c r="A101" s="7">
        <f>支出明細!A691</f>
        <v/>
      </c>
      <c r="B101" s="104">
        <f>支出明細!C691</f>
        <v/>
      </c>
      <c r="C101" s="104">
        <f>支出明細!B691</f>
        <v/>
      </c>
      <c r="D101" s="104">
        <f>支出明細!D691</f>
        <v/>
      </c>
      <c r="E101" s="104">
        <f>支出明細!E691</f>
        <v/>
      </c>
      <c r="F101" s="117" t="n">
        <v>691</v>
      </c>
    </row>
    <row r="102" ht="16.5" customHeight="1" s="84">
      <c r="A102" s="7">
        <f>支出明細!A741</f>
        <v/>
      </c>
      <c r="B102" s="104">
        <f>支出明細!C741</f>
        <v/>
      </c>
      <c r="C102" s="104">
        <f>支出明細!B741</f>
        <v/>
      </c>
      <c r="D102" s="104">
        <f>支出明細!D741</f>
        <v/>
      </c>
      <c r="E102" s="104">
        <f>支出明細!E741</f>
        <v/>
      </c>
      <c r="F102" s="117" t="n">
        <v>741</v>
      </c>
    </row>
    <row r="103" ht="16.5" customHeight="1" s="84">
      <c r="A103" s="7">
        <f>支出明細!A742</f>
        <v/>
      </c>
      <c r="B103" s="104">
        <f>支出明細!C742</f>
        <v/>
      </c>
      <c r="C103" s="104">
        <f>支出明細!B742</f>
        <v/>
      </c>
      <c r="D103" s="104">
        <f>支出明細!D742</f>
        <v/>
      </c>
      <c r="E103" s="104">
        <f>支出明細!E742</f>
        <v/>
      </c>
      <c r="F103" s="117" t="n">
        <v>742</v>
      </c>
    </row>
    <row r="104" ht="16.5" customHeight="1" s="84">
      <c r="A104" s="7">
        <f>支出明細!A824</f>
        <v/>
      </c>
      <c r="B104" s="104">
        <f>支出明細!C824</f>
        <v/>
      </c>
      <c r="C104" s="104">
        <f>支出明細!B824</f>
        <v/>
      </c>
      <c r="D104" s="104">
        <f>支出明細!D824</f>
        <v/>
      </c>
      <c r="E104" s="104">
        <f>支出明細!E824</f>
        <v/>
      </c>
      <c r="F104" s="117" t="n">
        <v>824</v>
      </c>
    </row>
    <row r="105" ht="16.5" customHeight="1" s="84">
      <c r="A105" s="7">
        <f>支出明細!A850</f>
        <v/>
      </c>
      <c r="B105" s="104">
        <f>支出明細!C850</f>
        <v/>
      </c>
      <c r="C105" s="104">
        <f>支出明細!B850</f>
        <v/>
      </c>
      <c r="D105" s="104">
        <f>支出明細!D850</f>
        <v/>
      </c>
      <c r="E105" s="104">
        <f>支出明細!E850</f>
        <v/>
      </c>
      <c r="F105" s="117" t="n">
        <v>850</v>
      </c>
    </row>
    <row r="106" ht="16.5" customHeight="1" s="84">
      <c r="A106" s="7">
        <f>支出明細!A853</f>
        <v/>
      </c>
      <c r="B106" s="104">
        <f>支出明細!C853</f>
        <v/>
      </c>
      <c r="C106" s="104">
        <f>支出明細!B853</f>
        <v/>
      </c>
      <c r="D106" s="104">
        <f>支出明細!D853</f>
        <v/>
      </c>
      <c r="E106" s="104">
        <f>支出明細!E853</f>
        <v/>
      </c>
      <c r="F106" s="117" t="n">
        <v>853</v>
      </c>
    </row>
    <row r="107" ht="16.5" customHeight="1" s="84">
      <c r="A107" s="7">
        <f>支出明細!A992</f>
        <v/>
      </c>
      <c r="B107" s="104">
        <f>支出明細!C992</f>
        <v/>
      </c>
      <c r="C107" s="104">
        <f>支出明細!B992</f>
        <v/>
      </c>
      <c r="D107" s="104">
        <f>支出明細!D992</f>
        <v/>
      </c>
      <c r="E107" s="104">
        <f>支出明細!E992</f>
        <v/>
      </c>
      <c r="F107" s="117" t="n">
        <v>992</v>
      </c>
    </row>
    <row r="108" ht="16.5" customHeight="1" s="84">
      <c r="A108" s="7">
        <f>支出明細!A993</f>
        <v/>
      </c>
      <c r="B108" s="104">
        <f>支出明細!C993</f>
        <v/>
      </c>
      <c r="C108" s="104">
        <f>支出明細!B993</f>
        <v/>
      </c>
      <c r="D108" s="104">
        <f>支出明細!D993</f>
        <v/>
      </c>
      <c r="E108" s="104">
        <f>支出明細!E993</f>
        <v/>
      </c>
      <c r="F108" s="117" t="n">
        <v>993</v>
      </c>
    </row>
    <row r="109" ht="16.5" customHeight="1" s="84">
      <c r="A109" s="7">
        <f>支出明細!A1026</f>
        <v/>
      </c>
      <c r="B109" s="104">
        <f>支出明細!C1026</f>
        <v/>
      </c>
      <c r="C109" s="104">
        <f>支出明細!B1026</f>
        <v/>
      </c>
      <c r="D109" s="104">
        <f>支出明細!D1026</f>
        <v/>
      </c>
      <c r="E109" s="104">
        <f>支出明細!E1026</f>
        <v/>
      </c>
      <c r="F109" s="117" t="n">
        <v>1026</v>
      </c>
    </row>
    <row r="110" ht="16.5" customHeight="1" s="84">
      <c r="A110" s="7">
        <f>支出明細!A1082</f>
        <v/>
      </c>
      <c r="B110" s="104">
        <f>支出明細!C1082</f>
        <v/>
      </c>
      <c r="C110" s="104">
        <f>支出明細!B1082</f>
        <v/>
      </c>
      <c r="D110" s="104">
        <f>支出明細!D1082</f>
        <v/>
      </c>
      <c r="E110" s="104">
        <f>支出明細!E1082</f>
        <v/>
      </c>
      <c r="F110" s="117" t="n">
        <v>1082</v>
      </c>
    </row>
    <row r="111" ht="16.5" customHeight="1" s="84">
      <c r="A111" s="7">
        <f>支出明細!A1111</f>
        <v/>
      </c>
      <c r="B111" s="104">
        <f>支出明細!C1111</f>
        <v/>
      </c>
      <c r="C111" s="104">
        <f>支出明細!B1111</f>
        <v/>
      </c>
      <c r="D111" s="104">
        <f>支出明細!D1111</f>
        <v/>
      </c>
      <c r="E111" s="104">
        <f>支出明細!E1111</f>
        <v/>
      </c>
      <c r="F111" s="117" t="n">
        <v>1111</v>
      </c>
    </row>
    <row r="112" ht="15" customHeight="1" s="84">
      <c r="A112" s="7">
        <f>支出明細!A1113</f>
        <v/>
      </c>
      <c r="B112" s="104">
        <f>支出明細!C1113</f>
        <v/>
      </c>
      <c r="C112" s="104">
        <f>支出明細!B1113</f>
        <v/>
      </c>
      <c r="D112" s="104">
        <f>支出明細!D1113</f>
        <v/>
      </c>
      <c r="E112" s="104">
        <f>支出明細!E1113</f>
        <v/>
      </c>
      <c r="F112" s="117" t="n">
        <v>1113</v>
      </c>
    </row>
    <row r="113" ht="16.5" customHeight="1" s="84">
      <c r="A113" s="7">
        <f>支出明細!A1117</f>
        <v/>
      </c>
      <c r="B113" s="104">
        <f>支出明細!C1117</f>
        <v/>
      </c>
      <c r="C113" s="104">
        <f>支出明細!B1117</f>
        <v/>
      </c>
      <c r="D113" s="104">
        <f>支出明細!D1117</f>
        <v/>
      </c>
      <c r="E113" s="104">
        <f>支出明細!E1117</f>
        <v/>
      </c>
      <c r="F113" s="117" t="n">
        <v>1117</v>
      </c>
    </row>
    <row r="114" ht="16.5" customHeight="1" s="84">
      <c r="A114" s="7">
        <f>支出明細!A1147</f>
        <v/>
      </c>
      <c r="B114" s="104">
        <f>支出明細!C1147</f>
        <v/>
      </c>
      <c r="C114" s="104">
        <f>支出明細!B1147</f>
        <v/>
      </c>
      <c r="D114" s="104">
        <f>支出明細!D1147</f>
        <v/>
      </c>
      <c r="E114" s="104">
        <f>支出明細!E1147</f>
        <v/>
      </c>
      <c r="F114" s="117" t="n">
        <v>1147</v>
      </c>
    </row>
    <row r="115" ht="16.5" customHeight="1" s="84">
      <c r="A115" s="7">
        <f>支出明細!A1274</f>
        <v/>
      </c>
      <c r="B115" s="104">
        <f>支出明細!C1274</f>
        <v/>
      </c>
      <c r="C115" s="104">
        <f>支出明細!B1274</f>
        <v/>
      </c>
      <c r="D115" s="104">
        <f>支出明細!D1274</f>
        <v/>
      </c>
      <c r="E115" s="104">
        <f>支出明細!E1274</f>
        <v/>
      </c>
      <c r="F115" s="117" t="n">
        <v>1274</v>
      </c>
    </row>
    <row r="116" ht="16.5" customHeight="1" s="84">
      <c r="A116" s="7">
        <f>支出明細!A1297</f>
        <v/>
      </c>
      <c r="B116" s="104">
        <f>支出明細!C1297</f>
        <v/>
      </c>
      <c r="C116" s="104">
        <f>支出明細!B1297</f>
        <v/>
      </c>
      <c r="D116" s="104">
        <f>支出明細!D1297</f>
        <v/>
      </c>
      <c r="E116" s="104">
        <f>支出明細!E1297</f>
        <v/>
      </c>
      <c r="F116" s="117" t="n">
        <v>1297</v>
      </c>
    </row>
    <row r="117" ht="16.5" customHeight="1" s="84">
      <c r="A117" s="7">
        <f>支出明細!A1609</f>
        <v/>
      </c>
      <c r="B117" s="104">
        <f>支出明細!C1609</f>
        <v/>
      </c>
      <c r="C117" s="104">
        <f>支出明細!B1609</f>
        <v/>
      </c>
      <c r="D117" s="104">
        <f>支出明細!D1609</f>
        <v/>
      </c>
      <c r="E117" s="104">
        <f>支出明細!E1609</f>
        <v/>
      </c>
      <c r="F117" s="117" t="n">
        <v>1610</v>
      </c>
    </row>
    <row r="118" ht="16.5" customHeight="1" s="84">
      <c r="A118" s="7">
        <f>支出明細!A1610</f>
        <v/>
      </c>
      <c r="B118" s="104">
        <f>支出明細!C1610</f>
        <v/>
      </c>
      <c r="C118" s="104">
        <f>支出明細!B1610</f>
        <v/>
      </c>
      <c r="D118" s="104">
        <f>支出明細!D1610</f>
        <v/>
      </c>
      <c r="E118" s="104">
        <f>支出明細!E1610</f>
        <v/>
      </c>
      <c r="F118" s="117" t="n">
        <v>1611</v>
      </c>
    </row>
    <row r="119" ht="16.5" customHeight="1" s="84">
      <c r="A119" s="7">
        <f>支出明細!A1658</f>
        <v/>
      </c>
      <c r="B119" s="104">
        <f>支出明細!C1658</f>
        <v/>
      </c>
      <c r="C119" s="104">
        <f>支出明細!B1658</f>
        <v/>
      </c>
      <c r="D119" s="104">
        <f>支出明細!D1658</f>
        <v/>
      </c>
      <c r="E119" s="104">
        <f>支出明細!E1658</f>
        <v/>
      </c>
      <c r="F119" s="117" t="n">
        <v>1659</v>
      </c>
    </row>
    <row r="120" ht="16.5" customHeight="1" s="84">
      <c r="A120" s="7">
        <f>支出明細!A1659</f>
        <v/>
      </c>
      <c r="B120" s="104">
        <f>支出明細!C1659</f>
        <v/>
      </c>
      <c r="C120" s="104">
        <f>支出明細!B1659</f>
        <v/>
      </c>
      <c r="D120" s="104">
        <f>支出明細!D1659</f>
        <v/>
      </c>
      <c r="E120" s="104">
        <f>支出明細!E1659</f>
        <v/>
      </c>
      <c r="F120" s="117" t="n">
        <v>1660</v>
      </c>
    </row>
    <row r="121" ht="16.5" customHeight="1" s="84">
      <c r="A121" s="7">
        <f>支出明細!A1768</f>
        <v/>
      </c>
      <c r="B121" s="104">
        <f>支出明細!C1768</f>
        <v/>
      </c>
      <c r="C121" s="104">
        <f>支出明細!B1768</f>
        <v/>
      </c>
      <c r="D121" s="104">
        <f>支出明細!D1768</f>
        <v/>
      </c>
      <c r="E121" s="104">
        <f>支出明細!E1768</f>
        <v/>
      </c>
      <c r="F121" s="117" t="n">
        <v>1769</v>
      </c>
    </row>
    <row r="122" ht="16.5" customHeight="1" s="84">
      <c r="A122" s="7">
        <f>支出明細!A1807</f>
        <v/>
      </c>
      <c r="B122" s="104">
        <f>支出明細!C1807</f>
        <v/>
      </c>
      <c r="C122" s="104">
        <f>支出明細!B1807</f>
        <v/>
      </c>
      <c r="D122" s="104">
        <f>支出明細!D1807</f>
        <v/>
      </c>
      <c r="E122" s="104">
        <f>支出明細!E1807</f>
        <v/>
      </c>
      <c r="F122" s="117" t="n">
        <v>1808</v>
      </c>
    </row>
    <row r="123" ht="16.5" customHeight="1" s="84">
      <c r="A123" s="7">
        <f>支出明細!A1842</f>
        <v/>
      </c>
      <c r="B123" s="104">
        <f>支出明細!C1842</f>
        <v/>
      </c>
      <c r="C123" s="104">
        <f>支出明細!B1842</f>
        <v/>
      </c>
      <c r="D123" s="104">
        <f>支出明細!D1842</f>
        <v/>
      </c>
      <c r="E123" s="104">
        <f>支出明細!E1842</f>
        <v/>
      </c>
      <c r="F123" s="117" t="n">
        <v>1843</v>
      </c>
    </row>
    <row r="124" ht="16.5" customHeight="1" s="84">
      <c r="A124" s="7">
        <f>支出明細!A1843</f>
        <v/>
      </c>
      <c r="B124" s="104">
        <f>支出明細!C1843</f>
        <v/>
      </c>
      <c r="C124" s="104">
        <f>支出明細!B1843</f>
        <v/>
      </c>
      <c r="D124" s="104">
        <f>支出明細!D1843</f>
        <v/>
      </c>
      <c r="E124" s="104">
        <f>支出明細!E1843</f>
        <v/>
      </c>
      <c r="F124" s="117" t="n">
        <v>1844</v>
      </c>
    </row>
    <row r="125" ht="16.5" customHeight="1" s="84">
      <c r="A125" s="7">
        <f>支出明細!A823</f>
        <v/>
      </c>
      <c r="B125" s="104">
        <f>支出明細!C823</f>
        <v/>
      </c>
      <c r="C125" s="104">
        <f>支出明細!B823</f>
        <v/>
      </c>
      <c r="D125" s="104">
        <f>支出明細!D823</f>
        <v/>
      </c>
      <c r="E125" s="104">
        <f>支出明細!E823</f>
        <v/>
      </c>
      <c r="F125" s="117" t="n">
        <v>823</v>
      </c>
    </row>
    <row r="126" ht="16.5" customHeight="1" s="84">
      <c r="A126" s="7">
        <f>支出明細!A991</f>
        <v/>
      </c>
      <c r="B126" s="104">
        <f>支出明細!C991</f>
        <v/>
      </c>
      <c r="C126" s="104">
        <f>支出明細!B991</f>
        <v/>
      </c>
      <c r="D126" s="104">
        <f>支出明細!D991</f>
        <v/>
      </c>
      <c r="E126" s="104">
        <f>支出明細!E991</f>
        <v/>
      </c>
      <c r="F126" s="117" t="n">
        <v>991</v>
      </c>
    </row>
    <row r="127" ht="16.5" customHeight="1" s="84">
      <c r="A127" s="7">
        <f>支出明細!A1241</f>
        <v/>
      </c>
      <c r="B127" s="104">
        <f>支出明細!C1241</f>
        <v/>
      </c>
      <c r="C127" s="104">
        <f>支出明細!B1241</f>
        <v/>
      </c>
      <c r="D127" s="104">
        <f>支出明細!D1241</f>
        <v/>
      </c>
      <c r="E127" s="104">
        <f>支出明細!E1241</f>
        <v/>
      </c>
      <c r="F127" s="117" t="n">
        <v>1241</v>
      </c>
    </row>
    <row r="128" ht="16.5" customHeight="1" s="84">
      <c r="A128" s="7">
        <f>支出明細!A584</f>
        <v/>
      </c>
      <c r="B128" s="104">
        <f>支出明細!C584</f>
        <v/>
      </c>
      <c r="C128" s="104">
        <f>支出明細!B584</f>
        <v/>
      </c>
      <c r="D128" s="104">
        <f>支出明細!D584</f>
        <v/>
      </c>
      <c r="E128" s="104">
        <f>支出明細!E584</f>
        <v/>
      </c>
      <c r="F128" s="117" t="n">
        <v>584</v>
      </c>
    </row>
    <row r="129" ht="16.5" customHeight="1" s="84">
      <c r="A129" s="7">
        <f>支出明細!A1271</f>
        <v/>
      </c>
      <c r="B129" s="104">
        <f>支出明細!C1271</f>
        <v/>
      </c>
      <c r="C129" s="104">
        <f>支出明細!B1271</f>
        <v/>
      </c>
      <c r="D129" s="104">
        <f>支出明細!D1271</f>
        <v/>
      </c>
      <c r="E129" s="104">
        <f>支出明細!E1271</f>
        <v/>
      </c>
      <c r="F129" s="117" t="n">
        <v>1271</v>
      </c>
    </row>
    <row r="130" ht="16.5" customHeight="1" s="84">
      <c r="A130" s="7">
        <f>支出明細!A851</f>
        <v/>
      </c>
      <c r="B130" s="104">
        <f>支出明細!C851</f>
        <v/>
      </c>
      <c r="C130" s="104">
        <f>支出明細!B851</f>
        <v/>
      </c>
      <c r="D130" s="104">
        <f>支出明細!D851</f>
        <v/>
      </c>
      <c r="E130" s="104">
        <f>支出明細!E851</f>
        <v/>
      </c>
      <c r="F130" s="117" t="n">
        <v>851</v>
      </c>
    </row>
    <row r="131" ht="16.5" customHeight="1" s="84">
      <c r="A131" s="7">
        <f>支出明細!A1112</f>
        <v/>
      </c>
      <c r="B131" s="104">
        <f>支出明細!C1112</f>
        <v/>
      </c>
      <c r="C131" s="104">
        <f>支出明細!B1112</f>
        <v/>
      </c>
      <c r="D131" s="104">
        <f>支出明細!D1112</f>
        <v/>
      </c>
      <c r="E131" s="104">
        <f>支出明細!E1112</f>
        <v/>
      </c>
      <c r="F131" s="117" t="n">
        <v>1112</v>
      </c>
    </row>
    <row r="132" ht="16.5" customHeight="1" s="84">
      <c r="A132" s="7">
        <f>支出明細!A1115</f>
        <v/>
      </c>
      <c r="B132" s="104">
        <f>支出明細!C1115</f>
        <v/>
      </c>
      <c r="C132" s="104">
        <f>支出明細!B1115</f>
        <v/>
      </c>
      <c r="D132" s="104">
        <f>支出明細!D1115</f>
        <v/>
      </c>
      <c r="E132" s="104">
        <f>支出明細!E1115</f>
        <v/>
      </c>
      <c r="F132" s="117" t="n">
        <v>1115</v>
      </c>
    </row>
    <row r="133" ht="16.5" customHeight="1" s="84">
      <c r="A133" s="7">
        <f>支出明細!A1442</f>
        <v/>
      </c>
      <c r="B133" s="104">
        <f>支出明細!C1442</f>
        <v/>
      </c>
      <c r="C133" s="104">
        <f>支出明細!B1442</f>
        <v/>
      </c>
      <c r="D133" s="104">
        <f>支出明細!D1442</f>
        <v/>
      </c>
      <c r="E133" s="104">
        <f>支出明細!E1442</f>
        <v/>
      </c>
      <c r="F133" s="117" t="n">
        <v>1442</v>
      </c>
    </row>
    <row r="134" ht="16.5" customHeight="1" s="84">
      <c r="A134" s="7">
        <f>支出明細!A744</f>
        <v/>
      </c>
      <c r="B134" s="104">
        <f>支出明細!C744</f>
        <v/>
      </c>
      <c r="C134" s="104">
        <f>支出明細!B744</f>
        <v/>
      </c>
      <c r="D134" s="104">
        <f>支出明細!D744</f>
        <v/>
      </c>
      <c r="E134" s="104">
        <f>支出明細!E744</f>
        <v/>
      </c>
      <c r="F134" s="117" t="n">
        <v>744</v>
      </c>
    </row>
    <row r="135" ht="16.5" customHeight="1" s="84">
      <c r="A135" s="7">
        <f>支出明細!A1270</f>
        <v/>
      </c>
      <c r="B135" s="104">
        <f>支出明細!C1270</f>
        <v/>
      </c>
      <c r="C135" s="104">
        <f>支出明細!B1270</f>
        <v/>
      </c>
      <c r="D135" s="104">
        <f>支出明細!D1270</f>
        <v/>
      </c>
      <c r="E135" s="104">
        <f>支出明細!E1270</f>
        <v/>
      </c>
      <c r="F135" s="117" t="n">
        <v>1270</v>
      </c>
    </row>
    <row r="136" ht="16.5" customHeight="1" s="84">
      <c r="A136" s="7">
        <f>支出明細!A1182</f>
        <v/>
      </c>
      <c r="B136" s="104">
        <f>支出明細!C1182</f>
        <v/>
      </c>
      <c r="C136" s="104">
        <f>支出明細!B1182</f>
        <v/>
      </c>
      <c r="D136" s="104">
        <f>支出明細!D1182</f>
        <v/>
      </c>
      <c r="E136" s="104">
        <f>支出明細!E1182</f>
        <v/>
      </c>
      <c r="F136" s="117" t="n">
        <v>1182</v>
      </c>
    </row>
    <row r="137" ht="16.5" customHeight="1" s="84">
      <c r="A137" s="7">
        <f>支出明細!A994</f>
        <v/>
      </c>
      <c r="B137" s="104">
        <f>支出明細!C994</f>
        <v/>
      </c>
      <c r="C137" s="104">
        <f>支出明細!B994</f>
        <v/>
      </c>
      <c r="D137" s="104">
        <f>支出明細!D994</f>
        <v/>
      </c>
      <c r="E137" s="104">
        <f>支出明細!E994</f>
        <v/>
      </c>
      <c r="F137" s="117" t="n">
        <v>994</v>
      </c>
    </row>
    <row r="138" ht="16.5" customHeight="1" s="84">
      <c r="A138" s="7">
        <f>支出明細!A18</f>
        <v/>
      </c>
      <c r="B138" s="104">
        <f>支出明細!C18</f>
        <v/>
      </c>
      <c r="C138" s="104">
        <f>支出明細!B18</f>
        <v/>
      </c>
      <c r="D138" s="104">
        <f>支出明細!D18</f>
        <v/>
      </c>
      <c r="E138" s="104">
        <f>支出明細!E18</f>
        <v/>
      </c>
      <c r="F138" s="117" t="n">
        <v>18</v>
      </c>
    </row>
    <row r="139" ht="16.5" customHeight="1" s="84">
      <c r="A139" s="7">
        <f>支出明細!A610</f>
        <v/>
      </c>
      <c r="B139" s="104">
        <f>支出明細!C610</f>
        <v/>
      </c>
      <c r="C139" s="104">
        <f>支出明細!B610</f>
        <v/>
      </c>
      <c r="D139" s="104">
        <f>支出明細!D610</f>
        <v/>
      </c>
      <c r="E139" s="104">
        <f>支出明細!E610</f>
        <v/>
      </c>
      <c r="F139" s="117" t="n">
        <v>610</v>
      </c>
    </row>
    <row r="140" ht="16.5" customHeight="1" s="84">
      <c r="A140" s="7">
        <f>支出明細!A910</f>
        <v/>
      </c>
      <c r="B140" s="104">
        <f>支出明細!C910</f>
        <v/>
      </c>
      <c r="C140" s="104">
        <f>支出明細!B910</f>
        <v/>
      </c>
      <c r="D140" s="104">
        <f>支出明細!D910</f>
        <v/>
      </c>
      <c r="E140" s="104">
        <f>支出明細!E910</f>
        <v/>
      </c>
      <c r="F140" s="117" t="n">
        <v>910</v>
      </c>
    </row>
    <row r="141" ht="16.5" customHeight="1" s="84">
      <c r="A141" s="7">
        <f>支出明細!A640</f>
        <v/>
      </c>
      <c r="B141" s="104">
        <f>支出明細!C640</f>
        <v/>
      </c>
      <c r="C141" s="104">
        <f>支出明細!B640</f>
        <v/>
      </c>
      <c r="D141" s="104">
        <f>支出明細!D640</f>
        <v/>
      </c>
      <c r="E141" s="104">
        <f>支出明細!E640</f>
        <v/>
      </c>
      <c r="F141" s="117" t="n">
        <v>640</v>
      </c>
    </row>
    <row r="142" ht="16.5" customHeight="1" s="84">
      <c r="A142" s="7">
        <f>支出明細!A714</f>
        <v/>
      </c>
      <c r="B142" s="104">
        <f>支出明細!C714</f>
        <v/>
      </c>
      <c r="C142" s="104">
        <f>支出明細!B714</f>
        <v/>
      </c>
      <c r="D142" s="104">
        <f>支出明細!D714</f>
        <v/>
      </c>
      <c r="E142" s="104">
        <f>支出明細!E714</f>
        <v/>
      </c>
      <c r="F142" s="117" t="n">
        <v>714</v>
      </c>
    </row>
    <row r="143" ht="16.5" customHeight="1" s="84">
      <c r="A143" s="7">
        <f>支出明細!A743</f>
        <v/>
      </c>
      <c r="B143" s="104">
        <f>支出明細!C743</f>
        <v/>
      </c>
      <c r="C143" s="104">
        <f>支出明細!B743</f>
        <v/>
      </c>
      <c r="D143" s="104">
        <f>支出明細!D743</f>
        <v/>
      </c>
      <c r="E143" s="104">
        <f>支出明細!E743</f>
        <v/>
      </c>
      <c r="F143" s="117" t="n">
        <v>743</v>
      </c>
    </row>
    <row r="144" ht="16.5" customHeight="1" s="84">
      <c r="A144" s="7">
        <f>支出明細!A773</f>
        <v/>
      </c>
      <c r="B144" s="104">
        <f>支出明細!C773</f>
        <v/>
      </c>
      <c r="C144" s="104">
        <f>支出明細!B773</f>
        <v/>
      </c>
      <c r="D144" s="104">
        <f>支出明細!D773</f>
        <v/>
      </c>
      <c r="E144" s="104">
        <f>支出明細!E773</f>
        <v/>
      </c>
      <c r="F144" s="117" t="n">
        <v>773</v>
      </c>
    </row>
    <row r="145" ht="16.5" customHeight="1" s="84">
      <c r="A145" s="7">
        <f>支出明細!A890</f>
        <v/>
      </c>
      <c r="B145" s="104">
        <f>支出明細!C890</f>
        <v/>
      </c>
      <c r="C145" s="104">
        <f>支出明細!B890</f>
        <v/>
      </c>
      <c r="D145" s="104">
        <f>支出明細!D890</f>
        <v/>
      </c>
      <c r="E145" s="104">
        <f>支出明細!E890</f>
        <v/>
      </c>
      <c r="F145" s="117" t="n">
        <v>890</v>
      </c>
    </row>
    <row r="146" ht="16.5" customHeight="1" s="84">
      <c r="A146" s="7">
        <f>支出明細!A1024</f>
        <v/>
      </c>
      <c r="B146" s="104">
        <f>支出明細!C1024</f>
        <v/>
      </c>
      <c r="C146" s="104">
        <f>支出明細!B1024</f>
        <v/>
      </c>
      <c r="D146" s="104">
        <f>支出明細!D1024</f>
        <v/>
      </c>
      <c r="E146" s="104">
        <f>支出明細!E1024</f>
        <v/>
      </c>
      <c r="F146" s="117" t="n">
        <v>1024</v>
      </c>
    </row>
    <row r="147" ht="16.5" customHeight="1" s="84">
      <c r="A147" s="7">
        <f>支出明細!A1025</f>
        <v/>
      </c>
      <c r="B147" s="104">
        <f>支出明細!C1025</f>
        <v/>
      </c>
      <c r="C147" s="104">
        <f>支出明細!B1025</f>
        <v/>
      </c>
      <c r="D147" s="104">
        <f>支出明細!D1025</f>
        <v/>
      </c>
      <c r="E147" s="104">
        <f>支出明細!E1025</f>
        <v/>
      </c>
      <c r="F147" s="117" t="n">
        <v>1025</v>
      </c>
    </row>
    <row r="148" ht="16.5" customHeight="1" s="84">
      <c r="A148" s="7">
        <f>支出明細!A1116</f>
        <v/>
      </c>
      <c r="B148" s="104">
        <f>支出明細!C1116</f>
        <v/>
      </c>
      <c r="C148" s="104">
        <f>支出明細!B1116</f>
        <v/>
      </c>
      <c r="D148" s="104">
        <f>支出明細!D1116</f>
        <v/>
      </c>
      <c r="E148" s="104">
        <f>支出明細!E1116</f>
        <v/>
      </c>
      <c r="F148" s="117" t="n">
        <v>1116</v>
      </c>
    </row>
    <row r="149" ht="16.5" customHeight="1" s="84">
      <c r="A149" s="7">
        <f>支出明細!A1695</f>
        <v/>
      </c>
      <c r="B149" s="104">
        <f>支出明細!C1695</f>
        <v/>
      </c>
      <c r="C149" s="104">
        <f>支出明細!B1695</f>
        <v/>
      </c>
      <c r="D149" s="104">
        <f>支出明細!D1695</f>
        <v/>
      </c>
      <c r="E149" s="104">
        <f>支出明細!E1695</f>
        <v/>
      </c>
      <c r="F149" s="117" t="n">
        <v>1696</v>
      </c>
    </row>
    <row r="150" ht="16.5" customHeight="1" s="84">
      <c r="A150" s="7" t="inlineStr">
        <is>
          <t>明細加總（應 = 上方統計 B5）</t>
        </is>
      </c>
      <c r="B150" s="104">
        <f>SUM(B11:B149)</f>
        <v/>
      </c>
      <c r="C150" s="104" t="n"/>
      <c r="D150" s="104" t="n"/>
      <c r="E150" s="104" t="n"/>
      <c r="F150" s="117" t="n"/>
    </row>
    <row r="151" ht="16.5" customHeight="1" s="84">
      <c r="A151" s="7" t="inlineStr">
        <is>
          <t>差額 (B5 − 明細加總)</t>
        </is>
      </c>
      <c r="B151" s="104">
        <f>B5-B150</f>
        <v/>
      </c>
      <c r="C151" s="104" t="n"/>
      <c r="D151" s="104" t="inlineStr">
        <is>
          <t>← 應為 0；若 ≠ 0 表示 SUMIFS 抓的 row ≠ 明細列出的 row</t>
        </is>
      </c>
      <c r="E151" s="92" t="n"/>
      <c r="F151" s="93" t="n"/>
    </row>
    <row r="152" ht="16.5" customHeight="1" s="84">
      <c r="A152" s="7" t="n"/>
      <c r="B152" s="104" t="n"/>
      <c r="C152" s="104" t="n"/>
      <c r="D152" s="104" t="n"/>
      <c r="E152" s="104" t="n"/>
      <c r="F152" s="117" t="n"/>
    </row>
    <row r="153" ht="16.5" customHeight="1" s="84">
      <c r="A153" s="7" t="n"/>
      <c r="B153" s="104" t="n"/>
      <c r="C153" s="104" t="n"/>
      <c r="D153" s="104" t="n"/>
      <c r="E153" s="104" t="n"/>
      <c r="F153" s="117" t="n"/>
    </row>
    <row r="154" ht="16.5" customHeight="1" s="84">
      <c r="A154" s="7" t="n"/>
      <c r="B154" s="104" t="n"/>
      <c r="C154" s="104" t="n"/>
      <c r="D154" s="104" t="n"/>
      <c r="E154" s="104" t="n"/>
      <c r="F154" s="117" t="n"/>
    </row>
    <row r="155" ht="16.5" customHeight="1" s="84">
      <c r="A155" s="7" t="n"/>
      <c r="B155" s="104" t="n"/>
      <c r="C155" s="104" t="n"/>
      <c r="D155" s="104" t="n"/>
      <c r="E155" s="104" t="n"/>
      <c r="F155" s="117" t="n"/>
    </row>
    <row r="156" ht="16.5" customHeight="1" s="84">
      <c r="A156" s="7" t="n"/>
      <c r="B156" s="104" t="n"/>
      <c r="C156" s="104" t="n"/>
      <c r="D156" s="104" t="n"/>
      <c r="E156" s="104" t="n"/>
      <c r="F156" s="117" t="n"/>
    </row>
    <row r="157" ht="16.5" customHeight="1" s="84">
      <c r="A157" s="7" t="n"/>
      <c r="B157" s="104" t="n"/>
      <c r="C157" s="104" t="n"/>
      <c r="D157" s="104" t="n"/>
      <c r="E157" s="104" t="n"/>
      <c r="F157" s="117" t="n"/>
    </row>
    <row r="158" ht="16.5" customHeight="1" s="84">
      <c r="A158" s="7" t="n"/>
      <c r="B158" s="104" t="n"/>
      <c r="C158" s="104" t="n"/>
      <c r="D158" s="104" t="n"/>
      <c r="E158" s="104" t="n"/>
      <c r="F158" s="117" t="n"/>
    </row>
    <row r="159" ht="16.5" customHeight="1" s="84">
      <c r="A159" s="7" t="n"/>
      <c r="B159" s="104" t="n"/>
      <c r="C159" s="104" t="n"/>
      <c r="D159" s="104" t="n"/>
      <c r="E159" s="104" t="n"/>
      <c r="F159" s="117" t="n"/>
    </row>
    <row r="160" ht="16.5" customHeight="1" s="84">
      <c r="A160" s="7" t="n"/>
      <c r="B160" s="104" t="n"/>
      <c r="C160" s="104" t="n"/>
      <c r="D160" s="104" t="n"/>
      <c r="E160" s="104" t="n"/>
      <c r="F160" s="117" t="n"/>
    </row>
    <row r="161" ht="16.5" customHeight="1" s="84">
      <c r="A161" s="7" t="n"/>
      <c r="B161" s="104" t="n"/>
      <c r="C161" s="104" t="n"/>
      <c r="D161" s="104" t="n"/>
      <c r="E161" s="104" t="n"/>
      <c r="F161" s="117" t="n"/>
    </row>
    <row r="162" ht="16.5" customHeight="1" s="84">
      <c r="A162" s="7" t="n"/>
      <c r="B162" s="104" t="n"/>
      <c r="C162" s="104" t="n"/>
      <c r="D162" s="104" t="n"/>
      <c r="E162" s="104" t="n"/>
      <c r="F162" s="117" t="n"/>
    </row>
    <row r="163" ht="16.5" customHeight="1" s="84">
      <c r="A163" s="7" t="n"/>
      <c r="B163" s="104" t="n"/>
      <c r="C163" s="104" t="n"/>
      <c r="D163" s="104" t="n"/>
      <c r="E163" s="104" t="n"/>
      <c r="F163" s="117" t="n"/>
    </row>
    <row r="164" ht="16.5" customHeight="1" s="84">
      <c r="A164" s="7" t="n"/>
      <c r="B164" s="104" t="n"/>
      <c r="C164" s="104" t="n"/>
      <c r="D164" s="104" t="n"/>
      <c r="E164" s="104" t="n"/>
      <c r="F164" s="117" t="n"/>
    </row>
    <row r="165" ht="16.5" customHeight="1" s="84">
      <c r="A165" s="7" t="n"/>
      <c r="B165" s="104" t="n"/>
      <c r="C165" s="104" t="n"/>
      <c r="D165" s="104" t="n"/>
      <c r="E165" s="104" t="n"/>
      <c r="F165" s="117" t="n"/>
    </row>
    <row r="166" ht="16.5" customHeight="1" s="84">
      <c r="A166" s="7" t="n"/>
      <c r="B166" s="104" t="n"/>
      <c r="C166" s="104" t="n"/>
      <c r="D166" s="104" t="n"/>
      <c r="E166" s="104" t="n"/>
      <c r="F166" s="117" t="n"/>
    </row>
    <row r="167" ht="16.5" customHeight="1" s="84">
      <c r="A167" s="7" t="n"/>
      <c r="B167" s="104" t="n"/>
      <c r="C167" s="104" t="n"/>
      <c r="D167" s="104" t="n"/>
      <c r="E167" s="104" t="n"/>
      <c r="F167" s="117" t="n"/>
    </row>
    <row r="168" ht="16.5" customHeight="1" s="84">
      <c r="A168" s="7" t="n"/>
      <c r="B168" s="104" t="n"/>
      <c r="C168" s="104" t="n"/>
      <c r="D168" s="104" t="n"/>
      <c r="E168" s="104" t="n"/>
      <c r="F168" s="117" t="n"/>
    </row>
    <row r="169" ht="16.5" customHeight="1" s="84">
      <c r="A169" s="7" t="n"/>
      <c r="B169" s="104" t="n"/>
      <c r="C169" s="104" t="n"/>
      <c r="D169" s="104" t="n"/>
      <c r="E169" s="104" t="n"/>
      <c r="F169" s="117" t="n"/>
    </row>
    <row r="170" ht="16.5" customHeight="1" s="84">
      <c r="A170" s="7" t="n"/>
      <c r="B170" s="104" t="n"/>
      <c r="C170" s="104" t="n"/>
      <c r="D170" s="104" t="n"/>
      <c r="E170" s="104" t="n"/>
      <c r="F170" s="117" t="n"/>
    </row>
    <row r="171" ht="16.5" customHeight="1" s="84">
      <c r="A171" s="7" t="n"/>
      <c r="B171" s="104" t="n"/>
      <c r="C171" s="104" t="n"/>
      <c r="D171" s="104" t="n"/>
      <c r="E171" s="104" t="n"/>
      <c r="F171" s="117" t="n"/>
    </row>
    <row r="172" ht="16.5" customHeight="1" s="84">
      <c r="A172" s="7" t="n"/>
      <c r="B172" s="104" t="n"/>
      <c r="C172" s="104" t="n"/>
      <c r="D172" s="104" t="n"/>
      <c r="E172" s="104" t="n"/>
      <c r="F172" s="117" t="n"/>
    </row>
    <row r="173" ht="16.5" customHeight="1" s="84">
      <c r="A173" s="7" t="n"/>
      <c r="B173" s="104" t="n"/>
      <c r="C173" s="104" t="n"/>
      <c r="D173" s="104" t="n"/>
      <c r="E173" s="104" t="n"/>
      <c r="F173" s="117" t="n"/>
    </row>
    <row r="174" ht="16.5" customHeight="1" s="84">
      <c r="A174" s="7" t="n"/>
      <c r="B174" s="104" t="n"/>
      <c r="C174" s="104" t="n"/>
      <c r="D174" s="104" t="n"/>
      <c r="E174" s="104" t="n"/>
      <c r="F174" s="117" t="n"/>
    </row>
    <row r="175" ht="16.5" customHeight="1" s="84">
      <c r="A175" s="7" t="n"/>
      <c r="B175" s="104" t="n"/>
      <c r="C175" s="104" t="n"/>
      <c r="D175" s="104" t="n"/>
      <c r="E175" s="104" t="n"/>
      <c r="F175" s="117" t="n"/>
    </row>
    <row r="176" ht="16.5" customHeight="1" s="84">
      <c r="A176" s="7" t="n"/>
      <c r="B176" s="104" t="n"/>
      <c r="C176" s="104" t="n"/>
      <c r="D176" s="104" t="n"/>
      <c r="E176" s="104" t="n"/>
      <c r="F176" s="117" t="n"/>
    </row>
    <row r="177" ht="16.5" customHeight="1" s="84">
      <c r="A177" s="7" t="n"/>
      <c r="B177" s="104" t="n"/>
      <c r="C177" s="104" t="n"/>
      <c r="D177" s="104" t="n"/>
      <c r="E177" s="104" t="n"/>
      <c r="F177" s="117" t="n"/>
    </row>
    <row r="178" ht="16.5" customHeight="1" s="84">
      <c r="A178" s="7" t="n"/>
      <c r="B178" s="104" t="n"/>
      <c r="C178" s="104" t="n"/>
      <c r="D178" s="104" t="n"/>
      <c r="E178" s="104" t="n"/>
      <c r="F178" s="117" t="n"/>
    </row>
    <row r="179" ht="16.5" customHeight="1" s="84">
      <c r="A179" s="7" t="n"/>
      <c r="B179" s="104" t="n"/>
      <c r="C179" s="104" t="n"/>
      <c r="D179" s="104" t="n"/>
      <c r="E179" s="104" t="n"/>
      <c r="F179" s="117" t="n"/>
    </row>
    <row r="180" ht="16.5" customHeight="1" s="84">
      <c r="A180" s="7" t="n"/>
      <c r="B180" s="104" t="n"/>
      <c r="C180" s="104" t="n"/>
      <c r="D180" s="104" t="n"/>
      <c r="E180" s="104" t="n"/>
      <c r="F180" s="117" t="n"/>
    </row>
    <row r="181" ht="16.5" customHeight="1" s="84">
      <c r="A181" s="7" t="n"/>
      <c r="B181" s="104" t="n"/>
      <c r="C181" s="104" t="n"/>
      <c r="D181" s="104" t="n"/>
      <c r="E181" s="104" t="n"/>
      <c r="F181" s="117" t="n"/>
    </row>
    <row r="182" ht="16.5" customHeight="1" s="84">
      <c r="A182" s="7" t="n"/>
      <c r="B182" s="104" t="n"/>
      <c r="C182" s="104" t="n"/>
      <c r="D182" s="104" t="n"/>
      <c r="E182" s="104" t="n"/>
      <c r="F182" s="117" t="n"/>
    </row>
    <row r="183" ht="16.5" customHeight="1" s="84">
      <c r="A183" s="7" t="n"/>
      <c r="B183" s="104" t="n"/>
      <c r="C183" s="104" t="n"/>
      <c r="D183" s="104" t="n"/>
      <c r="E183" s="104" t="n"/>
      <c r="F183" s="117" t="n"/>
    </row>
    <row r="184" ht="16.5" customHeight="1" s="84">
      <c r="A184" s="7" t="n"/>
      <c r="B184" s="104" t="n"/>
      <c r="C184" s="104" t="n"/>
      <c r="D184" s="104" t="n"/>
      <c r="E184" s="104" t="n"/>
      <c r="F184" s="117" t="n"/>
    </row>
    <row r="185" ht="16.5" customHeight="1" s="84">
      <c r="A185" s="7" t="n"/>
      <c r="B185" s="104" t="n"/>
      <c r="C185" s="104" t="n"/>
      <c r="D185" s="104" t="n"/>
      <c r="E185" s="104" t="n"/>
      <c r="F185" s="117" t="n"/>
    </row>
    <row r="186" ht="16.5" customHeight="1" s="84">
      <c r="A186" s="7" t="n"/>
      <c r="B186" s="104" t="n"/>
      <c r="C186" s="104" t="n"/>
      <c r="D186" s="104" t="n"/>
      <c r="E186" s="104" t="n"/>
      <c r="F186" s="117" t="n"/>
    </row>
    <row r="187" ht="16.5" customHeight="1" s="84">
      <c r="A187" s="7" t="n"/>
      <c r="B187" s="104" t="n"/>
      <c r="C187" s="104" t="n"/>
      <c r="D187" s="104" t="n"/>
      <c r="E187" s="104" t="n"/>
      <c r="F187" s="117" t="n"/>
    </row>
    <row r="188" ht="16.5" customHeight="1" s="84">
      <c r="A188" s="7" t="n"/>
      <c r="B188" s="104" t="n"/>
      <c r="C188" s="104" t="n"/>
      <c r="D188" s="104" t="n"/>
      <c r="E188" s="104" t="n"/>
      <c r="F188" s="117" t="n"/>
    </row>
    <row r="189" ht="16.5" customHeight="1" s="84">
      <c r="A189" s="7" t="n"/>
      <c r="B189" s="104" t="n"/>
      <c r="C189" s="104" t="n"/>
      <c r="D189" s="104" t="n"/>
      <c r="E189" s="104" t="n"/>
      <c r="F189" s="117" t="n"/>
    </row>
    <row r="190" ht="16.5" customHeight="1" s="84">
      <c r="A190" s="7" t="n"/>
      <c r="B190" s="104" t="n"/>
      <c r="C190" s="104" t="n"/>
      <c r="D190" s="104" t="n"/>
      <c r="E190" s="104" t="n"/>
      <c r="F190" s="117" t="n"/>
    </row>
    <row r="191" ht="16.5" customHeight="1" s="84">
      <c r="A191" s="7" t="n"/>
      <c r="B191" s="104" t="n"/>
      <c r="C191" s="104" t="n"/>
      <c r="D191" s="104" t="n"/>
      <c r="E191" s="104" t="n"/>
      <c r="F191" s="117" t="n"/>
    </row>
    <row r="192" ht="16.5" customHeight="1" s="84">
      <c r="A192" s="7" t="n"/>
      <c r="B192" s="104" t="n"/>
      <c r="C192" s="104" t="n"/>
      <c r="D192" s="104" t="n"/>
      <c r="E192" s="104" t="n"/>
      <c r="F192" s="117" t="n"/>
    </row>
    <row r="193" ht="16.5" customHeight="1" s="84">
      <c r="A193" s="7" t="n"/>
      <c r="B193" s="104" t="n"/>
      <c r="C193" s="104" t="n"/>
      <c r="D193" s="104" t="n"/>
      <c r="E193" s="104" t="n"/>
      <c r="F193" s="117" t="n"/>
    </row>
    <row r="194" ht="16.5" customHeight="1" s="84">
      <c r="A194" s="7" t="n"/>
      <c r="B194" s="104" t="n"/>
      <c r="C194" s="104" t="n"/>
      <c r="D194" s="104" t="n"/>
      <c r="E194" s="104" t="n"/>
      <c r="F194" s="117" t="n"/>
    </row>
    <row r="195" ht="16.5" customHeight="1" s="84">
      <c r="A195" s="7" t="n"/>
      <c r="B195" s="104" t="n"/>
      <c r="C195" s="104" t="n"/>
      <c r="D195" s="104" t="n"/>
      <c r="E195" s="104" t="n"/>
      <c r="F195" s="117" t="n"/>
    </row>
    <row r="196" ht="16.5" customHeight="1" s="84">
      <c r="A196" s="7" t="n"/>
      <c r="B196" s="104" t="n"/>
      <c r="C196" s="104" t="n"/>
      <c r="D196" s="104" t="n"/>
      <c r="E196" s="104" t="n"/>
      <c r="F196" s="117" t="n"/>
    </row>
    <row r="197" ht="16.5" customHeight="1" s="84">
      <c r="A197" s="7" t="n"/>
      <c r="B197" s="104" t="n"/>
      <c r="C197" s="104" t="n"/>
      <c r="D197" s="104" t="n"/>
      <c r="E197" s="104" t="n"/>
      <c r="F197" s="117" t="n"/>
    </row>
    <row r="198" ht="16.5" customHeight="1" s="84">
      <c r="A198" s="7" t="n"/>
      <c r="B198" s="104" t="n"/>
      <c r="C198" s="104" t="n"/>
      <c r="D198" s="104" t="n"/>
      <c r="E198" s="104" t="n"/>
      <c r="F198" s="117" t="n"/>
    </row>
    <row r="199" ht="16.5" customHeight="1" s="84">
      <c r="A199" s="7" t="n"/>
      <c r="B199" s="104" t="n"/>
      <c r="C199" s="104" t="n"/>
      <c r="D199" s="104" t="n"/>
      <c r="E199" s="104" t="n"/>
      <c r="F199" s="117" t="n"/>
    </row>
    <row r="200" ht="16.5" customHeight="1" s="84">
      <c r="A200" s="7" t="n"/>
      <c r="B200" s="104" t="n"/>
      <c r="C200" s="104" t="n"/>
      <c r="D200" s="104" t="n"/>
      <c r="E200" s="104" t="n"/>
      <c r="F200" s="117" t="n"/>
    </row>
    <row r="201" ht="16.5" customHeight="1" s="84">
      <c r="A201" s="7" t="n"/>
      <c r="B201" s="104" t="n"/>
      <c r="C201" s="104" t="n"/>
      <c r="D201" s="104" t="n"/>
      <c r="E201" s="104" t="n"/>
      <c r="F201" s="117" t="n"/>
    </row>
    <row r="202" ht="16.5" customHeight="1" s="84">
      <c r="A202" s="7" t="n"/>
      <c r="B202" s="104" t="n"/>
      <c r="C202" s="104" t="n"/>
      <c r="D202" s="104" t="n"/>
      <c r="E202" s="104" t="n"/>
      <c r="F202" s="117" t="n"/>
    </row>
    <row r="203" ht="16.5" customHeight="1" s="84">
      <c r="A203" s="7" t="n"/>
      <c r="B203" s="104" t="n"/>
      <c r="C203" s="104" t="n"/>
      <c r="D203" s="104" t="n"/>
      <c r="E203" s="104" t="n"/>
      <c r="F203" s="117" t="n"/>
    </row>
    <row r="204" ht="16.5" customHeight="1" s="84">
      <c r="A204" s="7" t="n"/>
      <c r="B204" s="104" t="n"/>
      <c r="C204" s="104" t="n"/>
      <c r="D204" s="104" t="n"/>
      <c r="E204" s="104" t="n"/>
      <c r="F204" s="117" t="n"/>
    </row>
    <row r="205" ht="16.5" customHeight="1" s="84">
      <c r="A205" s="7" t="n"/>
      <c r="B205" s="104" t="n"/>
      <c r="C205" s="104" t="n"/>
      <c r="D205" s="104" t="n"/>
      <c r="E205" s="104" t="n"/>
      <c r="F205" s="117" t="n"/>
    </row>
    <row r="206" ht="16.5" customHeight="1" s="84">
      <c r="A206" s="7" t="n"/>
      <c r="B206" s="104" t="n"/>
      <c r="C206" s="104" t="n"/>
      <c r="D206" s="104" t="n"/>
      <c r="E206" s="104" t="n"/>
      <c r="F206" s="117" t="n"/>
    </row>
    <row r="207" ht="16.5" customHeight="1" s="84">
      <c r="A207" s="7" t="n"/>
      <c r="B207" s="104" t="n"/>
      <c r="C207" s="104" t="n"/>
      <c r="D207" s="104" t="n"/>
      <c r="E207" s="104" t="n"/>
      <c r="F207" s="117" t="n"/>
    </row>
    <row r="208" ht="16.5" customHeight="1" s="84">
      <c r="A208" s="7" t="n"/>
      <c r="B208" s="104" t="n"/>
      <c r="C208" s="104" t="n"/>
      <c r="D208" s="104" t="n"/>
      <c r="E208" s="104" t="n"/>
      <c r="F208" s="117" t="n"/>
    </row>
    <row r="209" ht="16.5" customHeight="1" s="84">
      <c r="A209" s="7" t="n"/>
      <c r="B209" s="104" t="n"/>
      <c r="C209" s="104" t="n"/>
      <c r="D209" s="104" t="n"/>
      <c r="E209" s="104" t="n"/>
      <c r="F209" s="117" t="n"/>
    </row>
    <row r="210" ht="16.5" customHeight="1" s="84">
      <c r="A210" s="7" t="n"/>
      <c r="B210" s="104" t="n"/>
      <c r="C210" s="104" t="n"/>
      <c r="D210" s="104" t="n"/>
      <c r="E210" s="104" t="n"/>
      <c r="F210" s="117" t="n"/>
    </row>
    <row r="211" ht="18" customHeight="1" s="84">
      <c r="A211" s="10" t="n"/>
      <c r="B211" s="118" t="n"/>
      <c r="C211" s="106" t="n"/>
      <c r="D211" s="106" t="n"/>
      <c r="E211" s="106" t="n"/>
      <c r="F211" s="106" t="n"/>
    </row>
    <row r="212" ht="15" customHeight="1" s="84">
      <c r="A212" s="86" t="n"/>
      <c r="B212" s="119" t="n"/>
      <c r="D212" s="86" t="n"/>
    </row>
  </sheetData>
  <mergeCells count="8">
    <mergeCell ref="A2:F2"/>
    <mergeCell ref="D151:F151"/>
    <mergeCell ref="D5:F5"/>
    <mergeCell ref="A1:F1"/>
    <mergeCell ref="A9:F9"/>
    <mergeCell ref="A4:F4"/>
    <mergeCell ref="D7:F7"/>
    <mergeCell ref="D6:F6"/>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BM10"/>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7.83203125" defaultRowHeight="17"/>
  <cols>
    <col width="27.33203125" customWidth="1" style="84" min="1" max="1"/>
    <col width="14.5" customWidth="1" style="84" min="2" max="64"/>
  </cols>
  <sheetData>
    <row r="1" ht="31.5" customHeight="1" s="84">
      <c r="A1" s="6" t="inlineStr">
        <is>
          <t>帳戶</t>
        </is>
      </c>
      <c r="B1" s="24" t="inlineStr">
        <is>
          <t>2021-01
期末</t>
        </is>
      </c>
      <c r="C1" s="24" t="inlineStr">
        <is>
          <t>2021-02
期末</t>
        </is>
      </c>
      <c r="D1" s="24" t="inlineStr">
        <is>
          <t>2021-03
期末</t>
        </is>
      </c>
      <c r="E1" s="24" t="inlineStr">
        <is>
          <t>2021-04
期末</t>
        </is>
      </c>
      <c r="F1" s="24" t="inlineStr">
        <is>
          <t>2021-05
期末</t>
        </is>
      </c>
      <c r="G1" s="24" t="inlineStr">
        <is>
          <t>2021-06
期末</t>
        </is>
      </c>
      <c r="H1" s="24" t="inlineStr">
        <is>
          <t>2021-07
期末</t>
        </is>
      </c>
      <c r="I1" s="24" t="inlineStr">
        <is>
          <t>2021-08
期末</t>
        </is>
      </c>
      <c r="J1" s="24" t="inlineStr">
        <is>
          <t>2021-09
期末</t>
        </is>
      </c>
      <c r="K1" s="24" t="inlineStr">
        <is>
          <t>2021-10
期末</t>
        </is>
      </c>
      <c r="L1" s="24" t="inlineStr">
        <is>
          <t>2021-11
期末</t>
        </is>
      </c>
      <c r="M1" s="24" t="inlineStr">
        <is>
          <t>2021-12
期末</t>
        </is>
      </c>
      <c r="N1" s="24" t="inlineStr">
        <is>
          <t>2022-01
期末</t>
        </is>
      </c>
      <c r="O1" s="24" t="inlineStr">
        <is>
          <t>2022-02
期末</t>
        </is>
      </c>
      <c r="P1" s="24" t="inlineStr">
        <is>
          <t>2022-03
期末</t>
        </is>
      </c>
      <c r="Q1" s="24" t="inlineStr">
        <is>
          <t>2022-04
期末</t>
        </is>
      </c>
      <c r="R1" s="24" t="inlineStr">
        <is>
          <t>2022-05
期末</t>
        </is>
      </c>
      <c r="S1" s="24" t="inlineStr">
        <is>
          <t>2022-06
期末</t>
        </is>
      </c>
      <c r="T1" s="24" t="inlineStr">
        <is>
          <t>2022-07
期末</t>
        </is>
      </c>
      <c r="U1" s="24" t="inlineStr">
        <is>
          <t>2022-08
期末</t>
        </is>
      </c>
      <c r="V1" s="24" t="inlineStr">
        <is>
          <t>2022-09
期末</t>
        </is>
      </c>
      <c r="W1" s="24" t="inlineStr">
        <is>
          <t>2022-10
期末</t>
        </is>
      </c>
      <c r="X1" s="24" t="inlineStr">
        <is>
          <t>2022-11
期末</t>
        </is>
      </c>
      <c r="Y1" s="24" t="inlineStr">
        <is>
          <t>2022-12
期末</t>
        </is>
      </c>
      <c r="Z1" s="24" t="inlineStr">
        <is>
          <t>2023-01
期末</t>
        </is>
      </c>
      <c r="AA1" s="24" t="inlineStr">
        <is>
          <t>2023-02
期末</t>
        </is>
      </c>
      <c r="AB1" s="24" t="inlineStr">
        <is>
          <t>2023-03
期末</t>
        </is>
      </c>
      <c r="AC1" s="24" t="inlineStr">
        <is>
          <t>2023-04
期末</t>
        </is>
      </c>
      <c r="AD1" s="24" t="inlineStr">
        <is>
          <t>2023-05
期末</t>
        </is>
      </c>
      <c r="AE1" s="24" t="inlineStr">
        <is>
          <t>2023-06
期末</t>
        </is>
      </c>
      <c r="AF1" s="24" t="inlineStr">
        <is>
          <t>2023-07
期末</t>
        </is>
      </c>
      <c r="AG1" s="24" t="inlineStr">
        <is>
          <t>2023-08
期末</t>
        </is>
      </c>
      <c r="AH1" s="24" t="inlineStr">
        <is>
          <t>2023-09
期末</t>
        </is>
      </c>
      <c r="AI1" s="24" t="inlineStr">
        <is>
          <t>2023-10
期末</t>
        </is>
      </c>
      <c r="AJ1" s="24" t="inlineStr">
        <is>
          <t>2023-11
期末</t>
        </is>
      </c>
      <c r="AK1" s="24" t="inlineStr">
        <is>
          <t>2023-12
期末</t>
        </is>
      </c>
      <c r="AL1" s="24" t="inlineStr">
        <is>
          <t>2024-01
期末</t>
        </is>
      </c>
      <c r="AM1" s="24" t="inlineStr">
        <is>
          <t>2024-02
期末</t>
        </is>
      </c>
      <c r="AN1" s="24" t="inlineStr">
        <is>
          <t>2024-03
期末</t>
        </is>
      </c>
      <c r="AO1" s="24" t="inlineStr">
        <is>
          <t>2024-04
期末</t>
        </is>
      </c>
      <c r="AP1" s="24" t="inlineStr">
        <is>
          <t>2024-05
期末</t>
        </is>
      </c>
      <c r="AQ1" s="24" t="inlineStr">
        <is>
          <t>2024-06
期末</t>
        </is>
      </c>
      <c r="AR1" s="24" t="inlineStr">
        <is>
          <t>2024-07
期末</t>
        </is>
      </c>
      <c r="AS1" s="24" t="inlineStr">
        <is>
          <t>2024-08
期末</t>
        </is>
      </c>
      <c r="AT1" s="24" t="inlineStr">
        <is>
          <t>2024-09
期末</t>
        </is>
      </c>
      <c r="AU1" t="inlineStr">
        <is>
          <t>2024-10
期末</t>
        </is>
      </c>
      <c r="AV1" s="24" t="inlineStr">
        <is>
          <t>2024-11
期末</t>
        </is>
      </c>
      <c r="AW1" s="24" t="inlineStr">
        <is>
          <t>2024-12
期末</t>
        </is>
      </c>
      <c r="AX1" s="24" t="inlineStr">
        <is>
          <t>2025-01
期末</t>
        </is>
      </c>
      <c r="AY1" s="24" t="inlineStr">
        <is>
          <t>2025-02
期末</t>
        </is>
      </c>
      <c r="AZ1" s="24" t="inlineStr">
        <is>
          <t>2025-03
期末</t>
        </is>
      </c>
      <c r="BA1" s="24" t="inlineStr">
        <is>
          <t>2025-04
期末</t>
        </is>
      </c>
      <c r="BB1" s="24" t="inlineStr">
        <is>
          <t>2025-05
期末</t>
        </is>
      </c>
      <c r="BC1" s="24" t="inlineStr">
        <is>
          <t>2025-06
期末</t>
        </is>
      </c>
      <c r="BD1" s="24" t="inlineStr">
        <is>
          <t>2025-07
期末</t>
        </is>
      </c>
      <c r="BE1" s="24" t="inlineStr">
        <is>
          <t>2025-08
期末</t>
        </is>
      </c>
      <c r="BF1" s="24" t="inlineStr">
        <is>
          <t>2025-09
期末</t>
        </is>
      </c>
      <c r="BG1" s="24" t="inlineStr">
        <is>
          <t>2025-10
期末</t>
        </is>
      </c>
      <c r="BH1" s="24" t="inlineStr">
        <is>
          <t>2025-11
期末</t>
        </is>
      </c>
      <c r="BI1" s="24" t="inlineStr">
        <is>
          <t>2025-12
期末</t>
        </is>
      </c>
      <c r="BJ1" s="24" t="inlineStr">
        <is>
          <t>2026-01
期末</t>
        </is>
      </c>
      <c r="BK1" s="24" t="inlineStr">
        <is>
          <t>2026-02
期末</t>
        </is>
      </c>
      <c r="BL1" s="24" t="inlineStr">
        <is>
          <t>2026-03
期末</t>
        </is>
      </c>
      <c r="BM1" s="24" t="inlineStr">
        <is>
          <t>2026-04
期末</t>
        </is>
      </c>
    </row>
    <row r="2" ht="16.5" customHeight="1" s="84">
      <c r="A2" s="13" t="inlineStr">
        <is>
          <t>元大-充電樁</t>
        </is>
      </c>
      <c r="B2" s="104" t="n"/>
      <c r="C2" s="104" t="n"/>
      <c r="D2" s="104" t="n"/>
      <c r="E2" s="104" t="n"/>
      <c r="F2" s="104" t="n"/>
      <c r="G2" s="104" t="n"/>
      <c r="H2" s="104" t="n"/>
      <c r="I2" s="104" t="n"/>
      <c r="J2" s="104" t="n"/>
      <c r="K2" s="104" t="n"/>
      <c r="L2" s="104" t="n"/>
      <c r="M2" s="104" t="n"/>
      <c r="N2" s="104" t="n"/>
      <c r="O2" s="104" t="n"/>
      <c r="P2" s="104" t="n"/>
      <c r="Q2" s="104" t="n"/>
      <c r="R2" s="104" t="n"/>
      <c r="S2" s="104" t="n"/>
      <c r="T2" s="104" t="n"/>
      <c r="U2" s="104" t="n"/>
      <c r="V2" s="104" t="n"/>
      <c r="W2" s="104" t="n"/>
      <c r="X2" s="104" t="n"/>
      <c r="Y2" s="104" t="n"/>
      <c r="Z2" s="104" t="n"/>
      <c r="AA2" s="104" t="n"/>
      <c r="AB2" s="104" t="n"/>
      <c r="AC2" s="104" t="n"/>
      <c r="AD2" s="104" t="n"/>
      <c r="AE2" s="104" t="n"/>
      <c r="AF2" s="104" t="n"/>
      <c r="AG2" s="104" t="n"/>
      <c r="AH2" s="104" t="n"/>
      <c r="AI2" s="104" t="n"/>
      <c r="AJ2" s="104" t="n"/>
      <c r="AK2" s="104" t="n"/>
      <c r="AL2" s="104" t="n"/>
      <c r="AM2" s="104" t="n"/>
      <c r="AN2" s="104" t="n"/>
      <c r="AO2" s="104" t="n"/>
      <c r="AP2" s="104" t="n"/>
      <c r="AQ2" s="104" t="n"/>
      <c r="AR2" s="104" t="n"/>
      <c r="AS2" s="104" t="n"/>
      <c r="AT2" s="104" t="n"/>
      <c r="AV2" s="104" t="n"/>
      <c r="AW2" s="104" t="n"/>
      <c r="AX2" s="104" t="n"/>
      <c r="AY2" s="104" t="n"/>
      <c r="AZ2" s="104" t="n"/>
      <c r="BA2" s="104" t="n"/>
      <c r="BB2" s="104" t="n"/>
      <c r="BC2" s="104" t="n"/>
      <c r="BD2" s="104" t="n"/>
      <c r="BE2" s="104" t="n"/>
      <c r="BF2" s="104" t="n"/>
      <c r="BG2" s="104" t="n"/>
      <c r="BH2" s="104" t="n"/>
      <c r="BI2" s="104" t="n"/>
      <c r="BJ2" s="104" t="n"/>
      <c r="BK2" s="104" t="n"/>
      <c r="BL2" s="104" t="n"/>
      <c r="BM2" s="104" t="n">
        <v>1751560</v>
      </c>
    </row>
    <row r="3" ht="16.5" customHeight="1" s="84">
      <c r="A3" s="13" t="inlineStr">
        <is>
          <t>元大-管理費</t>
        </is>
      </c>
      <c r="B3" s="104" t="n">
        <v>11050941</v>
      </c>
      <c r="C3" s="104" t="n">
        <v>9157051</v>
      </c>
      <c r="D3" s="104" t="n">
        <v>7997326</v>
      </c>
      <c r="E3" s="104" t="n">
        <v>9348204</v>
      </c>
      <c r="F3" s="104" t="n">
        <v>8771140</v>
      </c>
      <c r="G3" s="104" t="n">
        <v>7522776</v>
      </c>
      <c r="H3" s="104" t="n">
        <v>8848852</v>
      </c>
      <c r="I3" s="104" t="n">
        <v>8430866</v>
      </c>
      <c r="J3" s="104" t="n">
        <v>6877926</v>
      </c>
      <c r="K3" s="104" t="n">
        <v>8112288</v>
      </c>
      <c r="L3" s="104" t="n">
        <v>7031183</v>
      </c>
      <c r="M3" s="104" t="n">
        <v>6115928</v>
      </c>
      <c r="N3" s="104" t="n">
        <v>7160287</v>
      </c>
      <c r="O3" s="104" t="n">
        <v>6719611</v>
      </c>
      <c r="P3" s="104" t="n">
        <v>5702708</v>
      </c>
      <c r="Q3" s="104" t="n">
        <v>7546295</v>
      </c>
      <c r="R3" s="104" t="n">
        <v>7199409</v>
      </c>
      <c r="S3" s="104" t="n">
        <v>6315212</v>
      </c>
      <c r="T3" s="104" t="n">
        <v>8280329</v>
      </c>
      <c r="U3" s="104" t="n">
        <v>8136545</v>
      </c>
      <c r="V3" s="104" t="n">
        <v>7338105</v>
      </c>
      <c r="W3" s="104" t="n">
        <v>9132806</v>
      </c>
      <c r="X3" s="104" t="n">
        <v>8457053</v>
      </c>
      <c r="Y3" s="104" t="n">
        <v>7405360</v>
      </c>
      <c r="Z3" s="104" t="n">
        <v>9288384</v>
      </c>
      <c r="AA3" s="104" t="n">
        <v>8162372</v>
      </c>
      <c r="AB3" s="104" t="n">
        <v>7147349</v>
      </c>
      <c r="AC3" s="104" t="n">
        <v>8996801</v>
      </c>
      <c r="AD3" s="104" t="n">
        <v>8817812</v>
      </c>
      <c r="AE3" s="104" t="n">
        <v>7818200</v>
      </c>
      <c r="AF3" s="104" t="n">
        <v>9876163</v>
      </c>
      <c r="AG3" s="104" t="n">
        <v>9033289</v>
      </c>
      <c r="AH3" s="104" t="n">
        <v>8071947</v>
      </c>
      <c r="AI3" s="104" t="n">
        <v>10477719</v>
      </c>
      <c r="AJ3" s="104" t="n">
        <v>9827578</v>
      </c>
      <c r="AK3" s="104" t="n">
        <v>8359517</v>
      </c>
      <c r="AL3" s="104" t="n">
        <v>10772367</v>
      </c>
      <c r="AM3" s="104" t="n">
        <v>9961477</v>
      </c>
      <c r="AN3" s="104" t="n">
        <v>8747981</v>
      </c>
      <c r="AO3" s="104" t="n">
        <v>10507404</v>
      </c>
      <c r="AP3" s="104" t="n">
        <v>10127658</v>
      </c>
      <c r="AQ3" s="104" t="n">
        <v>8787799</v>
      </c>
      <c r="AR3" s="104" t="n">
        <v>10879125</v>
      </c>
      <c r="AS3" s="104" t="n">
        <v>10006791</v>
      </c>
      <c r="AT3" s="104" t="n">
        <v>8504284</v>
      </c>
      <c r="AU3" t="n">
        <v>10826821</v>
      </c>
      <c r="AV3" s="104" t="n">
        <v>9950090</v>
      </c>
      <c r="AW3" s="104" t="n">
        <v>8667153</v>
      </c>
      <c r="AX3" s="104" t="n">
        <v>9368331</v>
      </c>
      <c r="AY3" s="104" t="n">
        <v>10906768</v>
      </c>
      <c r="AZ3" s="104" t="n">
        <v>9730061</v>
      </c>
      <c r="BA3" s="104" t="n">
        <v>10365084</v>
      </c>
      <c r="BB3" s="104" t="n">
        <v>9995112</v>
      </c>
      <c r="BC3" s="104" t="n">
        <v>8727581</v>
      </c>
      <c r="BD3" s="104" t="n">
        <v>7159519</v>
      </c>
      <c r="BE3" s="104" t="n">
        <v>5426677</v>
      </c>
      <c r="BF3" s="104" t="n">
        <v>3062620</v>
      </c>
      <c r="BG3" s="104" t="n">
        <v>3055046</v>
      </c>
      <c r="BH3" s="104" t="n">
        <v>2491599</v>
      </c>
      <c r="BI3" s="104" t="n">
        <v>1682704</v>
      </c>
      <c r="BJ3" s="104" t="n">
        <v>2663490</v>
      </c>
      <c r="BK3" s="104" t="n">
        <v>1796297</v>
      </c>
      <c r="BL3" s="104" t="n">
        <v>1467895</v>
      </c>
      <c r="BM3" s="104" t="n">
        <v>4308271</v>
      </c>
    </row>
    <row r="4" ht="16.5" customHeight="1" s="84">
      <c r="A4" s="13" t="inlineStr">
        <is>
          <t>元大-管理費(裝保金暫收款)</t>
        </is>
      </c>
      <c r="B4" s="104" t="n"/>
      <c r="C4" s="104" t="n"/>
      <c r="D4" s="104" t="n"/>
      <c r="E4" s="104" t="n"/>
      <c r="F4" s="104" t="n"/>
      <c r="G4" s="104" t="n"/>
      <c r="H4" s="104" t="n"/>
      <c r="I4" s="104" t="n"/>
      <c r="J4" s="104" t="n"/>
      <c r="K4" s="104" t="n"/>
      <c r="L4" s="104" t="n"/>
      <c r="M4" s="104" t="n"/>
      <c r="N4" s="104" t="n"/>
      <c r="O4" s="104" t="n"/>
      <c r="P4" s="104" t="n"/>
      <c r="Q4" s="104" t="n"/>
      <c r="R4" s="104" t="n"/>
      <c r="S4" s="104" t="n"/>
      <c r="T4" s="104" t="n"/>
      <c r="U4" s="104" t="n"/>
      <c r="V4" s="104" t="n"/>
      <c r="W4" s="104" t="n"/>
      <c r="X4" s="104" t="n"/>
      <c r="Y4" s="104" t="n"/>
      <c r="Z4" s="104" t="n"/>
      <c r="AA4" s="104" t="n"/>
      <c r="AB4" s="104" t="n"/>
      <c r="AC4" s="104" t="n"/>
      <c r="AD4" s="104" t="n"/>
      <c r="AE4" s="104" t="n"/>
      <c r="AF4" s="104" t="n"/>
      <c r="AG4" s="104" t="n"/>
      <c r="AH4" s="104" t="n"/>
      <c r="AI4" s="104" t="n"/>
      <c r="AJ4" s="104" t="n"/>
      <c r="AK4" s="104" t="n"/>
      <c r="AL4" s="104" t="n"/>
      <c r="AM4" s="104" t="n"/>
      <c r="AN4" s="104" t="n"/>
      <c r="AO4" s="104" t="n"/>
      <c r="AP4" s="104" t="n"/>
      <c r="AQ4" s="104" t="n"/>
      <c r="AR4" s="104" t="n"/>
      <c r="AS4" s="104" t="n"/>
      <c r="AT4" s="104" t="n"/>
      <c r="AV4" s="104" t="n"/>
      <c r="AW4" s="104" t="n"/>
      <c r="AX4" s="104" t="n"/>
      <c r="AY4" s="104" t="n"/>
      <c r="AZ4" s="104" t="n"/>
      <c r="BA4" s="104" t="n"/>
      <c r="BB4" s="104" t="n"/>
      <c r="BC4" s="104" t="n"/>
      <c r="BD4" s="104" t="n"/>
      <c r="BE4" s="104" t="n"/>
      <c r="BF4" s="104" t="n"/>
      <c r="BG4" s="104" t="n"/>
      <c r="BH4" s="104" t="n"/>
      <c r="BI4" s="104" t="n"/>
      <c r="BJ4" s="104" t="n"/>
      <c r="BK4" s="104" t="n"/>
      <c r="BL4" s="104" t="n"/>
      <c r="BM4" s="104" t="n">
        <v>80000</v>
      </c>
    </row>
    <row r="5" ht="16.5" customHeight="1" s="84">
      <c r="A5" s="13" t="inlineStr">
        <is>
          <t>元大-電梯</t>
        </is>
      </c>
      <c r="B5" s="104" t="n">
        <v>2225479</v>
      </c>
      <c r="C5" s="104" t="n">
        <v>2277084</v>
      </c>
      <c r="D5" s="104" t="n">
        <v>2328175</v>
      </c>
      <c r="E5" s="104" t="n">
        <v>2379383</v>
      </c>
      <c r="F5" s="104" t="n">
        <v>2430552</v>
      </c>
      <c r="G5" s="104" t="n">
        <v>2481785</v>
      </c>
      <c r="H5" s="104" t="n">
        <v>2532954</v>
      </c>
      <c r="I5" s="104" t="n">
        <v>2584162</v>
      </c>
      <c r="J5" s="104" t="n">
        <v>2635370</v>
      </c>
      <c r="K5" s="104" t="n">
        <v>2686539</v>
      </c>
      <c r="L5" s="104" t="n">
        <v>2737747</v>
      </c>
      <c r="M5" s="104" t="n">
        <v>2788956</v>
      </c>
      <c r="N5" s="104" t="n">
        <v>2840164</v>
      </c>
      <c r="O5" s="104" t="n">
        <v>2513372</v>
      </c>
      <c r="P5" s="104" t="n">
        <v>2564463</v>
      </c>
      <c r="Q5" s="104" t="n">
        <v>2615671</v>
      </c>
      <c r="R5" s="104" t="n">
        <v>2666840</v>
      </c>
      <c r="S5" s="104" t="n">
        <v>2718131</v>
      </c>
      <c r="T5" s="104" t="n">
        <v>2769300</v>
      </c>
      <c r="U5" s="104" t="n">
        <v>2820508</v>
      </c>
      <c r="V5" s="104" t="n">
        <v>2871716</v>
      </c>
      <c r="W5" s="104" t="n">
        <v>2922885</v>
      </c>
      <c r="X5" s="104" t="n">
        <v>2974093</v>
      </c>
      <c r="Y5" s="104" t="n">
        <v>3026380</v>
      </c>
      <c r="Z5" s="104" t="n">
        <v>3077588</v>
      </c>
      <c r="AA5" s="104" t="n">
        <v>2663796</v>
      </c>
      <c r="AB5" s="104" t="n">
        <v>2715764</v>
      </c>
      <c r="AC5" s="104" t="n">
        <v>2767942</v>
      </c>
      <c r="AD5" s="104" t="n">
        <v>2820050</v>
      </c>
      <c r="AE5" s="104" t="n">
        <v>2874626</v>
      </c>
      <c r="AF5" s="104" t="n">
        <v>2926734</v>
      </c>
      <c r="AG5" s="104" t="n">
        <v>2978912</v>
      </c>
      <c r="AH5" s="104" t="n">
        <v>2511090</v>
      </c>
      <c r="AI5" s="104" t="n">
        <v>2563198</v>
      </c>
      <c r="AJ5" s="104" t="n">
        <v>2615376</v>
      </c>
      <c r="AK5" s="104" t="n">
        <v>2670019</v>
      </c>
      <c r="AL5" s="104" t="n">
        <v>2722197</v>
      </c>
      <c r="AM5" s="104" t="n">
        <v>2254375</v>
      </c>
      <c r="AN5" s="104" t="n">
        <v>2306592</v>
      </c>
      <c r="AO5" s="104" t="n">
        <v>2358962</v>
      </c>
      <c r="AP5" s="104" t="n">
        <v>2411255</v>
      </c>
      <c r="AQ5" s="104" t="n">
        <v>2465548</v>
      </c>
      <c r="AR5" s="104" t="n">
        <v>2517841</v>
      </c>
      <c r="AS5" s="104" t="n">
        <v>2570211</v>
      </c>
      <c r="AT5" s="104" t="n">
        <v>2622581</v>
      </c>
      <c r="AU5" t="n">
        <v>2154874</v>
      </c>
      <c r="AV5" s="104" t="n">
        <v>2209537</v>
      </c>
      <c r="AW5" s="104" t="n">
        <v>2213973</v>
      </c>
      <c r="AX5" s="104" t="n">
        <v>2313973</v>
      </c>
      <c r="AY5" s="104" t="n">
        <v>2316343</v>
      </c>
      <c r="AZ5" s="104" t="n">
        <v>2368656</v>
      </c>
      <c r="BA5" s="104" t="n">
        <v>2421217</v>
      </c>
      <c r="BB5" s="104" t="n">
        <v>910548</v>
      </c>
      <c r="BC5" s="104" t="n">
        <v>912597</v>
      </c>
      <c r="BD5" s="104" t="n">
        <v>912597</v>
      </c>
      <c r="BE5" s="104" t="n"/>
      <c r="BF5" s="104" t="n"/>
      <c r="BG5" s="104" t="n"/>
      <c r="BH5" s="104" t="n"/>
      <c r="BI5" s="104" t="n"/>
      <c r="BJ5" s="104" t="n"/>
      <c r="BK5" s="104" t="n"/>
      <c r="BL5" s="104" t="n"/>
      <c r="BM5" s="104" t="n">
        <v>1445251</v>
      </c>
    </row>
    <row r="6" ht="16.5" customHeight="1" s="84">
      <c r="A6" s="13" t="inlineStr">
        <is>
          <t>台銀-公共基金(定存)</t>
        </is>
      </c>
      <c r="B6" s="104" t="n">
        <v>5915617</v>
      </c>
      <c r="C6" s="104" t="n">
        <v>5918333</v>
      </c>
      <c r="D6" s="104" t="n">
        <v>5921049</v>
      </c>
      <c r="E6" s="104" t="n">
        <v>5923765</v>
      </c>
      <c r="F6" s="104" t="n">
        <v>5926481</v>
      </c>
      <c r="G6" s="104" t="n">
        <v>5929580</v>
      </c>
      <c r="H6" s="104" t="n">
        <v>5932296</v>
      </c>
      <c r="I6" s="104" t="n">
        <v>5935012</v>
      </c>
      <c r="J6" s="104" t="n">
        <v>5937728</v>
      </c>
      <c r="K6" s="104" t="n">
        <v>5940444</v>
      </c>
      <c r="L6" s="104" t="n">
        <v>5943160</v>
      </c>
      <c r="M6" s="104" t="n">
        <v>5946265</v>
      </c>
      <c r="N6" s="104" t="n">
        <v>5948981</v>
      </c>
      <c r="O6" s="104" t="n">
        <v>5951697</v>
      </c>
      <c r="P6" s="104" t="n">
        <v>5954413</v>
      </c>
      <c r="Q6" s="104" t="n">
        <v>5957685</v>
      </c>
      <c r="R6" s="104" t="n">
        <v>5961237</v>
      </c>
      <c r="S6" s="104" t="n">
        <v>5965383</v>
      </c>
      <c r="T6" s="104" t="n">
        <v>5969211</v>
      </c>
      <c r="U6" s="104" t="n">
        <v>5973179</v>
      </c>
      <c r="V6" s="104" t="n">
        <v>5977147</v>
      </c>
      <c r="W6" s="104" t="n">
        <v>5981307</v>
      </c>
      <c r="X6" s="104" t="n">
        <v>5985691</v>
      </c>
      <c r="Y6" s="104" t="n">
        <v>5992704</v>
      </c>
      <c r="Z6" s="104" t="n">
        <v>5997392</v>
      </c>
      <c r="AA6" s="104" t="n">
        <v>6002192</v>
      </c>
      <c r="AB6" s="104" t="n">
        <v>6006992</v>
      </c>
      <c r="AC6" s="104" t="n">
        <v>6011988</v>
      </c>
      <c r="AD6" s="104" t="n">
        <v>6017204</v>
      </c>
      <c r="AE6" s="104" t="n">
        <v>6027566</v>
      </c>
      <c r="AF6" s="104" t="n">
        <v>6032782</v>
      </c>
      <c r="AG6" s="104" t="n">
        <v>6037998</v>
      </c>
      <c r="AH6" s="104" t="n">
        <v>6043214</v>
      </c>
      <c r="AI6" s="104" t="n">
        <v>6048430</v>
      </c>
      <c r="AJ6" s="104" t="n">
        <v>6053646</v>
      </c>
      <c r="AK6" s="104" t="n">
        <v>6064801</v>
      </c>
      <c r="AL6" s="104" t="n">
        <v>6070017</v>
      </c>
      <c r="AM6" s="104" t="n">
        <v>6075233</v>
      </c>
      <c r="AN6" s="104" t="n">
        <v>6080449</v>
      </c>
      <c r="AO6" s="104" t="n">
        <v>6085889</v>
      </c>
      <c r="AP6" s="104" t="n">
        <v>6091521</v>
      </c>
      <c r="AQ6" s="104" t="n">
        <v>6103831</v>
      </c>
      <c r="AR6" s="104" t="n">
        <v>6109463</v>
      </c>
      <c r="AS6" s="104" t="n">
        <v>6115095</v>
      </c>
      <c r="AT6" s="104" t="n">
        <v>6120727</v>
      </c>
      <c r="AU6" t="n">
        <v>6126359</v>
      </c>
      <c r="AV6" s="104" t="n">
        <v>6131991</v>
      </c>
      <c r="AW6" s="104" t="n">
        <v>6145116</v>
      </c>
      <c r="AX6" s="104" t="n">
        <v>6150748</v>
      </c>
      <c r="AY6" s="104" t="n">
        <v>6156380</v>
      </c>
      <c r="AZ6" s="104" t="n">
        <v>6162012</v>
      </c>
      <c r="BA6" s="104" t="n">
        <v>6167644</v>
      </c>
      <c r="BB6" s="104" t="n">
        <v>6173276</v>
      </c>
      <c r="BC6" s="104" t="n">
        <v>6186505</v>
      </c>
      <c r="BD6" s="104" t="n">
        <v>4000000</v>
      </c>
      <c r="BE6" s="104" t="n">
        <v>4000000</v>
      </c>
      <c r="BF6" s="104" t="n">
        <v>4000000</v>
      </c>
      <c r="BG6" s="104" t="n">
        <v>4000000</v>
      </c>
      <c r="BH6" s="104" t="n">
        <v>4000000</v>
      </c>
      <c r="BI6" s="104" t="n">
        <v>4000000</v>
      </c>
      <c r="BJ6" s="104" t="n">
        <v>4000000</v>
      </c>
      <c r="BK6" s="104" t="n">
        <v>4000000</v>
      </c>
      <c r="BL6" s="104" t="n">
        <v>4000000</v>
      </c>
      <c r="BM6" s="104" t="n">
        <v>4000000</v>
      </c>
    </row>
    <row r="7" ht="16.5" customHeight="1" s="84">
      <c r="A7" s="13" t="inlineStr">
        <is>
          <t>台銀-活存</t>
        </is>
      </c>
      <c r="B7" s="104" t="n"/>
      <c r="C7" s="104" t="n"/>
      <c r="D7" s="104" t="n"/>
      <c r="E7" s="104" t="n"/>
      <c r="F7" s="104" t="n"/>
      <c r="G7" s="104" t="n"/>
      <c r="H7" s="104" t="n"/>
      <c r="I7" s="104" t="n"/>
      <c r="J7" s="104" t="n"/>
      <c r="K7" s="104" t="n"/>
      <c r="L7" s="104" t="n"/>
      <c r="M7" s="104" t="n"/>
      <c r="N7" s="104" t="n"/>
      <c r="O7" s="104" t="n"/>
      <c r="P7" s="104" t="n"/>
      <c r="Q7" s="104" t="n"/>
      <c r="R7" s="104" t="n"/>
      <c r="S7" s="104" t="n"/>
      <c r="T7" s="104" t="n"/>
      <c r="U7" s="104" t="n"/>
      <c r="V7" s="104" t="n"/>
      <c r="W7" s="104" t="n"/>
      <c r="X7" s="104" t="n"/>
      <c r="Y7" s="104" t="n"/>
      <c r="Z7" s="104" t="n"/>
      <c r="AA7" s="104" t="n"/>
      <c r="AB7" s="104" t="n"/>
      <c r="AC7" s="104" t="n"/>
      <c r="AD7" s="104" t="n"/>
      <c r="AE7" s="104" t="n"/>
      <c r="AF7" s="104" t="n"/>
      <c r="AG7" s="104" t="n"/>
      <c r="AH7" s="104" t="n"/>
      <c r="AI7" s="104" t="n"/>
      <c r="AJ7" s="104" t="n"/>
      <c r="AK7" s="104" t="n"/>
      <c r="AL7" s="104" t="n"/>
      <c r="AM7" s="104" t="n"/>
      <c r="AN7" s="104" t="n"/>
      <c r="AO7" s="104" t="n"/>
      <c r="AP7" s="104" t="n"/>
      <c r="AQ7" s="104" t="n"/>
      <c r="AR7" s="104" t="n"/>
      <c r="AS7" s="104" t="n"/>
      <c r="AT7" s="104" t="n"/>
      <c r="AV7" s="104" t="n"/>
      <c r="AW7" s="104" t="n"/>
      <c r="AX7" s="104" t="n"/>
      <c r="AY7" s="104" t="n"/>
      <c r="AZ7" s="104" t="n"/>
      <c r="BA7" s="104" t="n"/>
      <c r="BB7" s="104" t="n"/>
      <c r="BC7" s="104" t="n"/>
      <c r="BD7" s="104" t="n"/>
      <c r="BE7" s="104" t="n">
        <v>2197769</v>
      </c>
      <c r="BF7" s="104" t="n">
        <v>2203401</v>
      </c>
      <c r="BG7" s="104" t="n">
        <v>2209033</v>
      </c>
      <c r="BH7" s="104" t="n">
        <v>2214665</v>
      </c>
      <c r="BI7" s="104" t="n">
        <v>2228082</v>
      </c>
      <c r="BJ7" s="104" t="n">
        <v>2233714</v>
      </c>
      <c r="BK7" s="104" t="n">
        <v>2239346</v>
      </c>
      <c r="BL7" s="104" t="n">
        <v>2244978</v>
      </c>
      <c r="BM7" s="104" t="n">
        <v>11224</v>
      </c>
    </row>
    <row r="8" ht="16.5" customHeight="1" s="84">
      <c r="A8" s="13" t="inlineStr">
        <is>
          <t>應收-AED押金</t>
        </is>
      </c>
      <c r="B8" s="104" t="n">
        <v>10798</v>
      </c>
      <c r="C8" s="104" t="n">
        <v>20000</v>
      </c>
      <c r="D8" s="104" t="n">
        <v>20000</v>
      </c>
      <c r="E8" s="104" t="n">
        <v>20000</v>
      </c>
      <c r="F8" s="104" t="n">
        <v>20000</v>
      </c>
      <c r="G8" s="104" t="n">
        <v>20000</v>
      </c>
      <c r="H8" s="104" t="n">
        <v>20000</v>
      </c>
      <c r="I8" s="104" t="n">
        <v>4000</v>
      </c>
      <c r="J8" s="104" t="n">
        <v>4000</v>
      </c>
      <c r="K8" s="104" t="n">
        <v>4000</v>
      </c>
      <c r="L8" s="104" t="n">
        <v>4000</v>
      </c>
      <c r="M8" s="104" t="n">
        <v>4000</v>
      </c>
      <c r="N8" s="104" t="n">
        <v>4000</v>
      </c>
      <c r="O8" s="104" t="n">
        <v>4000</v>
      </c>
      <c r="P8" s="104" t="n">
        <v>4000</v>
      </c>
      <c r="Q8" s="104" t="n">
        <v>4000</v>
      </c>
      <c r="R8" s="104" t="n">
        <v>4000</v>
      </c>
      <c r="S8" s="104" t="n">
        <v>4000</v>
      </c>
      <c r="T8" s="104" t="n">
        <v>4000</v>
      </c>
      <c r="U8" s="104" t="n">
        <v>4000</v>
      </c>
      <c r="V8" s="104" t="n">
        <v>4000</v>
      </c>
      <c r="W8" s="104" t="n">
        <v>4000</v>
      </c>
      <c r="X8" s="104" t="n">
        <v>4000</v>
      </c>
      <c r="Y8" s="104" t="n">
        <v>4000</v>
      </c>
      <c r="Z8" s="104" t="n">
        <v>4000</v>
      </c>
      <c r="AA8" s="104" t="n">
        <v>4000</v>
      </c>
      <c r="AB8" s="104" t="n">
        <v>4000</v>
      </c>
      <c r="AC8" s="104" t="n">
        <v>4000</v>
      </c>
      <c r="AD8" s="104" t="n">
        <v>4000</v>
      </c>
      <c r="AE8" s="104" t="n">
        <v>4000</v>
      </c>
      <c r="AF8" s="104" t="n">
        <v>4000</v>
      </c>
      <c r="AG8" s="104" t="n">
        <v>4000</v>
      </c>
      <c r="AH8" s="104" t="n">
        <v>4000</v>
      </c>
      <c r="AI8" s="104" t="n">
        <v>4000</v>
      </c>
      <c r="AJ8" s="104" t="n">
        <v>4000</v>
      </c>
      <c r="AK8" s="104" t="n">
        <v>4000</v>
      </c>
      <c r="AL8" s="104" t="n">
        <v>4000</v>
      </c>
      <c r="AM8" s="104" t="n">
        <v>4000</v>
      </c>
      <c r="AN8" s="104" t="n">
        <v>4000</v>
      </c>
      <c r="AO8" s="104" t="n">
        <v>4000</v>
      </c>
      <c r="AP8" s="104" t="n">
        <v>4000</v>
      </c>
      <c r="AQ8" s="104" t="n">
        <v>4000</v>
      </c>
      <c r="AR8" s="104" t="n">
        <v>4000</v>
      </c>
      <c r="AS8" s="104" t="n">
        <v>4000</v>
      </c>
      <c r="AT8" s="104" t="n">
        <v>4000</v>
      </c>
      <c r="AU8" t="n">
        <v>4000</v>
      </c>
      <c r="AV8" s="104" t="n">
        <v>4000</v>
      </c>
      <c r="AW8" s="104" t="n">
        <v>4000</v>
      </c>
      <c r="AX8" s="104" t="n">
        <v>4000</v>
      </c>
      <c r="AY8" s="104" t="n">
        <v>4000</v>
      </c>
      <c r="AZ8" s="104" t="n">
        <v>4000</v>
      </c>
      <c r="BA8" s="104" t="n">
        <v>4000</v>
      </c>
      <c r="BB8" s="104" t="n">
        <v>4000</v>
      </c>
      <c r="BC8" s="104" t="n">
        <v>4000</v>
      </c>
      <c r="BD8" s="104" t="n">
        <v>10000</v>
      </c>
      <c r="BE8" s="104" t="n">
        <v>10000</v>
      </c>
      <c r="BF8" s="104" t="n">
        <v>10000</v>
      </c>
      <c r="BG8" s="104" t="n">
        <v>10000</v>
      </c>
      <c r="BH8" s="104" t="n">
        <v>10000</v>
      </c>
      <c r="BI8" s="104" t="n">
        <v>10000</v>
      </c>
      <c r="BJ8" s="104" t="n">
        <v>10000</v>
      </c>
      <c r="BK8" s="104" t="n">
        <v>10000</v>
      </c>
      <c r="BL8" s="104" t="n">
        <v>10000</v>
      </c>
      <c r="BM8" s="104" t="n">
        <v>10000</v>
      </c>
    </row>
    <row r="9" ht="15" customHeight="1" s="84">
      <c r="A9" s="13" t="inlineStr">
        <is>
          <t>零用金</t>
        </is>
      </c>
      <c r="B9" s="104" t="n"/>
      <c r="C9" s="104" t="n"/>
      <c r="D9" s="104" t="n"/>
      <c r="E9" s="104" t="n"/>
      <c r="F9" s="104" t="n"/>
      <c r="G9" s="104" t="n"/>
      <c r="H9" s="104" t="n"/>
      <c r="I9" s="104" t="n"/>
      <c r="J9" s="104" t="n"/>
      <c r="K9" s="104" t="n"/>
      <c r="L9" s="104" t="n"/>
      <c r="M9" s="104" t="n"/>
      <c r="N9" s="104" t="n"/>
      <c r="O9" s="104" t="n"/>
      <c r="P9" s="104" t="n"/>
      <c r="Q9" s="104" t="n"/>
      <c r="R9" s="104" t="n"/>
      <c r="S9" s="104" t="n"/>
      <c r="T9" s="104" t="n"/>
      <c r="U9" s="104" t="n"/>
      <c r="V9" s="104" t="n"/>
      <c r="W9" s="104" t="n"/>
      <c r="X9" s="104" t="n"/>
      <c r="Y9" s="104" t="n"/>
      <c r="Z9" s="104" t="n"/>
      <c r="AA9" s="104" t="n"/>
      <c r="AB9" s="104" t="n"/>
      <c r="AC9" s="104" t="n"/>
      <c r="AD9" s="104" t="n"/>
      <c r="AE9" s="104" t="n"/>
      <c r="AF9" s="104" t="n"/>
      <c r="AG9" s="104" t="n"/>
      <c r="AH9" s="104" t="n"/>
      <c r="AI9" s="104" t="n"/>
      <c r="AJ9" s="104" t="n"/>
      <c r="AK9" s="104" t="n"/>
      <c r="AL9" s="104" t="n"/>
      <c r="AM9" s="104" t="n"/>
      <c r="AN9" s="104" t="n"/>
      <c r="AO9" s="104" t="n"/>
      <c r="AP9" s="104" t="n"/>
      <c r="AQ9" s="104" t="n"/>
      <c r="AR9" s="104" t="n"/>
      <c r="AS9" s="104" t="n"/>
      <c r="AT9" s="104" t="n"/>
      <c r="AV9" s="104" t="n"/>
      <c r="AW9" s="104" t="n"/>
      <c r="AX9" s="104" t="n"/>
      <c r="AY9" s="104" t="n"/>
      <c r="AZ9" s="104" t="n"/>
      <c r="BA9" s="104" t="n"/>
      <c r="BB9" s="104" t="n"/>
      <c r="BC9" s="104" t="n"/>
      <c r="BD9" s="104" t="n"/>
      <c r="BE9" s="104" t="n"/>
      <c r="BF9" s="104" t="n"/>
      <c r="BG9" s="104" t="n"/>
      <c r="BH9" s="104" t="n"/>
      <c r="BI9" s="104" t="n"/>
      <c r="BJ9" s="104" t="n"/>
      <c r="BK9" s="104" t="n"/>
      <c r="BL9" s="104" t="n"/>
      <c r="BM9" s="104" t="n">
        <v>17444</v>
      </c>
    </row>
    <row r="10" ht="15" customHeight="1" s="84">
      <c r="A10" s="10" t="inlineStr">
        <is>
          <t>全帳戶月末合計</t>
        </is>
      </c>
      <c r="B10" s="106" t="n">
        <v>19202835</v>
      </c>
      <c r="C10" s="106" t="n">
        <v>17372468</v>
      </c>
      <c r="D10" s="106" t="n">
        <v>16266550</v>
      </c>
      <c r="E10" s="106" t="n">
        <v>17671352</v>
      </c>
      <c r="F10" s="106" t="n">
        <v>17148173</v>
      </c>
      <c r="G10" s="106" t="n">
        <v>15954141</v>
      </c>
      <c r="H10" s="106" t="n">
        <v>17334102</v>
      </c>
      <c r="I10" s="106" t="n">
        <v>16954040</v>
      </c>
      <c r="J10" s="106" t="n">
        <v>15455024</v>
      </c>
      <c r="K10" s="106" t="n">
        <v>16743271</v>
      </c>
      <c r="L10" s="106" t="n">
        <v>15716090</v>
      </c>
      <c r="M10" s="106" t="n">
        <v>14855149</v>
      </c>
      <c r="N10" s="106" t="n">
        <v>15953432</v>
      </c>
      <c r="O10" s="106" t="n">
        <v>15188680</v>
      </c>
      <c r="P10" s="106" t="n">
        <v>14225584</v>
      </c>
      <c r="Q10" s="106" t="n">
        <v>16123651</v>
      </c>
      <c r="R10" s="106" t="n">
        <v>15831486</v>
      </c>
      <c r="S10" s="106" t="n">
        <v>15002726</v>
      </c>
      <c r="T10" s="106" t="n">
        <v>17022840</v>
      </c>
      <c r="U10" s="106" t="n">
        <v>16934232</v>
      </c>
      <c r="V10" s="106" t="n">
        <v>16190968</v>
      </c>
      <c r="W10" s="106" t="n">
        <v>18040998</v>
      </c>
      <c r="X10" s="106" t="n">
        <v>17420837</v>
      </c>
      <c r="Y10" s="106" t="n">
        <v>16428444</v>
      </c>
      <c r="Z10" s="106" t="n">
        <v>18367364</v>
      </c>
      <c r="AA10" s="106" t="n">
        <v>16832360</v>
      </c>
      <c r="AB10" s="106" t="n">
        <v>15874105</v>
      </c>
      <c r="AC10" s="106" t="n">
        <v>17780731</v>
      </c>
      <c r="AD10" s="106" t="n">
        <v>17659066</v>
      </c>
      <c r="AE10" s="106" t="n">
        <v>16724392</v>
      </c>
      <c r="AF10" s="106" t="n">
        <v>18839679</v>
      </c>
      <c r="AG10" s="106" t="n">
        <v>18054199</v>
      </c>
      <c r="AH10" s="106" t="n">
        <v>16630251</v>
      </c>
      <c r="AI10" s="106" t="n">
        <v>19093347</v>
      </c>
      <c r="AJ10" s="106" t="n">
        <v>18500600</v>
      </c>
      <c r="AK10" s="106" t="n">
        <v>17098337</v>
      </c>
      <c r="AL10" s="106" t="n">
        <v>19568581</v>
      </c>
      <c r="AM10" s="106" t="n">
        <v>18295085</v>
      </c>
      <c r="AN10" s="106" t="n">
        <v>17139022</v>
      </c>
      <c r="AO10" s="106" t="n">
        <v>18956255</v>
      </c>
      <c r="AP10" s="106" t="n">
        <v>18634434</v>
      </c>
      <c r="AQ10" s="106" t="n">
        <v>17361178</v>
      </c>
      <c r="AR10" s="106" t="n">
        <v>19510429</v>
      </c>
      <c r="AS10" s="106" t="n">
        <v>18696097</v>
      </c>
      <c r="AT10" s="106" t="n">
        <v>17251592</v>
      </c>
      <c r="AU10" t="n">
        <v>19112054</v>
      </c>
      <c r="AV10" s="106" t="n">
        <v>18295618</v>
      </c>
      <c r="AW10" s="106" t="n">
        <v>17030242</v>
      </c>
      <c r="AX10" s="106" t="n">
        <v>17837052</v>
      </c>
      <c r="AY10" s="106" t="n">
        <v>19383491</v>
      </c>
      <c r="AZ10" s="106" t="n">
        <v>18264729</v>
      </c>
      <c r="BA10" s="106" t="n">
        <v>18957945</v>
      </c>
      <c r="BB10" s="106" t="n">
        <v>17082936</v>
      </c>
      <c r="BC10" s="106" t="n">
        <v>15830683</v>
      </c>
      <c r="BD10" s="106" t="n">
        <v>12082116</v>
      </c>
      <c r="BE10" s="106" t="n">
        <v>11634446</v>
      </c>
      <c r="BF10" s="106" t="n">
        <v>9276021</v>
      </c>
      <c r="BG10" s="106" t="n">
        <v>9274079</v>
      </c>
      <c r="BH10" s="106" t="n">
        <v>8716264</v>
      </c>
      <c r="BI10" s="106" t="n">
        <v>7920786</v>
      </c>
      <c r="BJ10" s="106" t="n">
        <v>8907204</v>
      </c>
      <c r="BK10" s="106" t="n">
        <v>8045643</v>
      </c>
      <c r="BL10" s="106" t="n">
        <v>7722873</v>
      </c>
      <c r="BM10" s="106" t="n">
        <v>11623750</v>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325"/>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7.83203125" defaultRowHeight="17"/>
  <cols>
    <col width="11" customWidth="1" style="84" min="1" max="1"/>
    <col width="27.33203125" customWidth="1" style="84" min="2" max="2"/>
    <col width="12.6640625" customWidth="1" style="84" min="3" max="6"/>
  </cols>
  <sheetData>
    <row r="1" ht="15" customHeight="1" s="84">
      <c r="A1" s="6" t="inlineStr">
        <is>
          <t>月份</t>
        </is>
      </c>
      <c r="B1" s="6" t="inlineStr">
        <is>
          <t>帳戶</t>
        </is>
      </c>
      <c r="C1" s="6" t="inlineStr">
        <is>
          <t>上期餘額</t>
        </is>
      </c>
      <c r="D1" s="6" t="inlineStr">
        <is>
          <t>本月收入</t>
        </is>
      </c>
      <c r="E1" s="6" t="inlineStr">
        <is>
          <t>本月支出</t>
        </is>
      </c>
      <c r="F1" s="6" t="inlineStr">
        <is>
          <t>期末餘額</t>
        </is>
      </c>
    </row>
    <row r="2" ht="16.5" customHeight="1" s="84">
      <c r="A2" s="7" t="inlineStr">
        <is>
          <t>2021-01</t>
        </is>
      </c>
      <c r="B2" s="13" t="inlineStr">
        <is>
          <t>元大-管理費</t>
        </is>
      </c>
      <c r="C2" s="104" t="n">
        <v>10096540</v>
      </c>
      <c r="D2" s="104" t="n">
        <v>954401</v>
      </c>
      <c r="E2" s="104" t="n">
        <v>0</v>
      </c>
      <c r="F2" s="104" t="n">
        <v>11050941</v>
      </c>
    </row>
    <row r="3" ht="16.5" customHeight="1" s="84">
      <c r="A3" s="7" t="inlineStr">
        <is>
          <t>2021-01</t>
        </is>
      </c>
      <c r="B3" s="13" t="inlineStr">
        <is>
          <t>台銀-公共基金(定存)</t>
        </is>
      </c>
      <c r="C3" s="104" t="n">
        <v>5912901</v>
      </c>
      <c r="D3" s="104" t="n">
        <v>2716</v>
      </c>
      <c r="E3" s="104" t="n">
        <v>0</v>
      </c>
      <c r="F3" s="104" t="n">
        <v>5915617</v>
      </c>
    </row>
    <row r="4" ht="16.5" customHeight="1" s="84">
      <c r="A4" s="7" t="inlineStr">
        <is>
          <t>2021-01</t>
        </is>
      </c>
      <c r="B4" s="13" t="inlineStr">
        <is>
          <t>元大-電梯</t>
        </is>
      </c>
      <c r="C4" s="104" t="n">
        <v>2173874</v>
      </c>
      <c r="D4" s="104" t="n">
        <v>51605</v>
      </c>
      <c r="E4" s="104" t="n">
        <v>0</v>
      </c>
      <c r="F4" s="104" t="n">
        <v>2225479</v>
      </c>
    </row>
    <row r="5" ht="16.5" customHeight="1" s="84">
      <c r="A5" s="7" t="inlineStr">
        <is>
          <t>2021-01</t>
        </is>
      </c>
      <c r="B5" s="13" t="inlineStr">
        <is>
          <t>應收-AED押金</t>
        </is>
      </c>
      <c r="C5" s="104" t="n">
        <v>15923</v>
      </c>
      <c r="D5" s="104" t="n">
        <v>0</v>
      </c>
      <c r="E5" s="104" t="n">
        <v>5125</v>
      </c>
      <c r="F5" s="104" t="n">
        <v>10798</v>
      </c>
    </row>
    <row r="6" ht="18" customHeight="1" s="84">
      <c r="A6" s="34" t="inlineStr">
        <is>
          <t>2021-01</t>
        </is>
      </c>
      <c r="B6" s="34" t="inlineStr">
        <is>
          <t xml:space="preserve">  ↳ 2021-01 小計 (4 帳)</t>
        </is>
      </c>
      <c r="C6" s="106" t="n">
        <v>18199238</v>
      </c>
      <c r="D6" s="106" t="n">
        <v>1008722</v>
      </c>
      <c r="E6" s="106" t="n">
        <v>5125</v>
      </c>
      <c r="F6" s="106" t="n">
        <v>19202835</v>
      </c>
    </row>
    <row r="7" ht="16.5" customHeight="1" s="84">
      <c r="A7" s="7" t="inlineStr">
        <is>
          <t>2021-02</t>
        </is>
      </c>
      <c r="B7" s="13" t="inlineStr">
        <is>
          <t>元大-管理費</t>
        </is>
      </c>
      <c r="C7" s="104" t="n">
        <v>11050941</v>
      </c>
      <c r="D7" s="104" t="n">
        <v>0</v>
      </c>
      <c r="E7" s="104" t="n">
        <v>1893890</v>
      </c>
      <c r="F7" s="104" t="n">
        <v>9157051</v>
      </c>
    </row>
    <row r="8" ht="16.5" customHeight="1" s="84">
      <c r="A8" s="7" t="inlineStr">
        <is>
          <t>2021-02</t>
        </is>
      </c>
      <c r="B8" s="13" t="inlineStr">
        <is>
          <t>台銀-公共基金(定存)</t>
        </is>
      </c>
      <c r="C8" s="104" t="n">
        <v>5915617</v>
      </c>
      <c r="D8" s="104" t="n">
        <v>2716</v>
      </c>
      <c r="E8" s="104" t="n">
        <v>0</v>
      </c>
      <c r="F8" s="104" t="n">
        <v>5918333</v>
      </c>
    </row>
    <row r="9" ht="16.5" customHeight="1" s="84">
      <c r="A9" s="7" t="inlineStr">
        <is>
          <t>2021-02</t>
        </is>
      </c>
      <c r="B9" s="13" t="inlineStr">
        <is>
          <t>元大-電梯</t>
        </is>
      </c>
      <c r="C9" s="104" t="n">
        <v>2225479</v>
      </c>
      <c r="D9" s="104" t="n">
        <v>51605</v>
      </c>
      <c r="E9" s="104" t="n">
        <v>0</v>
      </c>
      <c r="F9" s="104" t="n">
        <v>2277084</v>
      </c>
    </row>
    <row r="10" ht="16.5" customHeight="1" s="84">
      <c r="A10" s="7" t="inlineStr">
        <is>
          <t>2021-02</t>
        </is>
      </c>
      <c r="B10" s="13" t="inlineStr">
        <is>
          <t>應收-AED押金</t>
        </is>
      </c>
      <c r="C10" s="104" t="n">
        <v>10798</v>
      </c>
      <c r="D10" s="104" t="n">
        <v>9202</v>
      </c>
      <c r="E10" s="104" t="n">
        <v>0</v>
      </c>
      <c r="F10" s="104" t="n">
        <v>20000</v>
      </c>
    </row>
    <row r="11" ht="18" customHeight="1" s="84">
      <c r="A11" s="34" t="inlineStr">
        <is>
          <t>2021-02</t>
        </is>
      </c>
      <c r="B11" s="34" t="inlineStr">
        <is>
          <t xml:space="preserve">  ↳ 2021-02 小計 (4 帳)</t>
        </is>
      </c>
      <c r="C11" s="106" t="n">
        <v>19202835</v>
      </c>
      <c r="D11" s="106" t="n">
        <v>63523</v>
      </c>
      <c r="E11" s="106" t="n">
        <v>1893890</v>
      </c>
      <c r="F11" s="106" t="n">
        <v>17372468</v>
      </c>
    </row>
    <row r="12" ht="16.5" customHeight="1" s="84">
      <c r="A12" s="7" t="inlineStr">
        <is>
          <t>2021-03</t>
        </is>
      </c>
      <c r="B12" s="13" t="inlineStr">
        <is>
          <t>元大-管理費</t>
        </is>
      </c>
      <c r="C12" s="104" t="n">
        <v>9157051</v>
      </c>
      <c r="D12" s="104" t="n">
        <v>0</v>
      </c>
      <c r="E12" s="104" t="n">
        <v>1159725</v>
      </c>
      <c r="F12" s="104" t="n">
        <v>7997326</v>
      </c>
    </row>
    <row r="13" ht="16.5" customHeight="1" s="84">
      <c r="A13" s="7" t="inlineStr">
        <is>
          <t>2021-03</t>
        </is>
      </c>
      <c r="B13" s="13" t="inlineStr">
        <is>
          <t>台銀-公共基金(定存)</t>
        </is>
      </c>
      <c r="C13" s="104" t="n">
        <v>5918333</v>
      </c>
      <c r="D13" s="104" t="n">
        <v>2716</v>
      </c>
      <c r="E13" s="104" t="n">
        <v>0</v>
      </c>
      <c r="F13" s="104" t="n">
        <v>5921049</v>
      </c>
    </row>
    <row r="14" ht="16.5" customHeight="1" s="84">
      <c r="A14" s="7" t="inlineStr">
        <is>
          <t>2021-03</t>
        </is>
      </c>
      <c r="B14" s="13" t="inlineStr">
        <is>
          <t>元大-電梯</t>
        </is>
      </c>
      <c r="C14" s="104" t="n">
        <v>2277084</v>
      </c>
      <c r="D14" s="104" t="n">
        <v>51091</v>
      </c>
      <c r="E14" s="104" t="n">
        <v>0</v>
      </c>
      <c r="F14" s="104" t="n">
        <v>2328175</v>
      </c>
    </row>
    <row r="15" ht="16.5" customHeight="1" s="84">
      <c r="A15" s="7" t="inlineStr">
        <is>
          <t>2021-03</t>
        </is>
      </c>
      <c r="B15" s="13" t="inlineStr">
        <is>
          <t>應收-AED押金</t>
        </is>
      </c>
      <c r="C15" s="104" t="n">
        <v>20000</v>
      </c>
      <c r="D15" s="104" t="n">
        <v>0</v>
      </c>
      <c r="E15" s="104" t="n">
        <v>0</v>
      </c>
      <c r="F15" s="104" t="n">
        <v>20000</v>
      </c>
    </row>
    <row r="16" ht="18" customHeight="1" s="84">
      <c r="A16" s="34" t="inlineStr">
        <is>
          <t>2021-03</t>
        </is>
      </c>
      <c r="B16" s="34" t="inlineStr">
        <is>
          <t xml:space="preserve">  ↳ 2021-03 小計 (4 帳)</t>
        </is>
      </c>
      <c r="C16" s="106" t="n">
        <v>17372468</v>
      </c>
      <c r="D16" s="106" t="n">
        <v>53807</v>
      </c>
      <c r="E16" s="106" t="n">
        <v>1159725</v>
      </c>
      <c r="F16" s="106" t="n">
        <v>16266550</v>
      </c>
    </row>
    <row r="17" ht="16.5" customHeight="1" s="84">
      <c r="A17" s="7" t="inlineStr">
        <is>
          <t>2021-04</t>
        </is>
      </c>
      <c r="B17" s="13" t="inlineStr">
        <is>
          <t>元大-管理費</t>
        </is>
      </c>
      <c r="C17" s="104" t="n">
        <v>7997326</v>
      </c>
      <c r="D17" s="104" t="n">
        <v>1350878</v>
      </c>
      <c r="E17" s="104" t="n">
        <v>0</v>
      </c>
      <c r="F17" s="104" t="n">
        <v>9348204</v>
      </c>
    </row>
    <row r="18" ht="16.5" customHeight="1" s="84">
      <c r="A18" s="7" t="inlineStr">
        <is>
          <t>2021-04</t>
        </is>
      </c>
      <c r="B18" s="13" t="inlineStr">
        <is>
          <t>台銀-公共基金(定存)</t>
        </is>
      </c>
      <c r="C18" s="104" t="n">
        <v>5921049</v>
      </c>
      <c r="D18" s="104" t="n">
        <v>2716</v>
      </c>
      <c r="E18" s="104" t="n">
        <v>0</v>
      </c>
      <c r="F18" s="104" t="n">
        <v>5923765</v>
      </c>
    </row>
    <row r="19" ht="16.5" customHeight="1" s="84">
      <c r="A19" s="7" t="inlineStr">
        <is>
          <t>2021-04</t>
        </is>
      </c>
      <c r="B19" s="13" t="inlineStr">
        <is>
          <t>元大-電梯</t>
        </is>
      </c>
      <c r="C19" s="104" t="n">
        <v>2328175</v>
      </c>
      <c r="D19" s="104" t="n">
        <v>51208</v>
      </c>
      <c r="E19" s="104" t="n">
        <v>0</v>
      </c>
      <c r="F19" s="104" t="n">
        <v>2379383</v>
      </c>
    </row>
    <row r="20" ht="16.5" customHeight="1" s="84">
      <c r="A20" s="7" t="inlineStr">
        <is>
          <t>2021-04</t>
        </is>
      </c>
      <c r="B20" s="13" t="inlineStr">
        <is>
          <t>應收-AED押金</t>
        </is>
      </c>
      <c r="C20" s="104" t="n">
        <v>20000</v>
      </c>
      <c r="D20" s="104" t="n">
        <v>0</v>
      </c>
      <c r="E20" s="104" t="n">
        <v>0</v>
      </c>
      <c r="F20" s="104" t="n">
        <v>20000</v>
      </c>
    </row>
    <row r="21" ht="18" customHeight="1" s="84">
      <c r="A21" s="34" t="inlineStr">
        <is>
          <t>2021-04</t>
        </is>
      </c>
      <c r="B21" s="34" t="inlineStr">
        <is>
          <t xml:space="preserve">  ↳ 2021-04 小計 (4 帳)</t>
        </is>
      </c>
      <c r="C21" s="106" t="n">
        <v>16266550</v>
      </c>
      <c r="D21" s="106" t="n">
        <v>1404802</v>
      </c>
      <c r="E21" s="106" t="n">
        <v>0</v>
      </c>
      <c r="F21" s="106" t="n">
        <v>17671352</v>
      </c>
    </row>
    <row r="22" ht="16.5" customHeight="1" s="84">
      <c r="A22" s="7" t="inlineStr">
        <is>
          <t>2021-05</t>
        </is>
      </c>
      <c r="B22" s="13" t="inlineStr">
        <is>
          <t>元大-管理費</t>
        </is>
      </c>
      <c r="C22" s="104" t="n">
        <v>9348204</v>
      </c>
      <c r="D22" s="104" t="n">
        <v>0</v>
      </c>
      <c r="E22" s="104" t="n">
        <v>577064</v>
      </c>
      <c r="F22" s="104" t="n">
        <v>8771140</v>
      </c>
    </row>
    <row r="23" ht="16.5" customHeight="1" s="84">
      <c r="A23" s="7" t="inlineStr">
        <is>
          <t>2021-05</t>
        </is>
      </c>
      <c r="B23" s="13" t="inlineStr">
        <is>
          <t>台銀-公共基金(定存)</t>
        </is>
      </c>
      <c r="C23" s="104" t="n">
        <v>5923765</v>
      </c>
      <c r="D23" s="104" t="n">
        <v>2716</v>
      </c>
      <c r="E23" s="104" t="n">
        <v>0</v>
      </c>
      <c r="F23" s="104" t="n">
        <v>5926481</v>
      </c>
    </row>
    <row r="24" ht="16.5" customHeight="1" s="84">
      <c r="A24" s="7" t="inlineStr">
        <is>
          <t>2021-05</t>
        </is>
      </c>
      <c r="B24" s="13" t="inlineStr">
        <is>
          <t>元大-電梯</t>
        </is>
      </c>
      <c r="C24" s="104" t="n">
        <v>2379383</v>
      </c>
      <c r="D24" s="104" t="n">
        <v>51169</v>
      </c>
      <c r="E24" s="104" t="n">
        <v>0</v>
      </c>
      <c r="F24" s="104" t="n">
        <v>2430552</v>
      </c>
    </row>
    <row r="25" ht="16.5" customHeight="1" s="84">
      <c r="A25" s="7" t="inlineStr">
        <is>
          <t>2021-05</t>
        </is>
      </c>
      <c r="B25" s="13" t="inlineStr">
        <is>
          <t>應收-AED押金</t>
        </is>
      </c>
      <c r="C25" s="104" t="n">
        <v>20000</v>
      </c>
      <c r="D25" s="104" t="n">
        <v>0</v>
      </c>
      <c r="E25" s="104" t="n">
        <v>0</v>
      </c>
      <c r="F25" s="104" t="n">
        <v>20000</v>
      </c>
    </row>
    <row r="26" ht="18" customHeight="1" s="84">
      <c r="A26" s="34" t="inlineStr">
        <is>
          <t>2021-05</t>
        </is>
      </c>
      <c r="B26" s="34" t="inlineStr">
        <is>
          <t xml:space="preserve">  ↳ 2021-05 小計 (4 帳)</t>
        </is>
      </c>
      <c r="C26" s="106" t="n">
        <v>17671352</v>
      </c>
      <c r="D26" s="106" t="n">
        <v>53885</v>
      </c>
      <c r="E26" s="106" t="n">
        <v>577064</v>
      </c>
      <c r="F26" s="106" t="n">
        <v>17148173</v>
      </c>
    </row>
    <row r="27" ht="16.5" customHeight="1" s="84">
      <c r="A27" s="7" t="inlineStr">
        <is>
          <t>2021-06</t>
        </is>
      </c>
      <c r="B27" s="13" t="inlineStr">
        <is>
          <t>元大-管理費</t>
        </is>
      </c>
      <c r="C27" s="104" t="n">
        <v>8771140</v>
      </c>
      <c r="D27" s="104" t="n">
        <v>0</v>
      </c>
      <c r="E27" s="104" t="n">
        <v>1248364</v>
      </c>
      <c r="F27" s="104" t="n">
        <v>7522776</v>
      </c>
    </row>
    <row r="28" ht="16.5" customHeight="1" s="84">
      <c r="A28" s="7" t="inlineStr">
        <is>
          <t>2021-06</t>
        </is>
      </c>
      <c r="B28" s="13" t="inlineStr">
        <is>
          <t>台銀-公共基金(定存)</t>
        </is>
      </c>
      <c r="C28" s="104" t="n">
        <v>5926481</v>
      </c>
      <c r="D28" s="104" t="n">
        <v>3099</v>
      </c>
      <c r="E28" s="104" t="n">
        <v>0</v>
      </c>
      <c r="F28" s="104" t="n">
        <v>5929580</v>
      </c>
    </row>
    <row r="29" ht="16.5" customHeight="1" s="84">
      <c r="A29" s="7" t="inlineStr">
        <is>
          <t>2021-06</t>
        </is>
      </c>
      <c r="B29" s="13" t="inlineStr">
        <is>
          <t>元大-電梯</t>
        </is>
      </c>
      <c r="C29" s="104" t="n">
        <v>2430552</v>
      </c>
      <c r="D29" s="104" t="n">
        <v>51233</v>
      </c>
      <c r="E29" s="104" t="n">
        <v>0</v>
      </c>
      <c r="F29" s="104" t="n">
        <v>2481785</v>
      </c>
    </row>
    <row r="30" ht="16.5" customHeight="1" s="84">
      <c r="A30" s="7" t="inlineStr">
        <is>
          <t>2021-06</t>
        </is>
      </c>
      <c r="B30" s="13" t="inlineStr">
        <is>
          <t>應收-AED押金</t>
        </is>
      </c>
      <c r="C30" s="104" t="n">
        <v>20000</v>
      </c>
      <c r="D30" s="104" t="n">
        <v>0</v>
      </c>
      <c r="E30" s="104" t="n">
        <v>0</v>
      </c>
      <c r="F30" s="104" t="n">
        <v>20000</v>
      </c>
    </row>
    <row r="31" ht="18" customHeight="1" s="84">
      <c r="A31" s="34" t="inlineStr">
        <is>
          <t>2021-06</t>
        </is>
      </c>
      <c r="B31" s="34" t="inlineStr">
        <is>
          <t xml:space="preserve">  ↳ 2021-06 小計 (4 帳)</t>
        </is>
      </c>
      <c r="C31" s="106" t="n">
        <v>17148173</v>
      </c>
      <c r="D31" s="106" t="n">
        <v>54332</v>
      </c>
      <c r="E31" s="106" t="n">
        <v>1248364</v>
      </c>
      <c r="F31" s="106" t="n">
        <v>15954141</v>
      </c>
    </row>
    <row r="32" ht="16.5" customHeight="1" s="84">
      <c r="A32" s="7" t="inlineStr">
        <is>
          <t>2021-07</t>
        </is>
      </c>
      <c r="B32" s="13" t="inlineStr">
        <is>
          <t>元大-管理費</t>
        </is>
      </c>
      <c r="C32" s="104" t="n">
        <v>7522776</v>
      </c>
      <c r="D32" s="104" t="n">
        <v>1326076</v>
      </c>
      <c r="E32" s="104" t="n">
        <v>0</v>
      </c>
      <c r="F32" s="104" t="n">
        <v>8848852</v>
      </c>
    </row>
    <row r="33" ht="16.5" customHeight="1" s="84">
      <c r="A33" s="7" t="inlineStr">
        <is>
          <t>2021-07</t>
        </is>
      </c>
      <c r="B33" s="13" t="inlineStr">
        <is>
          <t>台銀-公共基金(定存)</t>
        </is>
      </c>
      <c r="C33" s="104" t="n">
        <v>5929580</v>
      </c>
      <c r="D33" s="104" t="n">
        <v>2716</v>
      </c>
      <c r="E33" s="104" t="n">
        <v>0</v>
      </c>
      <c r="F33" s="104" t="n">
        <v>5932296</v>
      </c>
    </row>
    <row r="34" ht="16.5" customHeight="1" s="84">
      <c r="A34" s="7" t="inlineStr">
        <is>
          <t>2021-07</t>
        </is>
      </c>
      <c r="B34" s="13" t="inlineStr">
        <is>
          <t>元大-電梯</t>
        </is>
      </c>
      <c r="C34" s="104" t="n">
        <v>2481785</v>
      </c>
      <c r="D34" s="104" t="n">
        <v>51169</v>
      </c>
      <c r="E34" s="104" t="n">
        <v>0</v>
      </c>
      <c r="F34" s="104" t="n">
        <v>2532954</v>
      </c>
    </row>
    <row r="35" ht="16.5" customHeight="1" s="84">
      <c r="A35" s="7" t="inlineStr">
        <is>
          <t>2021-07</t>
        </is>
      </c>
      <c r="B35" s="13" t="inlineStr">
        <is>
          <t>應收-AED押金</t>
        </is>
      </c>
      <c r="C35" s="104" t="n">
        <v>20000</v>
      </c>
      <c r="D35" s="104" t="n">
        <v>0</v>
      </c>
      <c r="E35" s="104" t="n">
        <v>0</v>
      </c>
      <c r="F35" s="104" t="n">
        <v>20000</v>
      </c>
    </row>
    <row r="36" ht="18" customHeight="1" s="84">
      <c r="A36" s="34" t="inlineStr">
        <is>
          <t>2021-07</t>
        </is>
      </c>
      <c r="B36" s="34" t="inlineStr">
        <is>
          <t xml:space="preserve">  ↳ 2021-07 小計 (4 帳)</t>
        </is>
      </c>
      <c r="C36" s="106" t="n">
        <v>15954141</v>
      </c>
      <c r="D36" s="106" t="n">
        <v>1379961</v>
      </c>
      <c r="E36" s="106" t="n">
        <v>0</v>
      </c>
      <c r="F36" s="106" t="n">
        <v>17334102</v>
      </c>
    </row>
    <row r="37" ht="16.5" customHeight="1" s="84">
      <c r="A37" s="7" t="inlineStr">
        <is>
          <t>2021-08</t>
        </is>
      </c>
      <c r="B37" s="13" t="inlineStr">
        <is>
          <t>元大-管理費</t>
        </is>
      </c>
      <c r="C37" s="104" t="n">
        <v>8848852</v>
      </c>
      <c r="D37" s="104" t="n">
        <v>0</v>
      </c>
      <c r="E37" s="104" t="n">
        <v>417986</v>
      </c>
      <c r="F37" s="104" t="n">
        <v>8430866</v>
      </c>
    </row>
    <row r="38" ht="16.5" customHeight="1" s="84">
      <c r="A38" s="7" t="inlineStr">
        <is>
          <t>2021-08</t>
        </is>
      </c>
      <c r="B38" s="13" t="inlineStr">
        <is>
          <t>台銀-公共基金(定存)</t>
        </is>
      </c>
      <c r="C38" s="104" t="n">
        <v>5932296</v>
      </c>
      <c r="D38" s="104" t="n">
        <v>2716</v>
      </c>
      <c r="E38" s="104" t="n">
        <v>0</v>
      </c>
      <c r="F38" s="104" t="n">
        <v>5935012</v>
      </c>
    </row>
    <row r="39" ht="16.5" customHeight="1" s="84">
      <c r="A39" s="7" t="inlineStr">
        <is>
          <t>2021-08</t>
        </is>
      </c>
      <c r="B39" s="13" t="inlineStr">
        <is>
          <t>元大-電梯</t>
        </is>
      </c>
      <c r="C39" s="104" t="n">
        <v>2532954</v>
      </c>
      <c r="D39" s="104" t="n">
        <v>51208</v>
      </c>
      <c r="E39" s="104" t="n">
        <v>0</v>
      </c>
      <c r="F39" s="104" t="n">
        <v>2584162</v>
      </c>
    </row>
    <row r="40" ht="16.5" customHeight="1" s="84">
      <c r="A40" s="7" t="inlineStr">
        <is>
          <t>2021-08</t>
        </is>
      </c>
      <c r="B40" s="13" t="inlineStr">
        <is>
          <t>應收-AED押金</t>
        </is>
      </c>
      <c r="C40" s="104" t="n">
        <v>20000</v>
      </c>
      <c r="D40" s="104" t="n">
        <v>0</v>
      </c>
      <c r="E40" s="104" t="n">
        <v>16000</v>
      </c>
      <c r="F40" s="104" t="n">
        <v>4000</v>
      </c>
    </row>
    <row r="41" ht="18" customHeight="1" s="84">
      <c r="A41" s="34" t="inlineStr">
        <is>
          <t>2021-08</t>
        </is>
      </c>
      <c r="B41" s="34" t="inlineStr">
        <is>
          <t xml:space="preserve">  ↳ 2021-08 小計 (4 帳)</t>
        </is>
      </c>
      <c r="C41" s="106" t="n">
        <v>17334102</v>
      </c>
      <c r="D41" s="106" t="n">
        <v>53924</v>
      </c>
      <c r="E41" s="106" t="n">
        <v>433986</v>
      </c>
      <c r="F41" s="106" t="n">
        <v>16954040</v>
      </c>
    </row>
    <row r="42" ht="16.5" customHeight="1" s="84">
      <c r="A42" s="7" t="inlineStr">
        <is>
          <t>2021-09</t>
        </is>
      </c>
      <c r="B42" s="13" t="inlineStr">
        <is>
          <t>元大-管理費</t>
        </is>
      </c>
      <c r="C42" s="104" t="n">
        <v>8430866</v>
      </c>
      <c r="D42" s="104" t="n">
        <v>0</v>
      </c>
      <c r="E42" s="104" t="n">
        <v>1552940</v>
      </c>
      <c r="F42" s="104" t="n">
        <v>6877926</v>
      </c>
    </row>
    <row r="43" ht="16.5" customHeight="1" s="84">
      <c r="A43" s="7" t="inlineStr">
        <is>
          <t>2021-09</t>
        </is>
      </c>
      <c r="B43" s="13" t="inlineStr">
        <is>
          <t>台銀-公共基金(定存)</t>
        </is>
      </c>
      <c r="C43" s="104" t="n">
        <v>5935012</v>
      </c>
      <c r="D43" s="104" t="n">
        <v>2716</v>
      </c>
      <c r="E43" s="104" t="n">
        <v>0</v>
      </c>
      <c r="F43" s="104" t="n">
        <v>5937728</v>
      </c>
    </row>
    <row r="44" ht="16.5" customHeight="1" s="84">
      <c r="A44" s="7" t="inlineStr">
        <is>
          <t>2021-09</t>
        </is>
      </c>
      <c r="B44" s="13" t="inlineStr">
        <is>
          <t>元大-電梯</t>
        </is>
      </c>
      <c r="C44" s="104" t="n">
        <v>2584162</v>
      </c>
      <c r="D44" s="104" t="n">
        <v>51208</v>
      </c>
      <c r="E44" s="104" t="n">
        <v>0</v>
      </c>
      <c r="F44" s="104" t="n">
        <v>2635370</v>
      </c>
    </row>
    <row r="45" ht="16.5" customHeight="1" s="84">
      <c r="A45" s="7" t="inlineStr">
        <is>
          <t>2021-09</t>
        </is>
      </c>
      <c r="B45" s="13" t="inlineStr">
        <is>
          <t>應收-AED押金</t>
        </is>
      </c>
      <c r="C45" s="104" t="n">
        <v>4000</v>
      </c>
      <c r="D45" s="104" t="n">
        <v>0</v>
      </c>
      <c r="E45" s="104" t="n">
        <v>0</v>
      </c>
      <c r="F45" s="104" t="n">
        <v>4000</v>
      </c>
    </row>
    <row r="46" ht="18" customHeight="1" s="84">
      <c r="A46" s="34" t="inlineStr">
        <is>
          <t>2021-09</t>
        </is>
      </c>
      <c r="B46" s="34" t="inlineStr">
        <is>
          <t xml:space="preserve">  ↳ 2021-09 小計 (4 帳)</t>
        </is>
      </c>
      <c r="C46" s="106" t="n">
        <v>16954040</v>
      </c>
      <c r="D46" s="106" t="n">
        <v>53924</v>
      </c>
      <c r="E46" s="106" t="n">
        <v>1552940</v>
      </c>
      <c r="F46" s="106" t="n">
        <v>15455024</v>
      </c>
    </row>
    <row r="47" ht="16.5" customHeight="1" s="84">
      <c r="A47" s="7" t="inlineStr">
        <is>
          <t>2021-10</t>
        </is>
      </c>
      <c r="B47" s="13" t="inlineStr">
        <is>
          <t>元大-管理費</t>
        </is>
      </c>
      <c r="C47" s="104" t="n">
        <v>6877926</v>
      </c>
      <c r="D47" s="104" t="n">
        <v>1234362</v>
      </c>
      <c r="E47" s="104" t="n">
        <v>0</v>
      </c>
      <c r="F47" s="104" t="n">
        <v>8112288</v>
      </c>
    </row>
    <row r="48" ht="16.5" customHeight="1" s="84">
      <c r="A48" s="7" t="inlineStr">
        <is>
          <t>2021-10</t>
        </is>
      </c>
      <c r="B48" s="13" t="inlineStr">
        <is>
          <t>台銀-公共基金(定存)</t>
        </is>
      </c>
      <c r="C48" s="104" t="n">
        <v>5937728</v>
      </c>
      <c r="D48" s="104" t="n">
        <v>2716</v>
      </c>
      <c r="E48" s="104" t="n">
        <v>0</v>
      </c>
      <c r="F48" s="104" t="n">
        <v>5940444</v>
      </c>
    </row>
    <row r="49" ht="16.5" customHeight="1" s="84">
      <c r="A49" s="7" t="inlineStr">
        <is>
          <t>2021-10</t>
        </is>
      </c>
      <c r="B49" s="13" t="inlineStr">
        <is>
          <t>元大-電梯</t>
        </is>
      </c>
      <c r="C49" s="104" t="n">
        <v>2635370</v>
      </c>
      <c r="D49" s="104" t="n">
        <v>51169</v>
      </c>
      <c r="E49" s="104" t="n">
        <v>0</v>
      </c>
      <c r="F49" s="104" t="n">
        <v>2686539</v>
      </c>
    </row>
    <row r="50" ht="16.5" customHeight="1" s="84">
      <c r="A50" s="7" t="inlineStr">
        <is>
          <t>2021-10</t>
        </is>
      </c>
      <c r="B50" s="13" t="inlineStr">
        <is>
          <t>應收-AED押金</t>
        </is>
      </c>
      <c r="C50" s="104" t="n">
        <v>4000</v>
      </c>
      <c r="D50" s="104" t="n">
        <v>0</v>
      </c>
      <c r="E50" s="104" t="n">
        <v>0</v>
      </c>
      <c r="F50" s="104" t="n">
        <v>4000</v>
      </c>
    </row>
    <row r="51" ht="18" customHeight="1" s="84">
      <c r="A51" s="34" t="inlineStr">
        <is>
          <t>2021-10</t>
        </is>
      </c>
      <c r="B51" s="34" t="inlineStr">
        <is>
          <t xml:space="preserve">  ↳ 2021-10 小計 (4 帳)</t>
        </is>
      </c>
      <c r="C51" s="106" t="n">
        <v>15455024</v>
      </c>
      <c r="D51" s="106" t="n">
        <v>1288247</v>
      </c>
      <c r="E51" s="106" t="n">
        <v>0</v>
      </c>
      <c r="F51" s="106" t="n">
        <v>16743271</v>
      </c>
    </row>
    <row r="52" ht="16.5" customHeight="1" s="84">
      <c r="A52" s="7" t="inlineStr">
        <is>
          <t>2021-11</t>
        </is>
      </c>
      <c r="B52" s="13" t="inlineStr">
        <is>
          <t>元大-管理費</t>
        </is>
      </c>
      <c r="C52" s="104" t="n">
        <v>8112288</v>
      </c>
      <c r="D52" s="104" t="n">
        <v>0</v>
      </c>
      <c r="E52" s="104" t="n">
        <v>1081105</v>
      </c>
      <c r="F52" s="104" t="n">
        <v>7031183</v>
      </c>
    </row>
    <row r="53" ht="16.5" customHeight="1" s="84">
      <c r="A53" s="7" t="inlineStr">
        <is>
          <t>2021-11</t>
        </is>
      </c>
      <c r="B53" s="13" t="inlineStr">
        <is>
          <t>台銀-公共基金(定存)</t>
        </is>
      </c>
      <c r="C53" s="104" t="n">
        <v>5940444</v>
      </c>
      <c r="D53" s="104" t="n">
        <v>2716</v>
      </c>
      <c r="E53" s="104" t="n">
        <v>0</v>
      </c>
      <c r="F53" s="104" t="n">
        <v>5943160</v>
      </c>
    </row>
    <row r="54" ht="16.5" customHeight="1" s="84">
      <c r="A54" s="7" t="inlineStr">
        <is>
          <t>2021-11</t>
        </is>
      </c>
      <c r="B54" s="13" t="inlineStr">
        <is>
          <t>元大-電梯</t>
        </is>
      </c>
      <c r="C54" s="104" t="n">
        <v>2686539</v>
      </c>
      <c r="D54" s="104" t="n">
        <v>51208</v>
      </c>
      <c r="E54" s="104" t="n">
        <v>0</v>
      </c>
      <c r="F54" s="104" t="n">
        <v>2737747</v>
      </c>
    </row>
    <row r="55" ht="16.5" customHeight="1" s="84">
      <c r="A55" s="7" t="inlineStr">
        <is>
          <t>2021-11</t>
        </is>
      </c>
      <c r="B55" s="13" t="inlineStr">
        <is>
          <t>應收-AED押金</t>
        </is>
      </c>
      <c r="C55" s="104" t="n">
        <v>4000</v>
      </c>
      <c r="D55" s="104" t="n">
        <v>0</v>
      </c>
      <c r="E55" s="104" t="n">
        <v>0</v>
      </c>
      <c r="F55" s="104" t="n">
        <v>4000</v>
      </c>
    </row>
    <row r="56" ht="18" customHeight="1" s="84">
      <c r="A56" s="34" t="inlineStr">
        <is>
          <t>2021-11</t>
        </is>
      </c>
      <c r="B56" s="34" t="inlineStr">
        <is>
          <t xml:space="preserve">  ↳ 2021-11 小計 (4 帳)</t>
        </is>
      </c>
      <c r="C56" s="106" t="n">
        <v>16743271</v>
      </c>
      <c r="D56" s="106" t="n">
        <v>53924</v>
      </c>
      <c r="E56" s="106" t="n">
        <v>1081105</v>
      </c>
      <c r="F56" s="106" t="n">
        <v>15716090</v>
      </c>
    </row>
    <row r="57" ht="16.5" customHeight="1" s="84">
      <c r="A57" s="7" t="inlineStr">
        <is>
          <t>2021-12</t>
        </is>
      </c>
      <c r="B57" s="13" t="inlineStr">
        <is>
          <t>元大-管理費</t>
        </is>
      </c>
      <c r="C57" s="104" t="n">
        <v>7031183</v>
      </c>
      <c r="D57" s="104" t="n">
        <v>0</v>
      </c>
      <c r="E57" s="104" t="n">
        <v>915255</v>
      </c>
      <c r="F57" s="104" t="n">
        <v>6115928</v>
      </c>
    </row>
    <row r="58" ht="16.5" customHeight="1" s="84">
      <c r="A58" s="7" t="inlineStr">
        <is>
          <t>2021-12</t>
        </is>
      </c>
      <c r="B58" s="13" t="inlineStr">
        <is>
          <t>台銀-公共基金(定存)</t>
        </is>
      </c>
      <c r="C58" s="104" t="n">
        <v>5943160</v>
      </c>
      <c r="D58" s="104" t="n">
        <v>3105</v>
      </c>
      <c r="E58" s="104" t="n">
        <v>0</v>
      </c>
      <c r="F58" s="104" t="n">
        <v>5946265</v>
      </c>
    </row>
    <row r="59" ht="16.5" customHeight="1" s="84">
      <c r="A59" s="7" t="inlineStr">
        <is>
          <t>2021-12</t>
        </is>
      </c>
      <c r="B59" s="13" t="inlineStr">
        <is>
          <t>元大-電梯</t>
        </is>
      </c>
      <c r="C59" s="104" t="n">
        <v>2737747</v>
      </c>
      <c r="D59" s="104" t="n">
        <v>51209</v>
      </c>
      <c r="E59" s="104" t="n">
        <v>0</v>
      </c>
      <c r="F59" s="104" t="n">
        <v>2788956</v>
      </c>
    </row>
    <row r="60" ht="16.5" customHeight="1" s="84">
      <c r="A60" s="7" t="inlineStr">
        <is>
          <t>2021-12</t>
        </is>
      </c>
      <c r="B60" s="13" t="inlineStr">
        <is>
          <t>應收-AED押金</t>
        </is>
      </c>
      <c r="C60" s="104" t="n">
        <v>4000</v>
      </c>
      <c r="D60" s="104" t="n">
        <v>0</v>
      </c>
      <c r="E60" s="104" t="n">
        <v>0</v>
      </c>
      <c r="F60" s="104" t="n">
        <v>4000</v>
      </c>
    </row>
    <row r="61" ht="18" customHeight="1" s="84">
      <c r="A61" s="34" t="inlineStr">
        <is>
          <t>2021-12</t>
        </is>
      </c>
      <c r="B61" s="34" t="inlineStr">
        <is>
          <t xml:space="preserve">  ↳ 2021-12 小計 (4 帳)</t>
        </is>
      </c>
      <c r="C61" s="106" t="n">
        <v>15716090</v>
      </c>
      <c r="D61" s="106" t="n">
        <v>54314</v>
      </c>
      <c r="E61" s="106" t="n">
        <v>915255</v>
      </c>
      <c r="F61" s="106" t="n">
        <v>14855149</v>
      </c>
    </row>
    <row r="62" ht="16.5" customHeight="1" s="84">
      <c r="A62" s="7" t="inlineStr">
        <is>
          <t>2022-01</t>
        </is>
      </c>
      <c r="B62" s="13" t="inlineStr">
        <is>
          <t>元大-管理費</t>
        </is>
      </c>
      <c r="C62" s="104" t="n">
        <v>6115928</v>
      </c>
      <c r="D62" s="104" t="n">
        <v>1044359</v>
      </c>
      <c r="E62" s="104" t="n">
        <v>0</v>
      </c>
      <c r="F62" s="104" t="n">
        <v>7160287</v>
      </c>
    </row>
    <row r="63" ht="16.5" customHeight="1" s="84">
      <c r="A63" s="7" t="inlineStr">
        <is>
          <t>2022-01</t>
        </is>
      </c>
      <c r="B63" s="13" t="inlineStr">
        <is>
          <t>台銀-公共基金(定存)</t>
        </is>
      </c>
      <c r="C63" s="104" t="n">
        <v>5946265</v>
      </c>
      <c r="D63" s="104" t="n">
        <v>2716</v>
      </c>
      <c r="E63" s="104" t="n">
        <v>0</v>
      </c>
      <c r="F63" s="104" t="n">
        <v>5948981</v>
      </c>
    </row>
    <row r="64" ht="16.5" customHeight="1" s="84">
      <c r="A64" s="7" t="inlineStr">
        <is>
          <t>2022-01</t>
        </is>
      </c>
      <c r="B64" s="13" t="inlineStr">
        <is>
          <t>元大-電梯</t>
        </is>
      </c>
      <c r="C64" s="104" t="n">
        <v>2788956</v>
      </c>
      <c r="D64" s="104" t="n">
        <v>51208</v>
      </c>
      <c r="E64" s="104" t="n">
        <v>0</v>
      </c>
      <c r="F64" s="104" t="n">
        <v>2840164</v>
      </c>
    </row>
    <row r="65" ht="16.5" customHeight="1" s="84">
      <c r="A65" s="7" t="inlineStr">
        <is>
          <t>2022-01</t>
        </is>
      </c>
      <c r="B65" s="13" t="inlineStr">
        <is>
          <t>應收-AED押金</t>
        </is>
      </c>
      <c r="C65" s="104" t="n">
        <v>4000</v>
      </c>
      <c r="D65" s="104" t="n">
        <v>0</v>
      </c>
      <c r="E65" s="104" t="n">
        <v>0</v>
      </c>
      <c r="F65" s="104" t="n">
        <v>4000</v>
      </c>
    </row>
    <row r="66" ht="18" customHeight="1" s="84">
      <c r="A66" s="34" t="inlineStr">
        <is>
          <t>2022-01</t>
        </is>
      </c>
      <c r="B66" s="34" t="inlineStr">
        <is>
          <t xml:space="preserve">  ↳ 2022-01 小計 (4 帳)</t>
        </is>
      </c>
      <c r="C66" s="106" t="n">
        <v>14855149</v>
      </c>
      <c r="D66" s="106" t="n">
        <v>1098283</v>
      </c>
      <c r="E66" s="106" t="n">
        <v>0</v>
      </c>
      <c r="F66" s="106" t="n">
        <v>15953432</v>
      </c>
    </row>
    <row r="67" ht="16.5" customHeight="1" s="84">
      <c r="A67" s="7" t="inlineStr">
        <is>
          <t>2022-02</t>
        </is>
      </c>
      <c r="B67" s="13" t="inlineStr">
        <is>
          <t>元大-管理費</t>
        </is>
      </c>
      <c r="C67" s="104" t="n">
        <v>7160287</v>
      </c>
      <c r="D67" s="104" t="n">
        <v>0</v>
      </c>
      <c r="E67" s="104" t="n">
        <v>440676</v>
      </c>
      <c r="F67" s="104" t="n">
        <v>6719611</v>
      </c>
    </row>
    <row r="68" ht="16.5" customHeight="1" s="84">
      <c r="A68" s="7" t="inlineStr">
        <is>
          <t>2022-02</t>
        </is>
      </c>
      <c r="B68" s="13" t="inlineStr">
        <is>
          <t>台銀-公共基金(定存)</t>
        </is>
      </c>
      <c r="C68" s="104" t="n">
        <v>5948981</v>
      </c>
      <c r="D68" s="104" t="n">
        <v>2716</v>
      </c>
      <c r="E68" s="104" t="n">
        <v>0</v>
      </c>
      <c r="F68" s="104" t="n">
        <v>5951697</v>
      </c>
    </row>
    <row r="69" ht="16.5" customHeight="1" s="84">
      <c r="A69" s="7" t="inlineStr">
        <is>
          <t>2022-02</t>
        </is>
      </c>
      <c r="B69" s="13" t="inlineStr">
        <is>
          <t>元大-電梯</t>
        </is>
      </c>
      <c r="C69" s="104" t="n">
        <v>2840164</v>
      </c>
      <c r="D69" s="104" t="n">
        <v>0</v>
      </c>
      <c r="E69" s="104" t="n">
        <v>326792</v>
      </c>
      <c r="F69" s="104" t="n">
        <v>2513372</v>
      </c>
    </row>
    <row r="70" ht="16.5" customHeight="1" s="84">
      <c r="A70" s="7" t="inlineStr">
        <is>
          <t>2022-02</t>
        </is>
      </c>
      <c r="B70" s="13" t="inlineStr">
        <is>
          <t>應收-AED押金</t>
        </is>
      </c>
      <c r="C70" s="104" t="n">
        <v>4000</v>
      </c>
      <c r="D70" s="104" t="n">
        <v>0</v>
      </c>
      <c r="E70" s="104" t="n">
        <v>0</v>
      </c>
      <c r="F70" s="104" t="n">
        <v>4000</v>
      </c>
    </row>
    <row r="71" ht="18" customHeight="1" s="84">
      <c r="A71" s="34" t="inlineStr">
        <is>
          <t>2022-02</t>
        </is>
      </c>
      <c r="B71" s="34" t="inlineStr">
        <is>
          <t xml:space="preserve">  ↳ 2022-02 小計 (4 帳)</t>
        </is>
      </c>
      <c r="C71" s="106" t="n">
        <v>15953432</v>
      </c>
      <c r="D71" s="106" t="n">
        <v>2716</v>
      </c>
      <c r="E71" s="106" t="n">
        <v>767468</v>
      </c>
      <c r="F71" s="106" t="n">
        <v>15188680</v>
      </c>
    </row>
    <row r="72" ht="16.5" customHeight="1" s="84">
      <c r="A72" s="7" t="inlineStr">
        <is>
          <t>2022-03</t>
        </is>
      </c>
      <c r="B72" s="13" t="inlineStr">
        <is>
          <t>元大-管理費</t>
        </is>
      </c>
      <c r="C72" s="104" t="n">
        <v>6719611</v>
      </c>
      <c r="D72" s="104" t="n">
        <v>0</v>
      </c>
      <c r="E72" s="104" t="n">
        <v>1016903</v>
      </c>
      <c r="F72" s="104" t="n">
        <v>5702708</v>
      </c>
    </row>
    <row r="73" ht="16.5" customHeight="1" s="84">
      <c r="A73" s="7" t="inlineStr">
        <is>
          <t>2022-03</t>
        </is>
      </c>
      <c r="B73" s="13" t="inlineStr">
        <is>
          <t>台銀-公共基金(定存)</t>
        </is>
      </c>
      <c r="C73" s="104" t="n">
        <v>5951697</v>
      </c>
      <c r="D73" s="104" t="n">
        <v>2716</v>
      </c>
      <c r="E73" s="104" t="n">
        <v>0</v>
      </c>
      <c r="F73" s="104" t="n">
        <v>5954413</v>
      </c>
    </row>
    <row r="74" ht="16.5" customHeight="1" s="84">
      <c r="A74" s="7" t="inlineStr">
        <is>
          <t>2022-03</t>
        </is>
      </c>
      <c r="B74" s="13" t="inlineStr">
        <is>
          <t>元大-電梯</t>
        </is>
      </c>
      <c r="C74" s="104" t="n">
        <v>2513372</v>
      </c>
      <c r="D74" s="104" t="n">
        <v>51091</v>
      </c>
      <c r="E74" s="104" t="n">
        <v>0</v>
      </c>
      <c r="F74" s="104" t="n">
        <v>2564463</v>
      </c>
    </row>
    <row r="75" ht="16.5" customHeight="1" s="84">
      <c r="A75" s="7" t="inlineStr">
        <is>
          <t>2022-03</t>
        </is>
      </c>
      <c r="B75" s="13" t="inlineStr">
        <is>
          <t>應收-AED押金</t>
        </is>
      </c>
      <c r="C75" s="104" t="n">
        <v>4000</v>
      </c>
      <c r="D75" s="104" t="n">
        <v>0</v>
      </c>
      <c r="E75" s="104" t="n">
        <v>0</v>
      </c>
      <c r="F75" s="104" t="n">
        <v>4000</v>
      </c>
    </row>
    <row r="76" ht="18" customHeight="1" s="84">
      <c r="A76" s="34" t="inlineStr">
        <is>
          <t>2022-03</t>
        </is>
      </c>
      <c r="B76" s="34" t="inlineStr">
        <is>
          <t xml:space="preserve">  ↳ 2022-03 小計 (4 帳)</t>
        </is>
      </c>
      <c r="C76" s="106" t="n">
        <v>15188680</v>
      </c>
      <c r="D76" s="106" t="n">
        <v>53807</v>
      </c>
      <c r="E76" s="106" t="n">
        <v>1016903</v>
      </c>
      <c r="F76" s="106" t="n">
        <v>14225584</v>
      </c>
    </row>
    <row r="77" ht="16.5" customHeight="1" s="84">
      <c r="A77" s="7" t="inlineStr">
        <is>
          <t>2022-04</t>
        </is>
      </c>
      <c r="B77" s="13" t="inlineStr">
        <is>
          <t>元大-管理費</t>
        </is>
      </c>
      <c r="C77" s="104" t="n">
        <v>5702708</v>
      </c>
      <c r="D77" s="104" t="n">
        <v>1843587</v>
      </c>
      <c r="E77" s="104" t="n">
        <v>0</v>
      </c>
      <c r="F77" s="104" t="n">
        <v>7546295</v>
      </c>
    </row>
    <row r="78" ht="16.5" customHeight="1" s="84">
      <c r="A78" s="7" t="inlineStr">
        <is>
          <t>2022-04</t>
        </is>
      </c>
      <c r="B78" s="13" t="inlineStr">
        <is>
          <t>台銀-公共基金(定存)</t>
        </is>
      </c>
      <c r="C78" s="104" t="n">
        <v>5954413</v>
      </c>
      <c r="D78" s="104" t="n">
        <v>3272</v>
      </c>
      <c r="E78" s="104" t="n">
        <v>0</v>
      </c>
      <c r="F78" s="104" t="n">
        <v>5957685</v>
      </c>
    </row>
    <row r="79" ht="16.5" customHeight="1" s="84">
      <c r="A79" s="7" t="inlineStr">
        <is>
          <t>2022-04</t>
        </is>
      </c>
      <c r="B79" s="13" t="inlineStr">
        <is>
          <t>元大-電梯</t>
        </is>
      </c>
      <c r="C79" s="104" t="n">
        <v>2564463</v>
      </c>
      <c r="D79" s="104" t="n">
        <v>51208</v>
      </c>
      <c r="E79" s="104" t="n">
        <v>0</v>
      </c>
      <c r="F79" s="104" t="n">
        <v>2615671</v>
      </c>
    </row>
    <row r="80" ht="16.5" customHeight="1" s="84">
      <c r="A80" s="7" t="inlineStr">
        <is>
          <t>2022-04</t>
        </is>
      </c>
      <c r="B80" s="13" t="inlineStr">
        <is>
          <t>應收-AED押金</t>
        </is>
      </c>
      <c r="C80" s="104" t="n">
        <v>4000</v>
      </c>
      <c r="D80" s="104" t="n">
        <v>0</v>
      </c>
      <c r="E80" s="104" t="n">
        <v>0</v>
      </c>
      <c r="F80" s="104" t="n">
        <v>4000</v>
      </c>
    </row>
    <row r="81" ht="18" customHeight="1" s="84">
      <c r="A81" s="34" t="inlineStr">
        <is>
          <t>2022-04</t>
        </is>
      </c>
      <c r="B81" s="34" t="inlineStr">
        <is>
          <t xml:space="preserve">  ↳ 2022-04 小計 (4 帳)</t>
        </is>
      </c>
      <c r="C81" s="106" t="n">
        <v>14225584</v>
      </c>
      <c r="D81" s="106" t="n">
        <v>1898067</v>
      </c>
      <c r="E81" s="106" t="n">
        <v>0</v>
      </c>
      <c r="F81" s="106" t="n">
        <v>16123651</v>
      </c>
    </row>
    <row r="82" ht="16.5" customHeight="1" s="84">
      <c r="A82" s="7" t="inlineStr">
        <is>
          <t>2022-05</t>
        </is>
      </c>
      <c r="B82" s="13" t="inlineStr">
        <is>
          <t>元大-管理費</t>
        </is>
      </c>
      <c r="C82" s="104" t="n">
        <v>7546295</v>
      </c>
      <c r="D82" s="104" t="n">
        <v>0</v>
      </c>
      <c r="E82" s="104" t="n">
        <v>346886</v>
      </c>
      <c r="F82" s="104" t="n">
        <v>7199409</v>
      </c>
    </row>
    <row r="83" ht="16.5" customHeight="1" s="84">
      <c r="A83" s="7" t="inlineStr">
        <is>
          <t>2022-05</t>
        </is>
      </c>
      <c r="B83" s="13" t="inlineStr">
        <is>
          <t>台銀-公共基金(定存)</t>
        </is>
      </c>
      <c r="C83" s="104" t="n">
        <v>5957685</v>
      </c>
      <c r="D83" s="104" t="n">
        <v>3552</v>
      </c>
      <c r="E83" s="104" t="n">
        <v>0</v>
      </c>
      <c r="F83" s="104" t="n">
        <v>5961237</v>
      </c>
    </row>
    <row r="84" ht="16.5" customHeight="1" s="84">
      <c r="A84" s="7" t="inlineStr">
        <is>
          <t>2022-05</t>
        </is>
      </c>
      <c r="B84" s="13" t="inlineStr">
        <is>
          <t>元大-電梯</t>
        </is>
      </c>
      <c r="C84" s="104" t="n">
        <v>2615671</v>
      </c>
      <c r="D84" s="104" t="n">
        <v>51169</v>
      </c>
      <c r="E84" s="104" t="n">
        <v>0</v>
      </c>
      <c r="F84" s="104" t="n">
        <v>2666840</v>
      </c>
    </row>
    <row r="85" ht="16.5" customHeight="1" s="84">
      <c r="A85" s="7" t="inlineStr">
        <is>
          <t>2022-05</t>
        </is>
      </c>
      <c r="B85" s="13" t="inlineStr">
        <is>
          <t>應收-AED押金</t>
        </is>
      </c>
      <c r="C85" s="104" t="n">
        <v>4000</v>
      </c>
      <c r="D85" s="104" t="n">
        <v>0</v>
      </c>
      <c r="E85" s="104" t="n">
        <v>0</v>
      </c>
      <c r="F85" s="104" t="n">
        <v>4000</v>
      </c>
    </row>
    <row r="86" ht="18" customHeight="1" s="84">
      <c r="A86" s="34" t="inlineStr">
        <is>
          <t>2022-05</t>
        </is>
      </c>
      <c r="B86" s="34" t="inlineStr">
        <is>
          <t xml:space="preserve">  ↳ 2022-05 小計 (4 帳)</t>
        </is>
      </c>
      <c r="C86" s="106" t="n">
        <v>16123651</v>
      </c>
      <c r="D86" s="106" t="n">
        <v>54721</v>
      </c>
      <c r="E86" s="106" t="n">
        <v>346886</v>
      </c>
      <c r="F86" s="106" t="n">
        <v>15831486</v>
      </c>
    </row>
    <row r="87" ht="16.5" customHeight="1" s="84">
      <c r="A87" s="7" t="inlineStr">
        <is>
          <t>2022-06</t>
        </is>
      </c>
      <c r="B87" s="13" t="inlineStr">
        <is>
          <t>元大-管理費</t>
        </is>
      </c>
      <c r="C87" s="104" t="n">
        <v>7199409</v>
      </c>
      <c r="D87" s="104" t="n">
        <v>0</v>
      </c>
      <c r="E87" s="104" t="n">
        <v>884197</v>
      </c>
      <c r="F87" s="104" t="n">
        <v>6315212</v>
      </c>
    </row>
    <row r="88" ht="16.5" customHeight="1" s="84">
      <c r="A88" s="7" t="inlineStr">
        <is>
          <t>2022-06</t>
        </is>
      </c>
      <c r="B88" s="13" t="inlineStr">
        <is>
          <t>台銀-公共基金(定存)</t>
        </is>
      </c>
      <c r="C88" s="104" t="n">
        <v>5961237</v>
      </c>
      <c r="D88" s="104" t="n">
        <v>4146</v>
      </c>
      <c r="E88" s="104" t="n">
        <v>0</v>
      </c>
      <c r="F88" s="104" t="n">
        <v>5965383</v>
      </c>
    </row>
    <row r="89" ht="16.5" customHeight="1" s="84">
      <c r="A89" s="7" t="inlineStr">
        <is>
          <t>2022-06</t>
        </is>
      </c>
      <c r="B89" s="13" t="inlineStr">
        <is>
          <t>元大-電梯</t>
        </is>
      </c>
      <c r="C89" s="104" t="n">
        <v>2666840</v>
      </c>
      <c r="D89" s="104" t="n">
        <v>51291</v>
      </c>
      <c r="E89" s="104" t="n">
        <v>0</v>
      </c>
      <c r="F89" s="104" t="n">
        <v>2718131</v>
      </c>
    </row>
    <row r="90" ht="16.5" customHeight="1" s="84">
      <c r="A90" s="7" t="inlineStr">
        <is>
          <t>2022-06</t>
        </is>
      </c>
      <c r="B90" s="13" t="inlineStr">
        <is>
          <t>應收-AED押金</t>
        </is>
      </c>
      <c r="C90" s="104" t="n">
        <v>4000</v>
      </c>
      <c r="D90" s="104" t="n">
        <v>0</v>
      </c>
      <c r="E90" s="104" t="n">
        <v>0</v>
      </c>
      <c r="F90" s="104" t="n">
        <v>4000</v>
      </c>
    </row>
    <row r="91" ht="18" customHeight="1" s="84">
      <c r="A91" s="34" t="inlineStr">
        <is>
          <t>2022-06</t>
        </is>
      </c>
      <c r="B91" s="34" t="inlineStr">
        <is>
          <t xml:space="preserve">  ↳ 2022-06 小計 (4 帳)</t>
        </is>
      </c>
      <c r="C91" s="106" t="n">
        <v>15831486</v>
      </c>
      <c r="D91" s="106" t="n">
        <v>55437</v>
      </c>
      <c r="E91" s="106" t="n">
        <v>884197</v>
      </c>
      <c r="F91" s="106" t="n">
        <v>15002726</v>
      </c>
    </row>
    <row r="92" ht="16.5" customHeight="1" s="84">
      <c r="A92" s="7" t="inlineStr">
        <is>
          <t>2022-07</t>
        </is>
      </c>
      <c r="B92" s="13" t="inlineStr">
        <is>
          <t>元大-管理費</t>
        </is>
      </c>
      <c r="C92" s="104" t="n">
        <v>6315212</v>
      </c>
      <c r="D92" s="104" t="n">
        <v>1965117</v>
      </c>
      <c r="E92" s="104" t="n">
        <v>0</v>
      </c>
      <c r="F92" s="104" t="n">
        <v>8280329</v>
      </c>
    </row>
    <row r="93" ht="16.5" customHeight="1" s="84">
      <c r="A93" s="7" t="inlineStr">
        <is>
          <t>2022-07</t>
        </is>
      </c>
      <c r="B93" s="13" t="inlineStr">
        <is>
          <t>台銀-公共基金(定存)</t>
        </is>
      </c>
      <c r="C93" s="104" t="n">
        <v>5965383</v>
      </c>
      <c r="D93" s="104" t="n">
        <v>3828</v>
      </c>
      <c r="E93" s="104" t="n">
        <v>0</v>
      </c>
      <c r="F93" s="104" t="n">
        <v>5969211</v>
      </c>
    </row>
    <row r="94" ht="16.5" customHeight="1" s="84">
      <c r="A94" s="7" t="inlineStr">
        <is>
          <t>2022-07</t>
        </is>
      </c>
      <c r="B94" s="13" t="inlineStr">
        <is>
          <t>元大-電梯</t>
        </is>
      </c>
      <c r="C94" s="104" t="n">
        <v>2718131</v>
      </c>
      <c r="D94" s="104" t="n">
        <v>51169</v>
      </c>
      <c r="E94" s="104" t="n">
        <v>0</v>
      </c>
      <c r="F94" s="104" t="n">
        <v>2769300</v>
      </c>
    </row>
    <row r="95" ht="16.5" customHeight="1" s="84">
      <c r="A95" s="7" t="inlineStr">
        <is>
          <t>2022-07</t>
        </is>
      </c>
      <c r="B95" s="13" t="inlineStr">
        <is>
          <t>應收-AED押金</t>
        </is>
      </c>
      <c r="C95" s="104" t="n">
        <v>4000</v>
      </c>
      <c r="D95" s="104" t="n">
        <v>0</v>
      </c>
      <c r="E95" s="104" t="n">
        <v>0</v>
      </c>
      <c r="F95" s="104" t="n">
        <v>4000</v>
      </c>
    </row>
    <row r="96" ht="18" customHeight="1" s="84">
      <c r="A96" s="34" t="inlineStr">
        <is>
          <t>2022-07</t>
        </is>
      </c>
      <c r="B96" s="34" t="inlineStr">
        <is>
          <t xml:space="preserve">  ↳ 2022-07 小計 (4 帳)</t>
        </is>
      </c>
      <c r="C96" s="106" t="n">
        <v>15002726</v>
      </c>
      <c r="D96" s="106" t="n">
        <v>2020114</v>
      </c>
      <c r="E96" s="106" t="n">
        <v>0</v>
      </c>
      <c r="F96" s="106" t="n">
        <v>17022840</v>
      </c>
    </row>
    <row r="97" ht="16.5" customHeight="1" s="84">
      <c r="A97" s="7" t="inlineStr">
        <is>
          <t>2022-08</t>
        </is>
      </c>
      <c r="B97" s="13" t="inlineStr">
        <is>
          <t>元大-管理費</t>
        </is>
      </c>
      <c r="C97" s="104" t="n">
        <v>8280329</v>
      </c>
      <c r="D97" s="104" t="n">
        <v>0</v>
      </c>
      <c r="E97" s="104" t="n">
        <v>143784</v>
      </c>
      <c r="F97" s="104" t="n">
        <v>8136545</v>
      </c>
    </row>
    <row r="98" ht="16.5" customHeight="1" s="84">
      <c r="A98" s="7" t="inlineStr">
        <is>
          <t>2022-08</t>
        </is>
      </c>
      <c r="B98" s="13" t="inlineStr">
        <is>
          <t>台銀-公共基金(定存)</t>
        </is>
      </c>
      <c r="C98" s="104" t="n">
        <v>5969211</v>
      </c>
      <c r="D98" s="104" t="n">
        <v>3968</v>
      </c>
      <c r="E98" s="104" t="n">
        <v>0</v>
      </c>
      <c r="F98" s="104" t="n">
        <v>5973179</v>
      </c>
    </row>
    <row r="99" ht="16.5" customHeight="1" s="84">
      <c r="A99" s="7" t="inlineStr">
        <is>
          <t>2022-08</t>
        </is>
      </c>
      <c r="B99" s="13" t="inlineStr">
        <is>
          <t>元大-電梯</t>
        </is>
      </c>
      <c r="C99" s="104" t="n">
        <v>2769300</v>
      </c>
      <c r="D99" s="104" t="n">
        <v>51208</v>
      </c>
      <c r="E99" s="104" t="n">
        <v>0</v>
      </c>
      <c r="F99" s="104" t="n">
        <v>2820508</v>
      </c>
    </row>
    <row r="100" ht="16.5" customHeight="1" s="84">
      <c r="A100" s="7" t="inlineStr">
        <is>
          <t>2022-08</t>
        </is>
      </c>
      <c r="B100" s="13" t="inlineStr">
        <is>
          <t>應收-AED押金</t>
        </is>
      </c>
      <c r="C100" s="104" t="n">
        <v>4000</v>
      </c>
      <c r="D100" s="104" t="n">
        <v>0</v>
      </c>
      <c r="E100" s="104" t="n">
        <v>0</v>
      </c>
      <c r="F100" s="104" t="n">
        <v>4000</v>
      </c>
    </row>
    <row r="101" ht="18" customHeight="1" s="84">
      <c r="A101" s="34" t="inlineStr">
        <is>
          <t>2022-08</t>
        </is>
      </c>
      <c r="B101" s="34" t="inlineStr">
        <is>
          <t xml:space="preserve">  ↳ 2022-08 小計 (4 帳)</t>
        </is>
      </c>
      <c r="C101" s="106" t="n">
        <v>17022840</v>
      </c>
      <c r="D101" s="106" t="n">
        <v>55176</v>
      </c>
      <c r="E101" s="106" t="n">
        <v>143784</v>
      </c>
      <c r="F101" s="106" t="n">
        <v>16934232</v>
      </c>
    </row>
    <row r="102" ht="16.5" customHeight="1" s="84">
      <c r="A102" s="7" t="inlineStr">
        <is>
          <t>2022-09</t>
        </is>
      </c>
      <c r="B102" s="13" t="inlineStr">
        <is>
          <t>元大-管理費</t>
        </is>
      </c>
      <c r="C102" s="104" t="n">
        <v>8136545</v>
      </c>
      <c r="D102" s="104" t="n">
        <v>0</v>
      </c>
      <c r="E102" s="104" t="n">
        <v>798440</v>
      </c>
      <c r="F102" s="104" t="n">
        <v>7338105</v>
      </c>
    </row>
    <row r="103" ht="16.5" customHeight="1" s="84">
      <c r="A103" s="7" t="inlineStr">
        <is>
          <t>2022-09</t>
        </is>
      </c>
      <c r="B103" s="13" t="inlineStr">
        <is>
          <t>台銀-公共基金(定存)</t>
        </is>
      </c>
      <c r="C103" s="104" t="n">
        <v>5973179</v>
      </c>
      <c r="D103" s="104" t="n">
        <v>3968</v>
      </c>
      <c r="E103" s="104" t="n">
        <v>0</v>
      </c>
      <c r="F103" s="104" t="n">
        <v>5977147</v>
      </c>
    </row>
    <row r="104" ht="16.5" customHeight="1" s="84">
      <c r="A104" s="7" t="inlineStr">
        <is>
          <t>2022-09</t>
        </is>
      </c>
      <c r="B104" s="13" t="inlineStr">
        <is>
          <t>元大-電梯</t>
        </is>
      </c>
      <c r="C104" s="104" t="n">
        <v>2820508</v>
      </c>
      <c r="D104" s="104" t="n">
        <v>51208</v>
      </c>
      <c r="E104" s="104" t="n">
        <v>0</v>
      </c>
      <c r="F104" s="104" t="n">
        <v>2871716</v>
      </c>
    </row>
    <row r="105" ht="16.5" customHeight="1" s="84">
      <c r="A105" s="7" t="inlineStr">
        <is>
          <t>2022-09</t>
        </is>
      </c>
      <c r="B105" s="13" t="inlineStr">
        <is>
          <t>應收-AED押金</t>
        </is>
      </c>
      <c r="C105" s="104" t="n">
        <v>4000</v>
      </c>
      <c r="D105" s="104" t="n">
        <v>0</v>
      </c>
      <c r="E105" s="104" t="n">
        <v>0</v>
      </c>
      <c r="F105" s="104" t="n">
        <v>4000</v>
      </c>
    </row>
    <row r="106" ht="18" customHeight="1" s="84">
      <c r="A106" s="34" t="inlineStr">
        <is>
          <t>2022-09</t>
        </is>
      </c>
      <c r="B106" s="34" t="inlineStr">
        <is>
          <t xml:space="preserve">  ↳ 2022-09 小計 (4 帳)</t>
        </is>
      </c>
      <c r="C106" s="106" t="n">
        <v>16934232</v>
      </c>
      <c r="D106" s="106" t="n">
        <v>55176</v>
      </c>
      <c r="E106" s="106" t="n">
        <v>798440</v>
      </c>
      <c r="F106" s="106" t="n">
        <v>16190968</v>
      </c>
    </row>
    <row r="107" ht="16.5" customHeight="1" s="84">
      <c r="A107" s="7" t="inlineStr">
        <is>
          <t>2022-10</t>
        </is>
      </c>
      <c r="B107" s="13" t="inlineStr">
        <is>
          <t>元大-管理費</t>
        </is>
      </c>
      <c r="C107" s="104" t="n">
        <v>7338105</v>
      </c>
      <c r="D107" s="104" t="n">
        <v>1794701</v>
      </c>
      <c r="E107" s="104" t="n">
        <v>0</v>
      </c>
      <c r="F107" s="104" t="n">
        <v>9132806</v>
      </c>
    </row>
    <row r="108" ht="16.5" customHeight="1" s="84">
      <c r="A108" s="7" t="inlineStr">
        <is>
          <t>2022-10</t>
        </is>
      </c>
      <c r="B108" s="13" t="inlineStr">
        <is>
          <t>台銀-公共基金(定存)</t>
        </is>
      </c>
      <c r="C108" s="104" t="n">
        <v>5977147</v>
      </c>
      <c r="D108" s="104" t="n">
        <v>4160</v>
      </c>
      <c r="E108" s="104" t="n">
        <v>0</v>
      </c>
      <c r="F108" s="104" t="n">
        <v>5981307</v>
      </c>
    </row>
    <row r="109" ht="16.5" customHeight="1" s="84">
      <c r="A109" s="7" t="inlineStr">
        <is>
          <t>2022-10</t>
        </is>
      </c>
      <c r="B109" s="13" t="inlineStr">
        <is>
          <t>元大-電梯</t>
        </is>
      </c>
      <c r="C109" s="104" t="n">
        <v>2871716</v>
      </c>
      <c r="D109" s="104" t="n">
        <v>51169</v>
      </c>
      <c r="E109" s="104" t="n">
        <v>0</v>
      </c>
      <c r="F109" s="104" t="n">
        <v>2922885</v>
      </c>
    </row>
    <row r="110" ht="16.5" customHeight="1" s="84">
      <c r="A110" s="7" t="inlineStr">
        <is>
          <t>2022-10</t>
        </is>
      </c>
      <c r="B110" s="13" t="inlineStr">
        <is>
          <t>應收-AED押金</t>
        </is>
      </c>
      <c r="C110" s="104" t="n">
        <v>4000</v>
      </c>
      <c r="D110" s="104" t="n">
        <v>0</v>
      </c>
      <c r="E110" s="104" t="n">
        <v>0</v>
      </c>
      <c r="F110" s="104" t="n">
        <v>4000</v>
      </c>
    </row>
    <row r="111" ht="18" customHeight="1" s="84">
      <c r="A111" s="34" t="inlineStr">
        <is>
          <t>2022-10</t>
        </is>
      </c>
      <c r="B111" s="34" t="inlineStr">
        <is>
          <t xml:space="preserve">  ↳ 2022-10 小計 (4 帳)</t>
        </is>
      </c>
      <c r="C111" s="106" t="n">
        <v>16190968</v>
      </c>
      <c r="D111" s="106" t="n">
        <v>1850030</v>
      </c>
      <c r="E111" s="106" t="n">
        <v>0</v>
      </c>
      <c r="F111" s="106" t="n">
        <v>18040998</v>
      </c>
    </row>
    <row r="112" ht="16.5" customHeight="1" s="84">
      <c r="A112" s="7" t="inlineStr">
        <is>
          <t>2022-11</t>
        </is>
      </c>
      <c r="B112" s="13" t="inlineStr">
        <is>
          <t>元大-管理費</t>
        </is>
      </c>
      <c r="C112" s="104" t="n">
        <v>9132806</v>
      </c>
      <c r="D112" s="104" t="n">
        <v>0</v>
      </c>
      <c r="E112" s="104" t="n">
        <v>675753</v>
      </c>
      <c r="F112" s="104" t="n">
        <v>8457053</v>
      </c>
    </row>
    <row r="113" ht="16.5" customHeight="1" s="84">
      <c r="A113" s="7" t="inlineStr">
        <is>
          <t>2022-11</t>
        </is>
      </c>
      <c r="B113" s="13" t="inlineStr">
        <is>
          <t>台銀-公共基金(定存)</t>
        </is>
      </c>
      <c r="C113" s="104" t="n">
        <v>5981307</v>
      </c>
      <c r="D113" s="104" t="n">
        <v>4384</v>
      </c>
      <c r="E113" s="104" t="n">
        <v>0</v>
      </c>
      <c r="F113" s="104" t="n">
        <v>5985691</v>
      </c>
    </row>
    <row r="114" ht="16.5" customHeight="1" s="84">
      <c r="A114" s="7" t="inlineStr">
        <is>
          <t>2022-11</t>
        </is>
      </c>
      <c r="B114" s="13" t="inlineStr">
        <is>
          <t>元大-電梯</t>
        </is>
      </c>
      <c r="C114" s="104" t="n">
        <v>2922885</v>
      </c>
      <c r="D114" s="104" t="n">
        <v>51208</v>
      </c>
      <c r="E114" s="104" t="n">
        <v>0</v>
      </c>
      <c r="F114" s="104" t="n">
        <v>2974093</v>
      </c>
    </row>
    <row r="115" ht="16.5" customHeight="1" s="84">
      <c r="A115" s="7" t="inlineStr">
        <is>
          <t>2022-11</t>
        </is>
      </c>
      <c r="B115" s="13" t="inlineStr">
        <is>
          <t>應收-AED押金</t>
        </is>
      </c>
      <c r="C115" s="104" t="n">
        <v>4000</v>
      </c>
      <c r="D115" s="104" t="n">
        <v>0</v>
      </c>
      <c r="E115" s="104" t="n">
        <v>0</v>
      </c>
      <c r="F115" s="104" t="n">
        <v>4000</v>
      </c>
    </row>
    <row r="116" ht="18" customHeight="1" s="84">
      <c r="A116" s="34" t="inlineStr">
        <is>
          <t>2022-11</t>
        </is>
      </c>
      <c r="B116" s="34" t="inlineStr">
        <is>
          <t xml:space="preserve">  ↳ 2022-11 小計 (4 帳)</t>
        </is>
      </c>
      <c r="C116" s="106" t="n">
        <v>18040998</v>
      </c>
      <c r="D116" s="106" t="n">
        <v>55592</v>
      </c>
      <c r="E116" s="106" t="n">
        <v>675753</v>
      </c>
      <c r="F116" s="106" t="n">
        <v>17420837</v>
      </c>
    </row>
    <row r="117" ht="16.5" customHeight="1" s="84">
      <c r="A117" s="7" t="inlineStr">
        <is>
          <t>2022-12</t>
        </is>
      </c>
      <c r="B117" s="13" t="inlineStr">
        <is>
          <t>元大-管理費</t>
        </is>
      </c>
      <c r="C117" s="104" t="n">
        <v>8457053</v>
      </c>
      <c r="D117" s="104" t="n">
        <v>0</v>
      </c>
      <c r="E117" s="104" t="n">
        <v>1051693</v>
      </c>
      <c r="F117" s="104" t="n">
        <v>7405360</v>
      </c>
    </row>
    <row r="118" ht="16.5" customHeight="1" s="84">
      <c r="A118" s="7" t="inlineStr">
        <is>
          <t>2022-12</t>
        </is>
      </c>
      <c r="B118" s="13" t="inlineStr">
        <is>
          <t>台銀-公共基金(定存)</t>
        </is>
      </c>
      <c r="C118" s="104" t="n">
        <v>5985691</v>
      </c>
      <c r="D118" s="104" t="n">
        <v>7013</v>
      </c>
      <c r="E118" s="104" t="n">
        <v>0</v>
      </c>
      <c r="F118" s="104" t="n">
        <v>5992704</v>
      </c>
    </row>
    <row r="119" ht="16.5" customHeight="1" s="84">
      <c r="A119" s="7" t="inlineStr">
        <is>
          <t>2022-12</t>
        </is>
      </c>
      <c r="B119" s="13" t="inlineStr">
        <is>
          <t>元大-電梯</t>
        </is>
      </c>
      <c r="C119" s="104" t="n">
        <v>2974093</v>
      </c>
      <c r="D119" s="104" t="n">
        <v>52287</v>
      </c>
      <c r="E119" s="104" t="n">
        <v>0</v>
      </c>
      <c r="F119" s="104" t="n">
        <v>3026380</v>
      </c>
    </row>
    <row r="120" ht="16.5" customHeight="1" s="84">
      <c r="A120" s="7" t="inlineStr">
        <is>
          <t>2022-12</t>
        </is>
      </c>
      <c r="B120" s="13" t="inlineStr">
        <is>
          <t>應收-AED押金</t>
        </is>
      </c>
      <c r="C120" s="104" t="n">
        <v>4000</v>
      </c>
      <c r="D120" s="104" t="n">
        <v>0</v>
      </c>
      <c r="E120" s="104" t="n">
        <v>0</v>
      </c>
      <c r="F120" s="104" t="n">
        <v>4000</v>
      </c>
    </row>
    <row r="121" ht="18" customHeight="1" s="84">
      <c r="A121" s="34" t="inlineStr">
        <is>
          <t>2022-12</t>
        </is>
      </c>
      <c r="B121" s="34" t="inlineStr">
        <is>
          <t xml:space="preserve">  ↳ 2022-12 小計 (4 帳)</t>
        </is>
      </c>
      <c r="C121" s="106" t="n">
        <v>17420837</v>
      </c>
      <c r="D121" s="106" t="n">
        <v>59300</v>
      </c>
      <c r="E121" s="106" t="n">
        <v>1051693</v>
      </c>
      <c r="F121" s="106" t="n">
        <v>16428444</v>
      </c>
    </row>
    <row r="122" ht="16.5" customHeight="1" s="84">
      <c r="A122" s="7" t="inlineStr">
        <is>
          <t>2023-01</t>
        </is>
      </c>
      <c r="B122" s="13" t="inlineStr">
        <is>
          <t>元大-管理費</t>
        </is>
      </c>
      <c r="C122" s="104" t="n">
        <v>7405360</v>
      </c>
      <c r="D122" s="104" t="n">
        <v>1883024</v>
      </c>
      <c r="E122" s="104" t="n">
        <v>0</v>
      </c>
      <c r="F122" s="104" t="n">
        <v>9288384</v>
      </c>
    </row>
    <row r="123" ht="16.5" customHeight="1" s="84">
      <c r="A123" s="7" t="inlineStr">
        <is>
          <t>2023-01</t>
        </is>
      </c>
      <c r="B123" s="13" t="inlineStr">
        <is>
          <t>台銀-公共基金(定存)</t>
        </is>
      </c>
      <c r="C123" s="104" t="n">
        <v>5992704</v>
      </c>
      <c r="D123" s="104" t="n">
        <v>4688</v>
      </c>
      <c r="E123" s="104" t="n">
        <v>0</v>
      </c>
      <c r="F123" s="104" t="n">
        <v>5997392</v>
      </c>
    </row>
    <row r="124" ht="16.5" customHeight="1" s="84">
      <c r="A124" s="7" t="inlineStr">
        <is>
          <t>2023-01</t>
        </is>
      </c>
      <c r="B124" s="13" t="inlineStr">
        <is>
          <t>元大-電梯</t>
        </is>
      </c>
      <c r="C124" s="104" t="n">
        <v>3026380</v>
      </c>
      <c r="D124" s="104" t="n">
        <v>51208</v>
      </c>
      <c r="E124" s="104" t="n">
        <v>0</v>
      </c>
      <c r="F124" s="104" t="n">
        <v>3077588</v>
      </c>
    </row>
    <row r="125" ht="16.5" customHeight="1" s="84">
      <c r="A125" s="7" t="inlineStr">
        <is>
          <t>2023-01</t>
        </is>
      </c>
      <c r="B125" s="13" t="inlineStr">
        <is>
          <t>應收-AED押金</t>
        </is>
      </c>
      <c r="C125" s="104" t="n">
        <v>4000</v>
      </c>
      <c r="D125" s="104" t="n">
        <v>0</v>
      </c>
      <c r="E125" s="104" t="n">
        <v>0</v>
      </c>
      <c r="F125" s="104" t="n">
        <v>4000</v>
      </c>
    </row>
    <row r="126" ht="18" customHeight="1" s="84">
      <c r="A126" s="34" t="inlineStr">
        <is>
          <t>2023-01</t>
        </is>
      </c>
      <c r="B126" s="34" t="inlineStr">
        <is>
          <t xml:space="preserve">  ↳ 2023-01 小計 (4 帳)</t>
        </is>
      </c>
      <c r="C126" s="106" t="n">
        <v>16428444</v>
      </c>
      <c r="D126" s="106" t="n">
        <v>1938920</v>
      </c>
      <c r="E126" s="106" t="n">
        <v>0</v>
      </c>
      <c r="F126" s="106" t="n">
        <v>18367364</v>
      </c>
    </row>
    <row r="127" ht="16.5" customHeight="1" s="84">
      <c r="A127" s="7" t="inlineStr">
        <is>
          <t>2023-02</t>
        </is>
      </c>
      <c r="B127" s="13" t="inlineStr">
        <is>
          <t>元大-管理費</t>
        </is>
      </c>
      <c r="C127" s="104" t="n">
        <v>9288384</v>
      </c>
      <c r="D127" s="104" t="n">
        <v>0</v>
      </c>
      <c r="E127" s="104" t="n">
        <v>1126012</v>
      </c>
      <c r="F127" s="104" t="n">
        <v>8162372</v>
      </c>
    </row>
    <row r="128" ht="16.5" customHeight="1" s="84">
      <c r="A128" s="7" t="inlineStr">
        <is>
          <t>2023-02</t>
        </is>
      </c>
      <c r="B128" s="13" t="inlineStr">
        <is>
          <t>台銀-公共基金(定存)</t>
        </is>
      </c>
      <c r="C128" s="104" t="n">
        <v>5997392</v>
      </c>
      <c r="D128" s="104" t="n">
        <v>4800</v>
      </c>
      <c r="E128" s="104" t="n">
        <v>0</v>
      </c>
      <c r="F128" s="104" t="n">
        <v>6002192</v>
      </c>
    </row>
    <row r="129" ht="16.5" customHeight="1" s="84">
      <c r="A129" s="7" t="inlineStr">
        <is>
          <t>2023-02</t>
        </is>
      </c>
      <c r="B129" s="13" t="inlineStr">
        <is>
          <t>元大-電梯</t>
        </is>
      </c>
      <c r="C129" s="104" t="n">
        <v>3077588</v>
      </c>
      <c r="D129" s="104" t="n">
        <v>0</v>
      </c>
      <c r="E129" s="104" t="n">
        <v>413792</v>
      </c>
      <c r="F129" s="104" t="n">
        <v>2663796</v>
      </c>
    </row>
    <row r="130" ht="16.5" customHeight="1" s="84">
      <c r="A130" s="7" t="inlineStr">
        <is>
          <t>2023-02</t>
        </is>
      </c>
      <c r="B130" s="13" t="inlineStr">
        <is>
          <t>應收-AED押金</t>
        </is>
      </c>
      <c r="C130" s="104" t="n">
        <v>4000</v>
      </c>
      <c r="D130" s="104" t="n">
        <v>0</v>
      </c>
      <c r="E130" s="104" t="n">
        <v>0</v>
      </c>
      <c r="F130" s="104" t="n">
        <v>4000</v>
      </c>
    </row>
    <row r="131" ht="18" customHeight="1" s="84">
      <c r="A131" s="34" t="inlineStr">
        <is>
          <t>2023-02</t>
        </is>
      </c>
      <c r="B131" s="34" t="inlineStr">
        <is>
          <t xml:space="preserve">  ↳ 2023-02 小計 (4 帳)</t>
        </is>
      </c>
      <c r="C131" s="106" t="n">
        <v>18367364</v>
      </c>
      <c r="D131" s="106" t="n">
        <v>4800</v>
      </c>
      <c r="E131" s="106" t="n">
        <v>1539804</v>
      </c>
      <c r="F131" s="106" t="n">
        <v>16832360</v>
      </c>
    </row>
    <row r="132" ht="16.5" customHeight="1" s="84">
      <c r="A132" s="7" t="inlineStr">
        <is>
          <t>2023-03</t>
        </is>
      </c>
      <c r="B132" s="13" t="inlineStr">
        <is>
          <t>元大-管理費</t>
        </is>
      </c>
      <c r="C132" s="104" t="n">
        <v>8162372</v>
      </c>
      <c r="D132" s="104" t="n">
        <v>0</v>
      </c>
      <c r="E132" s="104" t="n">
        <v>1015023</v>
      </c>
      <c r="F132" s="104" t="n">
        <v>7147349</v>
      </c>
    </row>
    <row r="133" ht="16.5" customHeight="1" s="84">
      <c r="A133" s="7" t="inlineStr">
        <is>
          <t>2023-03</t>
        </is>
      </c>
      <c r="B133" s="13" t="inlineStr">
        <is>
          <t>台銀-公共基金(定存)</t>
        </is>
      </c>
      <c r="C133" s="104" t="n">
        <v>6002192</v>
      </c>
      <c r="D133" s="104" t="n">
        <v>4800</v>
      </c>
      <c r="E133" s="104" t="n">
        <v>0</v>
      </c>
      <c r="F133" s="104" t="n">
        <v>6006992</v>
      </c>
    </row>
    <row r="134" ht="16.5" customHeight="1" s="84">
      <c r="A134" s="7" t="inlineStr">
        <is>
          <t>2023-03</t>
        </is>
      </c>
      <c r="B134" s="13" t="inlineStr">
        <is>
          <t>元大-電梯</t>
        </is>
      </c>
      <c r="C134" s="104" t="n">
        <v>2663796</v>
      </c>
      <c r="D134" s="104" t="n">
        <v>51968</v>
      </c>
      <c r="E134" s="104" t="n">
        <v>0</v>
      </c>
      <c r="F134" s="104" t="n">
        <v>2715764</v>
      </c>
    </row>
    <row r="135" ht="16.5" customHeight="1" s="84">
      <c r="A135" s="7" t="inlineStr">
        <is>
          <t>2023-03</t>
        </is>
      </c>
      <c r="B135" s="13" t="inlineStr">
        <is>
          <t>應收-AED押金</t>
        </is>
      </c>
      <c r="C135" s="104" t="n">
        <v>4000</v>
      </c>
      <c r="D135" s="104" t="n">
        <v>0</v>
      </c>
      <c r="E135" s="104" t="n">
        <v>0</v>
      </c>
      <c r="F135" s="104" t="n">
        <v>4000</v>
      </c>
    </row>
    <row r="136" ht="18" customHeight="1" s="84">
      <c r="A136" s="34" t="inlineStr">
        <is>
          <t>2023-03</t>
        </is>
      </c>
      <c r="B136" s="34" t="inlineStr">
        <is>
          <t xml:space="preserve">  ↳ 2023-03 小計 (4 帳)</t>
        </is>
      </c>
      <c r="C136" s="106" t="n">
        <v>16832360</v>
      </c>
      <c r="D136" s="106" t="n">
        <v>56768</v>
      </c>
      <c r="E136" s="106" t="n">
        <v>1015023</v>
      </c>
      <c r="F136" s="106" t="n">
        <v>15874105</v>
      </c>
    </row>
    <row r="137" ht="16.5" customHeight="1" s="84">
      <c r="A137" s="7" t="inlineStr">
        <is>
          <t>2023-04</t>
        </is>
      </c>
      <c r="B137" s="13" t="inlineStr">
        <is>
          <t>元大-管理費</t>
        </is>
      </c>
      <c r="C137" s="104" t="n">
        <v>7147349</v>
      </c>
      <c r="D137" s="104" t="n">
        <v>1849452</v>
      </c>
      <c r="E137" s="104" t="n">
        <v>0</v>
      </c>
      <c r="F137" s="104" t="n">
        <v>8996801</v>
      </c>
    </row>
    <row r="138" ht="16.5" customHeight="1" s="84">
      <c r="A138" s="7" t="inlineStr">
        <is>
          <t>2023-04</t>
        </is>
      </c>
      <c r="B138" s="13" t="inlineStr">
        <is>
          <t>台銀-公共基金(定存)</t>
        </is>
      </c>
      <c r="C138" s="104" t="n">
        <v>6006992</v>
      </c>
      <c r="D138" s="104" t="n">
        <v>4996</v>
      </c>
      <c r="E138" s="104" t="n">
        <v>0</v>
      </c>
      <c r="F138" s="104" t="n">
        <v>6011988</v>
      </c>
    </row>
    <row r="139" ht="16.5" customHeight="1" s="84">
      <c r="A139" s="7" t="inlineStr">
        <is>
          <t>2023-04</t>
        </is>
      </c>
      <c r="B139" s="13" t="inlineStr">
        <is>
          <t>元大-電梯</t>
        </is>
      </c>
      <c r="C139" s="104" t="n">
        <v>2715764</v>
      </c>
      <c r="D139" s="104" t="n">
        <v>52178</v>
      </c>
      <c r="E139" s="104" t="n">
        <v>0</v>
      </c>
      <c r="F139" s="104" t="n">
        <v>2767942</v>
      </c>
    </row>
    <row r="140" ht="16.5" customHeight="1" s="84">
      <c r="A140" s="7" t="inlineStr">
        <is>
          <t>2023-04</t>
        </is>
      </c>
      <c r="B140" s="13" t="inlineStr">
        <is>
          <t>應收-AED押金</t>
        </is>
      </c>
      <c r="C140" s="104" t="n">
        <v>4000</v>
      </c>
      <c r="D140" s="104" t="n">
        <v>0</v>
      </c>
      <c r="E140" s="104" t="n">
        <v>0</v>
      </c>
      <c r="F140" s="104" t="n">
        <v>4000</v>
      </c>
    </row>
    <row r="141" ht="18" customHeight="1" s="84">
      <c r="A141" s="34" t="inlineStr">
        <is>
          <t>2023-04</t>
        </is>
      </c>
      <c r="B141" s="34" t="inlineStr">
        <is>
          <t xml:space="preserve">  ↳ 2023-04 小計 (4 帳)</t>
        </is>
      </c>
      <c r="C141" s="106" t="n">
        <v>15874105</v>
      </c>
      <c r="D141" s="106" t="n">
        <v>1906626</v>
      </c>
      <c r="E141" s="106" t="n">
        <v>0</v>
      </c>
      <c r="F141" s="106" t="n">
        <v>17780731</v>
      </c>
    </row>
    <row r="142" ht="16.5" customHeight="1" s="84">
      <c r="A142" s="7" t="inlineStr">
        <is>
          <t>2023-05</t>
        </is>
      </c>
      <c r="B142" s="13" t="inlineStr">
        <is>
          <t>元大-管理費</t>
        </is>
      </c>
      <c r="C142" s="104" t="n">
        <v>8996801</v>
      </c>
      <c r="D142" s="104" t="n">
        <v>0</v>
      </c>
      <c r="E142" s="104" t="n">
        <v>178989</v>
      </c>
      <c r="F142" s="104" t="n">
        <v>8817812</v>
      </c>
    </row>
    <row r="143" ht="16.5" customHeight="1" s="84">
      <c r="A143" s="7" t="inlineStr">
        <is>
          <t>2023-05</t>
        </is>
      </c>
      <c r="B143" s="13" t="inlineStr">
        <is>
          <t>台銀-公共基金(定存)</t>
        </is>
      </c>
      <c r="C143" s="104" t="n">
        <v>6011988</v>
      </c>
      <c r="D143" s="104" t="n">
        <v>5216</v>
      </c>
      <c r="E143" s="104" t="n">
        <v>0</v>
      </c>
      <c r="F143" s="104" t="n">
        <v>6017204</v>
      </c>
    </row>
    <row r="144" ht="16.5" customHeight="1" s="84">
      <c r="A144" s="7" t="inlineStr">
        <is>
          <t>2023-05</t>
        </is>
      </c>
      <c r="B144" s="13" t="inlineStr">
        <is>
          <t>元大-電梯</t>
        </is>
      </c>
      <c r="C144" s="104" t="n">
        <v>2767942</v>
      </c>
      <c r="D144" s="104" t="n">
        <v>52108</v>
      </c>
      <c r="E144" s="104" t="n">
        <v>0</v>
      </c>
      <c r="F144" s="104" t="n">
        <v>2820050</v>
      </c>
    </row>
    <row r="145" ht="16.5" customHeight="1" s="84">
      <c r="A145" s="7" t="inlineStr">
        <is>
          <t>2023-05</t>
        </is>
      </c>
      <c r="B145" s="13" t="inlineStr">
        <is>
          <t>應收-AED押金</t>
        </is>
      </c>
      <c r="C145" s="104" t="n">
        <v>4000</v>
      </c>
      <c r="D145" s="104" t="n">
        <v>0</v>
      </c>
      <c r="E145" s="104" t="n">
        <v>0</v>
      </c>
      <c r="F145" s="104" t="n">
        <v>4000</v>
      </c>
    </row>
    <row r="146" ht="18" customHeight="1" s="84">
      <c r="A146" s="34" t="inlineStr">
        <is>
          <t>2023-05</t>
        </is>
      </c>
      <c r="B146" s="34" t="inlineStr">
        <is>
          <t xml:space="preserve">  ↳ 2023-05 小計 (4 帳)</t>
        </is>
      </c>
      <c r="C146" s="106" t="n">
        <v>17780731</v>
      </c>
      <c r="D146" s="106" t="n">
        <v>57324</v>
      </c>
      <c r="E146" s="106" t="n">
        <v>178989</v>
      </c>
      <c r="F146" s="106" t="n">
        <v>17659066</v>
      </c>
    </row>
    <row r="147" ht="16.5" customHeight="1" s="84">
      <c r="A147" s="7" t="inlineStr">
        <is>
          <t>2023-06</t>
        </is>
      </c>
      <c r="B147" s="13" t="inlineStr">
        <is>
          <t>元大-管理費</t>
        </is>
      </c>
      <c r="C147" s="104" t="n">
        <v>8817812</v>
      </c>
      <c r="D147" s="104" t="n">
        <v>0</v>
      </c>
      <c r="E147" s="104" t="n">
        <v>999612</v>
      </c>
      <c r="F147" s="104" t="n">
        <v>7818200</v>
      </c>
    </row>
    <row r="148" ht="16.5" customHeight="1" s="84">
      <c r="A148" s="7" t="inlineStr">
        <is>
          <t>2023-06</t>
        </is>
      </c>
      <c r="B148" s="13" t="inlineStr">
        <is>
          <t>台銀-公共基金(定存)</t>
        </is>
      </c>
      <c r="C148" s="104" t="n">
        <v>6017204</v>
      </c>
      <c r="D148" s="104" t="n">
        <v>10362</v>
      </c>
      <c r="E148" s="104" t="n">
        <v>0</v>
      </c>
      <c r="F148" s="104" t="n">
        <v>6027566</v>
      </c>
    </row>
    <row r="149" ht="16.5" customHeight="1" s="84">
      <c r="A149" s="7" t="inlineStr">
        <is>
          <t>2023-06</t>
        </is>
      </c>
      <c r="B149" s="13" t="inlineStr">
        <is>
          <t>元大-電梯</t>
        </is>
      </c>
      <c r="C149" s="104" t="n">
        <v>2820050</v>
      </c>
      <c r="D149" s="104" t="n">
        <v>54576</v>
      </c>
      <c r="E149" s="104" t="n">
        <v>0</v>
      </c>
      <c r="F149" s="104" t="n">
        <v>2874626</v>
      </c>
    </row>
    <row r="150" ht="16.5" customHeight="1" s="84">
      <c r="A150" s="7" t="inlineStr">
        <is>
          <t>2023-06</t>
        </is>
      </c>
      <c r="B150" s="13" t="inlineStr">
        <is>
          <t>應收-AED押金</t>
        </is>
      </c>
      <c r="C150" s="104" t="n">
        <v>4000</v>
      </c>
      <c r="D150" s="104" t="n">
        <v>0</v>
      </c>
      <c r="E150" s="104" t="n">
        <v>0</v>
      </c>
      <c r="F150" s="104" t="n">
        <v>4000</v>
      </c>
    </row>
    <row r="151" ht="18" customHeight="1" s="84">
      <c r="A151" s="34" t="inlineStr">
        <is>
          <t>2023-06</t>
        </is>
      </c>
      <c r="B151" s="34" t="inlineStr">
        <is>
          <t xml:space="preserve">  ↳ 2023-06 小計 (4 帳)</t>
        </is>
      </c>
      <c r="C151" s="106" t="n">
        <v>17659066</v>
      </c>
      <c r="D151" s="106" t="n">
        <v>64938</v>
      </c>
      <c r="E151" s="106" t="n">
        <v>999612</v>
      </c>
      <c r="F151" s="106" t="n">
        <v>16724392</v>
      </c>
    </row>
    <row r="152" ht="16.5" customHeight="1" s="84">
      <c r="A152" s="7" t="inlineStr">
        <is>
          <t>2023-07</t>
        </is>
      </c>
      <c r="B152" s="13" t="inlineStr">
        <is>
          <t>元大-管理費</t>
        </is>
      </c>
      <c r="C152" s="104" t="n">
        <v>7818200</v>
      </c>
      <c r="D152" s="104" t="n">
        <v>2057963</v>
      </c>
      <c r="E152" s="104" t="n">
        <v>0</v>
      </c>
      <c r="F152" s="104" t="n">
        <v>9876163</v>
      </c>
    </row>
    <row r="153" ht="16.5" customHeight="1" s="84">
      <c r="A153" s="7" t="inlineStr">
        <is>
          <t>2023-07</t>
        </is>
      </c>
      <c r="B153" s="13" t="inlineStr">
        <is>
          <t>台銀-公共基金(定存)</t>
        </is>
      </c>
      <c r="C153" s="104" t="n">
        <v>6027566</v>
      </c>
      <c r="D153" s="104" t="n">
        <v>5216</v>
      </c>
      <c r="E153" s="104" t="n">
        <v>0</v>
      </c>
      <c r="F153" s="104" t="n">
        <v>6032782</v>
      </c>
    </row>
    <row r="154" ht="16.5" customHeight="1" s="84">
      <c r="A154" s="7" t="inlineStr">
        <is>
          <t>2023-07</t>
        </is>
      </c>
      <c r="B154" s="13" t="inlineStr">
        <is>
          <t>元大-電梯</t>
        </is>
      </c>
      <c r="C154" s="104" t="n">
        <v>2874626</v>
      </c>
      <c r="D154" s="104" t="n">
        <v>52108</v>
      </c>
      <c r="E154" s="104" t="n">
        <v>0</v>
      </c>
      <c r="F154" s="104" t="n">
        <v>2926734</v>
      </c>
    </row>
    <row r="155" ht="16.5" customHeight="1" s="84">
      <c r="A155" s="7" t="inlineStr">
        <is>
          <t>2023-07</t>
        </is>
      </c>
      <c r="B155" s="13" t="inlineStr">
        <is>
          <t>應收-AED押金</t>
        </is>
      </c>
      <c r="C155" s="104" t="n">
        <v>4000</v>
      </c>
      <c r="D155" s="104" t="n">
        <v>0</v>
      </c>
      <c r="E155" s="104" t="n">
        <v>0</v>
      </c>
      <c r="F155" s="104" t="n">
        <v>4000</v>
      </c>
    </row>
    <row r="156" ht="18" customHeight="1" s="84">
      <c r="A156" s="34" t="inlineStr">
        <is>
          <t>2023-07</t>
        </is>
      </c>
      <c r="B156" s="34" t="inlineStr">
        <is>
          <t xml:space="preserve">  ↳ 2023-07 小計 (4 帳)</t>
        </is>
      </c>
      <c r="C156" s="106" t="n">
        <v>16724392</v>
      </c>
      <c r="D156" s="106" t="n">
        <v>2115287</v>
      </c>
      <c r="E156" s="106" t="n">
        <v>0</v>
      </c>
      <c r="F156" s="106" t="n">
        <v>18839679</v>
      </c>
    </row>
    <row r="157" ht="16.5" customHeight="1" s="84">
      <c r="A157" s="7" t="inlineStr">
        <is>
          <t>2023-08</t>
        </is>
      </c>
      <c r="B157" s="13" t="inlineStr">
        <is>
          <t>元大-管理費</t>
        </is>
      </c>
      <c r="C157" s="104" t="n">
        <v>9876163</v>
      </c>
      <c r="D157" s="104" t="n">
        <v>0</v>
      </c>
      <c r="E157" s="104" t="n">
        <v>842874</v>
      </c>
      <c r="F157" s="104" t="n">
        <v>9033289</v>
      </c>
    </row>
    <row r="158" ht="16.5" customHeight="1" s="84">
      <c r="A158" s="7" t="inlineStr">
        <is>
          <t>2023-08</t>
        </is>
      </c>
      <c r="B158" s="13" t="inlineStr">
        <is>
          <t>台銀-公共基金(定存)</t>
        </is>
      </c>
      <c r="C158" s="104" t="n">
        <v>6032782</v>
      </c>
      <c r="D158" s="104" t="n">
        <v>5216</v>
      </c>
      <c r="E158" s="104" t="n">
        <v>0</v>
      </c>
      <c r="F158" s="104" t="n">
        <v>6037998</v>
      </c>
    </row>
    <row r="159" ht="16.5" customHeight="1" s="84">
      <c r="A159" s="7" t="inlineStr">
        <is>
          <t>2023-08</t>
        </is>
      </c>
      <c r="B159" s="13" t="inlineStr">
        <is>
          <t>元大-電梯</t>
        </is>
      </c>
      <c r="C159" s="104" t="n">
        <v>2926734</v>
      </c>
      <c r="D159" s="104" t="n">
        <v>52178</v>
      </c>
      <c r="E159" s="104" t="n">
        <v>0</v>
      </c>
      <c r="F159" s="104" t="n">
        <v>2978912</v>
      </c>
    </row>
    <row r="160" ht="16.5" customHeight="1" s="84">
      <c r="A160" s="7" t="inlineStr">
        <is>
          <t>2023-08</t>
        </is>
      </c>
      <c r="B160" s="13" t="inlineStr">
        <is>
          <t>應收-AED押金</t>
        </is>
      </c>
      <c r="C160" s="104" t="n">
        <v>4000</v>
      </c>
      <c r="D160" s="104" t="n">
        <v>0</v>
      </c>
      <c r="E160" s="104" t="n">
        <v>0</v>
      </c>
      <c r="F160" s="104" t="n">
        <v>4000</v>
      </c>
    </row>
    <row r="161" ht="18" customHeight="1" s="84">
      <c r="A161" s="34" t="inlineStr">
        <is>
          <t>2023-08</t>
        </is>
      </c>
      <c r="B161" s="34" t="inlineStr">
        <is>
          <t xml:space="preserve">  ↳ 2023-08 小計 (4 帳)</t>
        </is>
      </c>
      <c r="C161" s="106" t="n">
        <v>18839679</v>
      </c>
      <c r="D161" s="106" t="n">
        <v>57394</v>
      </c>
      <c r="E161" s="106" t="n">
        <v>842874</v>
      </c>
      <c r="F161" s="106" t="n">
        <v>18054199</v>
      </c>
    </row>
    <row r="162" ht="16.5" customHeight="1" s="84">
      <c r="A162" s="7" t="inlineStr">
        <is>
          <t>2023-09</t>
        </is>
      </c>
      <c r="B162" s="13" t="inlineStr">
        <is>
          <t>元大-管理費</t>
        </is>
      </c>
      <c r="C162" s="104" t="n">
        <v>9033289</v>
      </c>
      <c r="D162" s="104" t="n">
        <v>0</v>
      </c>
      <c r="E162" s="104" t="n">
        <v>961342</v>
      </c>
      <c r="F162" s="104" t="n">
        <v>8071947</v>
      </c>
    </row>
    <row r="163" ht="16.5" customHeight="1" s="84">
      <c r="A163" s="7" t="inlineStr">
        <is>
          <t>2023-09</t>
        </is>
      </c>
      <c r="B163" s="13" t="inlineStr">
        <is>
          <t>台銀-公共基金(定存)</t>
        </is>
      </c>
      <c r="C163" s="104" t="n">
        <v>6037998</v>
      </c>
      <c r="D163" s="104" t="n">
        <v>5216</v>
      </c>
      <c r="E163" s="104" t="n">
        <v>0</v>
      </c>
      <c r="F163" s="104" t="n">
        <v>6043214</v>
      </c>
    </row>
    <row r="164" ht="16.5" customHeight="1" s="84">
      <c r="A164" s="7" t="inlineStr">
        <is>
          <t>2023-09</t>
        </is>
      </c>
      <c r="B164" s="13" t="inlineStr">
        <is>
          <t>元大-電梯</t>
        </is>
      </c>
      <c r="C164" s="104" t="n">
        <v>2978912</v>
      </c>
      <c r="D164" s="104" t="n">
        <v>0</v>
      </c>
      <c r="E164" s="104" t="n">
        <v>467822</v>
      </c>
      <c r="F164" s="104" t="n">
        <v>2511090</v>
      </c>
    </row>
    <row r="165" ht="16.5" customHeight="1" s="84">
      <c r="A165" s="7" t="inlineStr">
        <is>
          <t>2023-09</t>
        </is>
      </c>
      <c r="B165" s="13" t="inlineStr">
        <is>
          <t>應收-AED押金</t>
        </is>
      </c>
      <c r="C165" s="104" t="n">
        <v>4000</v>
      </c>
      <c r="D165" s="104" t="n">
        <v>0</v>
      </c>
      <c r="E165" s="104" t="n">
        <v>0</v>
      </c>
      <c r="F165" s="104" t="n">
        <v>4000</v>
      </c>
    </row>
    <row r="166" ht="18" customHeight="1" s="84">
      <c r="A166" s="34" t="inlineStr">
        <is>
          <t>2023-09</t>
        </is>
      </c>
      <c r="B166" s="34" t="inlineStr">
        <is>
          <t xml:space="preserve">  ↳ 2023-09 小計 (4 帳)</t>
        </is>
      </c>
      <c r="C166" s="106" t="n">
        <v>18054199</v>
      </c>
      <c r="D166" s="106" t="n">
        <v>5216</v>
      </c>
      <c r="E166" s="106" t="n">
        <v>1429164</v>
      </c>
      <c r="F166" s="106" t="n">
        <v>16630251</v>
      </c>
    </row>
    <row r="167" ht="16.5" customHeight="1" s="84">
      <c r="A167" s="7" t="inlineStr">
        <is>
          <t>2023-10</t>
        </is>
      </c>
      <c r="B167" s="13" t="inlineStr">
        <is>
          <t>元大-管理費</t>
        </is>
      </c>
      <c r="C167" s="104" t="n">
        <v>8071947</v>
      </c>
      <c r="D167" s="104" t="n">
        <v>2405772</v>
      </c>
      <c r="E167" s="104" t="n">
        <v>0</v>
      </c>
      <c r="F167" s="104" t="n">
        <v>10477719</v>
      </c>
    </row>
    <row r="168" ht="16.5" customHeight="1" s="84">
      <c r="A168" s="7" t="inlineStr">
        <is>
          <t>2023-10</t>
        </is>
      </c>
      <c r="B168" s="13" t="inlineStr">
        <is>
          <t>台銀-公共基金(定存)</t>
        </is>
      </c>
      <c r="C168" s="104" t="n">
        <v>6043214</v>
      </c>
      <c r="D168" s="104" t="n">
        <v>5216</v>
      </c>
      <c r="E168" s="104" t="n">
        <v>0</v>
      </c>
      <c r="F168" s="104" t="n">
        <v>6048430</v>
      </c>
    </row>
    <row r="169" ht="16.5" customHeight="1" s="84">
      <c r="A169" s="7" t="inlineStr">
        <is>
          <t>2023-10</t>
        </is>
      </c>
      <c r="B169" s="13" t="inlineStr">
        <is>
          <t>元大-電梯</t>
        </is>
      </c>
      <c r="C169" s="104" t="n">
        <v>2511090</v>
      </c>
      <c r="D169" s="104" t="n">
        <v>52108</v>
      </c>
      <c r="E169" s="104" t="n">
        <v>0</v>
      </c>
      <c r="F169" s="104" t="n">
        <v>2563198</v>
      </c>
    </row>
    <row r="170" ht="16.5" customHeight="1" s="84">
      <c r="A170" s="7" t="inlineStr">
        <is>
          <t>2023-10</t>
        </is>
      </c>
      <c r="B170" s="13" t="inlineStr">
        <is>
          <t>應收-AED押金</t>
        </is>
      </c>
      <c r="C170" s="104" t="n">
        <v>4000</v>
      </c>
      <c r="D170" s="104" t="n">
        <v>0</v>
      </c>
      <c r="E170" s="104" t="n">
        <v>0</v>
      </c>
      <c r="F170" s="104" t="n">
        <v>4000</v>
      </c>
    </row>
    <row r="171" ht="18" customHeight="1" s="84">
      <c r="A171" s="34" t="inlineStr">
        <is>
          <t>2023-10</t>
        </is>
      </c>
      <c r="B171" s="34" t="inlineStr">
        <is>
          <t xml:space="preserve">  ↳ 2023-10 小計 (4 帳)</t>
        </is>
      </c>
      <c r="C171" s="106" t="n">
        <v>16630251</v>
      </c>
      <c r="D171" s="106" t="n">
        <v>2463096</v>
      </c>
      <c r="E171" s="106" t="n">
        <v>0</v>
      </c>
      <c r="F171" s="106" t="n">
        <v>19093347</v>
      </c>
    </row>
    <row r="172" ht="16.5" customHeight="1" s="84">
      <c r="A172" s="7" t="inlineStr">
        <is>
          <t>2023-11</t>
        </is>
      </c>
      <c r="B172" s="13" t="inlineStr">
        <is>
          <t>元大-管理費</t>
        </is>
      </c>
      <c r="C172" s="104" t="n">
        <v>10477719</v>
      </c>
      <c r="D172" s="104" t="n">
        <v>0</v>
      </c>
      <c r="E172" s="104" t="n">
        <v>650141</v>
      </c>
      <c r="F172" s="104" t="n">
        <v>9827578</v>
      </c>
    </row>
    <row r="173" ht="16.5" customHeight="1" s="84">
      <c r="A173" s="7" t="inlineStr">
        <is>
          <t>2023-11</t>
        </is>
      </c>
      <c r="B173" s="13" t="inlineStr">
        <is>
          <t>台銀-公共基金(定存)</t>
        </is>
      </c>
      <c r="C173" s="104" t="n">
        <v>6048430</v>
      </c>
      <c r="D173" s="104" t="n">
        <v>5216</v>
      </c>
      <c r="E173" s="104" t="n">
        <v>0</v>
      </c>
      <c r="F173" s="104" t="n">
        <v>6053646</v>
      </c>
    </row>
    <row r="174" ht="16.5" customHeight="1" s="84">
      <c r="A174" s="7" t="inlineStr">
        <is>
          <t>2023-11</t>
        </is>
      </c>
      <c r="B174" s="13" t="inlineStr">
        <is>
          <t>元大-電梯</t>
        </is>
      </c>
      <c r="C174" s="104" t="n">
        <v>2563198</v>
      </c>
      <c r="D174" s="104" t="n">
        <v>52178</v>
      </c>
      <c r="E174" s="104" t="n">
        <v>0</v>
      </c>
      <c r="F174" s="104" t="n">
        <v>2615376</v>
      </c>
    </row>
    <row r="175" ht="16.5" customHeight="1" s="84">
      <c r="A175" s="7" t="inlineStr">
        <is>
          <t>2023-11</t>
        </is>
      </c>
      <c r="B175" s="13" t="inlineStr">
        <is>
          <t>應收-AED押金</t>
        </is>
      </c>
      <c r="C175" s="104" t="n">
        <v>4000</v>
      </c>
      <c r="D175" s="104" t="n">
        <v>0</v>
      </c>
      <c r="E175" s="104" t="n">
        <v>0</v>
      </c>
      <c r="F175" s="104" t="n">
        <v>4000</v>
      </c>
    </row>
    <row r="176" ht="18" customHeight="1" s="84">
      <c r="A176" s="34" t="inlineStr">
        <is>
          <t>2023-11</t>
        </is>
      </c>
      <c r="B176" s="34" t="inlineStr">
        <is>
          <t xml:space="preserve">  ↳ 2023-11 小計 (4 帳)</t>
        </is>
      </c>
      <c r="C176" s="106" t="n">
        <v>19093347</v>
      </c>
      <c r="D176" s="106" t="n">
        <v>57394</v>
      </c>
      <c r="E176" s="106" t="n">
        <v>650141</v>
      </c>
      <c r="F176" s="106" t="n">
        <v>18500600</v>
      </c>
    </row>
    <row r="177" ht="16.5" customHeight="1" s="84">
      <c r="A177" s="7" t="inlineStr">
        <is>
          <t>2023-12</t>
        </is>
      </c>
      <c r="B177" s="13" t="inlineStr">
        <is>
          <t>元大-管理費</t>
        </is>
      </c>
      <c r="C177" s="104" t="n">
        <v>9827578</v>
      </c>
      <c r="D177" s="104" t="n">
        <v>0</v>
      </c>
      <c r="E177" s="104" t="n">
        <v>1468061</v>
      </c>
      <c r="F177" s="104" t="n">
        <v>8359517</v>
      </c>
    </row>
    <row r="178" ht="16.5" customHeight="1" s="84">
      <c r="A178" s="7" t="inlineStr">
        <is>
          <t>2023-12</t>
        </is>
      </c>
      <c r="B178" s="13" t="inlineStr">
        <is>
          <t>台銀-公共基金(定存)</t>
        </is>
      </c>
      <c r="C178" s="104" t="n">
        <v>6053646</v>
      </c>
      <c r="D178" s="104" t="n">
        <v>11155</v>
      </c>
      <c r="E178" s="104" t="n">
        <v>0</v>
      </c>
      <c r="F178" s="104" t="n">
        <v>6064801</v>
      </c>
    </row>
    <row r="179" ht="16.5" customHeight="1" s="84">
      <c r="A179" s="7" t="inlineStr">
        <is>
          <t>2023-12</t>
        </is>
      </c>
      <c r="B179" s="13" t="inlineStr">
        <is>
          <t>元大-電梯</t>
        </is>
      </c>
      <c r="C179" s="104" t="n">
        <v>2615376</v>
      </c>
      <c r="D179" s="104" t="n">
        <v>54643</v>
      </c>
      <c r="E179" s="104" t="n">
        <v>0</v>
      </c>
      <c r="F179" s="104" t="n">
        <v>2670019</v>
      </c>
    </row>
    <row r="180" ht="16.5" customHeight="1" s="84">
      <c r="A180" s="7" t="inlineStr">
        <is>
          <t>2023-12</t>
        </is>
      </c>
      <c r="B180" s="13" t="inlineStr">
        <is>
          <t>應收-AED押金</t>
        </is>
      </c>
      <c r="C180" s="104" t="n">
        <v>4000</v>
      </c>
      <c r="D180" s="104" t="n">
        <v>0</v>
      </c>
      <c r="E180" s="104" t="n">
        <v>0</v>
      </c>
      <c r="F180" s="104" t="n">
        <v>4000</v>
      </c>
    </row>
    <row r="181" ht="18" customHeight="1" s="84">
      <c r="A181" s="34" t="inlineStr">
        <is>
          <t>2023-12</t>
        </is>
      </c>
      <c r="B181" s="34" t="inlineStr">
        <is>
          <t xml:space="preserve">  ↳ 2023-12 小計 (4 帳)</t>
        </is>
      </c>
      <c r="C181" s="106" t="n">
        <v>18500600</v>
      </c>
      <c r="D181" s="106" t="n">
        <v>65798</v>
      </c>
      <c r="E181" s="106" t="n">
        <v>1468061</v>
      </c>
      <c r="F181" s="106" t="n">
        <v>17098337</v>
      </c>
    </row>
    <row r="182" ht="16.5" customHeight="1" s="84">
      <c r="A182" s="7" t="inlineStr">
        <is>
          <t>2024-01</t>
        </is>
      </c>
      <c r="B182" s="13" t="inlineStr">
        <is>
          <t>元大-管理費</t>
        </is>
      </c>
      <c r="C182" s="104" t="n">
        <v>8359517</v>
      </c>
      <c r="D182" s="104" t="n">
        <v>2412850</v>
      </c>
      <c r="E182" s="104" t="n">
        <v>0</v>
      </c>
      <c r="F182" s="104" t="n">
        <v>10772367</v>
      </c>
    </row>
    <row r="183" ht="16.5" customHeight="1" s="84">
      <c r="A183" s="7" t="inlineStr">
        <is>
          <t>2024-01</t>
        </is>
      </c>
      <c r="B183" s="13" t="inlineStr">
        <is>
          <t>台銀-公共基金(定存)</t>
        </is>
      </c>
      <c r="C183" s="104" t="n">
        <v>6064801</v>
      </c>
      <c r="D183" s="104" t="n">
        <v>5216</v>
      </c>
      <c r="E183" s="104" t="n">
        <v>0</v>
      </c>
      <c r="F183" s="104" t="n">
        <v>6070017</v>
      </c>
    </row>
    <row r="184" ht="16.5" customHeight="1" s="84">
      <c r="A184" s="7" t="inlineStr">
        <is>
          <t>2024-01</t>
        </is>
      </c>
      <c r="B184" s="13" t="inlineStr">
        <is>
          <t>元大-電梯</t>
        </is>
      </c>
      <c r="C184" s="104" t="n">
        <v>2670019</v>
      </c>
      <c r="D184" s="104" t="n">
        <v>52178</v>
      </c>
      <c r="E184" s="104" t="n">
        <v>0</v>
      </c>
      <c r="F184" s="104" t="n">
        <v>2722197</v>
      </c>
    </row>
    <row r="185" ht="16.5" customHeight="1" s="84">
      <c r="A185" s="7" t="inlineStr">
        <is>
          <t>2024-01</t>
        </is>
      </c>
      <c r="B185" s="13" t="inlineStr">
        <is>
          <t>應收-AED押金</t>
        </is>
      </c>
      <c r="C185" s="104" t="n">
        <v>4000</v>
      </c>
      <c r="D185" s="104" t="n">
        <v>0</v>
      </c>
      <c r="E185" s="104" t="n">
        <v>0</v>
      </c>
      <c r="F185" s="104" t="n">
        <v>4000</v>
      </c>
    </row>
    <row r="186" ht="18" customHeight="1" s="84">
      <c r="A186" s="34" t="inlineStr">
        <is>
          <t>2024-01</t>
        </is>
      </c>
      <c r="B186" s="34" t="inlineStr">
        <is>
          <t xml:space="preserve">  ↳ 2024-01 小計 (4 帳)</t>
        </is>
      </c>
      <c r="C186" s="106" t="n">
        <v>17098337</v>
      </c>
      <c r="D186" s="106" t="n">
        <v>2470244</v>
      </c>
      <c r="E186" s="106" t="n">
        <v>0</v>
      </c>
      <c r="F186" s="106" t="n">
        <v>19568581</v>
      </c>
    </row>
    <row r="187" ht="16.5" customHeight="1" s="84">
      <c r="A187" s="7" t="inlineStr">
        <is>
          <t>2024-02</t>
        </is>
      </c>
      <c r="B187" s="13" t="inlineStr">
        <is>
          <t>元大-管理費</t>
        </is>
      </c>
      <c r="C187" s="104" t="n">
        <v>10772367</v>
      </c>
      <c r="D187" s="104" t="n">
        <v>0</v>
      </c>
      <c r="E187" s="104" t="n">
        <v>810890</v>
      </c>
      <c r="F187" s="104" t="n">
        <v>9961477</v>
      </c>
    </row>
    <row r="188" ht="16.5" customHeight="1" s="84">
      <c r="A188" s="7" t="inlineStr">
        <is>
          <t>2024-02</t>
        </is>
      </c>
      <c r="B188" s="13" t="inlineStr">
        <is>
          <t>台銀-公共基金(定存)</t>
        </is>
      </c>
      <c r="C188" s="104" t="n">
        <v>6070017</v>
      </c>
      <c r="D188" s="104" t="n">
        <v>5216</v>
      </c>
      <c r="E188" s="104" t="n">
        <v>0</v>
      </c>
      <c r="F188" s="104" t="n">
        <v>6075233</v>
      </c>
    </row>
    <row r="189" ht="16.5" customHeight="1" s="84">
      <c r="A189" s="7" t="inlineStr">
        <is>
          <t>2024-02</t>
        </is>
      </c>
      <c r="B189" s="13" t="inlineStr">
        <is>
          <t>元大-電梯</t>
        </is>
      </c>
      <c r="C189" s="104" t="n">
        <v>2722197</v>
      </c>
      <c r="D189" s="104" t="n">
        <v>0</v>
      </c>
      <c r="E189" s="104" t="n">
        <v>467822</v>
      </c>
      <c r="F189" s="104" t="n">
        <v>2254375</v>
      </c>
    </row>
    <row r="190" ht="16.5" customHeight="1" s="84">
      <c r="A190" s="7" t="inlineStr">
        <is>
          <t>2024-02</t>
        </is>
      </c>
      <c r="B190" s="13" t="inlineStr">
        <is>
          <t>應收-AED押金</t>
        </is>
      </c>
      <c r="C190" s="104" t="n">
        <v>4000</v>
      </c>
      <c r="D190" s="104" t="n">
        <v>0</v>
      </c>
      <c r="E190" s="104" t="n">
        <v>0</v>
      </c>
      <c r="F190" s="104" t="n">
        <v>4000</v>
      </c>
    </row>
    <row r="191" ht="18" customHeight="1" s="84">
      <c r="A191" s="34" t="inlineStr">
        <is>
          <t>2024-02</t>
        </is>
      </c>
      <c r="B191" s="34" t="inlineStr">
        <is>
          <t xml:space="preserve">  ↳ 2024-02 小計 (4 帳)</t>
        </is>
      </c>
      <c r="C191" s="106" t="n">
        <v>19568581</v>
      </c>
      <c r="D191" s="106" t="n">
        <v>5216</v>
      </c>
      <c r="E191" s="106" t="n">
        <v>1278712</v>
      </c>
      <c r="F191" s="106" t="n">
        <v>18295085</v>
      </c>
    </row>
    <row r="192" ht="16.5" customHeight="1" s="84">
      <c r="A192" s="7" t="inlineStr">
        <is>
          <t>2024-03</t>
        </is>
      </c>
      <c r="B192" s="13" t="inlineStr">
        <is>
          <t>元大-管理費</t>
        </is>
      </c>
      <c r="C192" s="104" t="n">
        <v>9961477</v>
      </c>
      <c r="D192" s="104" t="n">
        <v>0</v>
      </c>
      <c r="E192" s="104" t="n">
        <v>1213496</v>
      </c>
      <c r="F192" s="104" t="n">
        <v>8747981</v>
      </c>
    </row>
    <row r="193" ht="16.5" customHeight="1" s="84">
      <c r="A193" s="7" t="inlineStr">
        <is>
          <t>2024-03</t>
        </is>
      </c>
      <c r="B193" s="13" t="inlineStr">
        <is>
          <t>台銀-公共基金(定存)</t>
        </is>
      </c>
      <c r="C193" s="104" t="n">
        <v>6075233</v>
      </c>
      <c r="D193" s="104" t="n">
        <v>5216</v>
      </c>
      <c r="E193" s="104" t="n">
        <v>0</v>
      </c>
      <c r="F193" s="104" t="n">
        <v>6080449</v>
      </c>
    </row>
    <row r="194" ht="16.5" customHeight="1" s="84">
      <c r="A194" s="7" t="inlineStr">
        <is>
          <t>2024-03</t>
        </is>
      </c>
      <c r="B194" s="13" t="inlineStr">
        <is>
          <t>元大-電梯</t>
        </is>
      </c>
      <c r="C194" s="104" t="n">
        <v>2254375</v>
      </c>
      <c r="D194" s="104" t="n">
        <v>52217</v>
      </c>
      <c r="E194" s="104" t="n">
        <v>0</v>
      </c>
      <c r="F194" s="104" t="n">
        <v>2306592</v>
      </c>
    </row>
    <row r="195" ht="16.5" customHeight="1" s="84">
      <c r="A195" s="7" t="inlineStr">
        <is>
          <t>2024-03</t>
        </is>
      </c>
      <c r="B195" s="13" t="inlineStr">
        <is>
          <t>應收-AED押金</t>
        </is>
      </c>
      <c r="C195" s="104" t="n">
        <v>4000</v>
      </c>
      <c r="D195" s="104" t="n">
        <v>0</v>
      </c>
      <c r="E195" s="104" t="n">
        <v>0</v>
      </c>
      <c r="F195" s="104" t="n">
        <v>4000</v>
      </c>
    </row>
    <row r="196" ht="18" customHeight="1" s="84">
      <c r="A196" s="34" t="inlineStr">
        <is>
          <t>2024-03</t>
        </is>
      </c>
      <c r="B196" s="34" t="inlineStr">
        <is>
          <t xml:space="preserve">  ↳ 2024-03 小計 (4 帳)</t>
        </is>
      </c>
      <c r="C196" s="106" t="n">
        <v>18295085</v>
      </c>
      <c r="D196" s="106" t="n">
        <v>57433</v>
      </c>
      <c r="E196" s="106" t="n">
        <v>1213496</v>
      </c>
      <c r="F196" s="106" t="n">
        <v>17139022</v>
      </c>
    </row>
    <row r="197" ht="16.5" customHeight="1" s="84">
      <c r="A197" s="7" t="inlineStr">
        <is>
          <t>2024-04</t>
        </is>
      </c>
      <c r="B197" s="13" t="inlineStr">
        <is>
          <t>元大-管理費</t>
        </is>
      </c>
      <c r="C197" s="104" t="n">
        <v>8747981</v>
      </c>
      <c r="D197" s="104" t="n">
        <v>1759423</v>
      </c>
      <c r="E197" s="104" t="n">
        <v>0</v>
      </c>
      <c r="F197" s="104" t="n">
        <v>10507404</v>
      </c>
    </row>
    <row r="198" ht="16.5" customHeight="1" s="84">
      <c r="A198" s="7" t="inlineStr">
        <is>
          <t>2024-04</t>
        </is>
      </c>
      <c r="B198" s="13" t="inlineStr">
        <is>
          <t>台銀-公共基金(定存)</t>
        </is>
      </c>
      <c r="C198" s="104" t="n">
        <v>6080449</v>
      </c>
      <c r="D198" s="104" t="n">
        <v>5440</v>
      </c>
      <c r="E198" s="104" t="n">
        <v>0</v>
      </c>
      <c r="F198" s="104" t="n">
        <v>6085889</v>
      </c>
    </row>
    <row r="199" ht="16.5" customHeight="1" s="84">
      <c r="A199" s="7" t="inlineStr">
        <is>
          <t>2024-04</t>
        </is>
      </c>
      <c r="B199" s="13" t="inlineStr">
        <is>
          <t>元大-電梯</t>
        </is>
      </c>
      <c r="C199" s="104" t="n">
        <v>2306592</v>
      </c>
      <c r="D199" s="104" t="n">
        <v>52370</v>
      </c>
      <c r="E199" s="104" t="n">
        <v>0</v>
      </c>
      <c r="F199" s="104" t="n">
        <v>2358962</v>
      </c>
    </row>
    <row r="200" ht="16.5" customHeight="1" s="84">
      <c r="A200" s="7" t="inlineStr">
        <is>
          <t>2024-04</t>
        </is>
      </c>
      <c r="B200" s="13" t="inlineStr">
        <is>
          <t>應收-AED押金</t>
        </is>
      </c>
      <c r="C200" s="104" t="n">
        <v>4000</v>
      </c>
      <c r="D200" s="104" t="n">
        <v>0</v>
      </c>
      <c r="E200" s="104" t="n">
        <v>0</v>
      </c>
      <c r="F200" s="104" t="n">
        <v>4000</v>
      </c>
    </row>
    <row r="201" ht="18" customHeight="1" s="84">
      <c r="A201" s="34" t="inlineStr">
        <is>
          <t>2024-04</t>
        </is>
      </c>
      <c r="B201" s="34" t="inlineStr">
        <is>
          <t xml:space="preserve">  ↳ 2024-04 小計 (4 帳)</t>
        </is>
      </c>
      <c r="C201" s="106" t="n">
        <v>17139022</v>
      </c>
      <c r="D201" s="106" t="n">
        <v>1817233</v>
      </c>
      <c r="E201" s="106" t="n">
        <v>0</v>
      </c>
      <c r="F201" s="106" t="n">
        <v>18956255</v>
      </c>
    </row>
    <row r="202" ht="16.5" customHeight="1" s="84">
      <c r="A202" s="7" t="inlineStr">
        <is>
          <t>2024-05</t>
        </is>
      </c>
      <c r="B202" s="13" t="inlineStr">
        <is>
          <t>元大-管理費</t>
        </is>
      </c>
      <c r="C202" s="104" t="n">
        <v>10507404</v>
      </c>
      <c r="D202" s="104" t="n">
        <v>0</v>
      </c>
      <c r="E202" s="104" t="n">
        <v>379746</v>
      </c>
      <c r="F202" s="104" t="n">
        <v>10127658</v>
      </c>
    </row>
    <row r="203" ht="16.5" customHeight="1" s="84">
      <c r="A203" s="7" t="inlineStr">
        <is>
          <t>2024-05</t>
        </is>
      </c>
      <c r="B203" s="13" t="inlineStr">
        <is>
          <t>台銀-公共基金(定存)</t>
        </is>
      </c>
      <c r="C203" s="104" t="n">
        <v>6085889</v>
      </c>
      <c r="D203" s="104" t="n">
        <v>5632</v>
      </c>
      <c r="E203" s="104" t="n">
        <v>0</v>
      </c>
      <c r="F203" s="104" t="n">
        <v>6091521</v>
      </c>
    </row>
    <row r="204" ht="16.5" customHeight="1" s="84">
      <c r="A204" s="7" t="inlineStr">
        <is>
          <t>2024-05</t>
        </is>
      </c>
      <c r="B204" s="13" t="inlineStr">
        <is>
          <t>元大-電梯</t>
        </is>
      </c>
      <c r="C204" s="104" t="n">
        <v>2358962</v>
      </c>
      <c r="D204" s="104" t="n">
        <v>52293</v>
      </c>
      <c r="E204" s="104" t="n">
        <v>0</v>
      </c>
      <c r="F204" s="104" t="n">
        <v>2411255</v>
      </c>
    </row>
    <row r="205" ht="16.5" customHeight="1" s="84">
      <c r="A205" s="7" t="inlineStr">
        <is>
          <t>2024-05</t>
        </is>
      </c>
      <c r="B205" s="13" t="inlineStr">
        <is>
          <t>應收-AED押金</t>
        </is>
      </c>
      <c r="C205" s="104" t="n">
        <v>4000</v>
      </c>
      <c r="D205" s="104" t="n">
        <v>0</v>
      </c>
      <c r="E205" s="104" t="n">
        <v>0</v>
      </c>
      <c r="F205" s="104" t="n">
        <v>4000</v>
      </c>
    </row>
    <row r="206" ht="18" customHeight="1" s="84">
      <c r="A206" s="34" t="inlineStr">
        <is>
          <t>2024-05</t>
        </is>
      </c>
      <c r="B206" s="34" t="inlineStr">
        <is>
          <t xml:space="preserve">  ↳ 2024-05 小計 (4 帳)</t>
        </is>
      </c>
      <c r="C206" s="106" t="n">
        <v>18956255</v>
      </c>
      <c r="D206" s="106" t="n">
        <v>57925</v>
      </c>
      <c r="E206" s="106" t="n">
        <v>379746</v>
      </c>
      <c r="F206" s="106" t="n">
        <v>18634434</v>
      </c>
    </row>
    <row r="207" ht="16.5" customHeight="1" s="84">
      <c r="A207" s="7" t="inlineStr">
        <is>
          <t>2024-06</t>
        </is>
      </c>
      <c r="B207" s="13" t="inlineStr">
        <is>
          <t>元大-管理費</t>
        </is>
      </c>
      <c r="C207" s="104" t="n">
        <v>10127658</v>
      </c>
      <c r="D207" s="104" t="n">
        <v>0</v>
      </c>
      <c r="E207" s="104" t="n">
        <v>1339859</v>
      </c>
      <c r="F207" s="104" t="n">
        <v>8787799</v>
      </c>
    </row>
    <row r="208" ht="16.5" customHeight="1" s="84">
      <c r="A208" s="7" t="inlineStr">
        <is>
          <t>2024-06</t>
        </is>
      </c>
      <c r="B208" s="13" t="inlineStr">
        <is>
          <t>台銀-公共基金(定存)</t>
        </is>
      </c>
      <c r="C208" s="104" t="n">
        <v>6091521</v>
      </c>
      <c r="D208" s="104" t="n">
        <v>12310</v>
      </c>
      <c r="E208" s="104" t="n">
        <v>0</v>
      </c>
      <c r="F208" s="104" t="n">
        <v>6103831</v>
      </c>
    </row>
    <row r="209" ht="16.5" customHeight="1" s="84">
      <c r="A209" s="7" t="inlineStr">
        <is>
          <t>2024-06</t>
        </is>
      </c>
      <c r="B209" s="13" t="inlineStr">
        <is>
          <t>元大-電梯</t>
        </is>
      </c>
      <c r="C209" s="104" t="n">
        <v>2411255</v>
      </c>
      <c r="D209" s="104" t="n">
        <v>54293</v>
      </c>
      <c r="E209" s="104" t="n">
        <v>0</v>
      </c>
      <c r="F209" s="104" t="n">
        <v>2465548</v>
      </c>
    </row>
    <row r="210" ht="16.5" customHeight="1" s="84">
      <c r="A210" s="7" t="inlineStr">
        <is>
          <t>2024-06</t>
        </is>
      </c>
      <c r="B210" s="13" t="inlineStr">
        <is>
          <t>應收-AED押金</t>
        </is>
      </c>
      <c r="C210" s="104" t="n">
        <v>4000</v>
      </c>
      <c r="D210" s="104" t="n">
        <v>0</v>
      </c>
      <c r="E210" s="104" t="n">
        <v>0</v>
      </c>
      <c r="F210" s="104" t="n">
        <v>4000</v>
      </c>
    </row>
    <row r="211" ht="18" customHeight="1" s="84">
      <c r="A211" s="34" t="inlineStr">
        <is>
          <t>2024-06</t>
        </is>
      </c>
      <c r="B211" s="34" t="inlineStr">
        <is>
          <t xml:space="preserve">  ↳ 2024-06 小計 (4 帳)</t>
        </is>
      </c>
      <c r="C211" s="106" t="n">
        <v>18634434</v>
      </c>
      <c r="D211" s="106" t="n">
        <v>66603</v>
      </c>
      <c r="E211" s="106" t="n">
        <v>1339859</v>
      </c>
      <c r="F211" s="106" t="n">
        <v>17361178</v>
      </c>
    </row>
    <row r="212" ht="16.5" customHeight="1" s="84">
      <c r="A212" s="7" t="inlineStr">
        <is>
          <t>2024-07</t>
        </is>
      </c>
      <c r="B212" s="13" t="inlineStr">
        <is>
          <t>元大-管理費</t>
        </is>
      </c>
      <c r="C212" s="104" t="n">
        <v>8787799</v>
      </c>
      <c r="D212" s="104" t="n">
        <v>2091326</v>
      </c>
      <c r="E212" s="104" t="n">
        <v>0</v>
      </c>
      <c r="F212" s="104" t="n">
        <v>10879125</v>
      </c>
    </row>
    <row r="213" ht="16.5" customHeight="1" s="84">
      <c r="A213" s="7" t="inlineStr">
        <is>
          <t>2024-07</t>
        </is>
      </c>
      <c r="B213" s="13" t="inlineStr">
        <is>
          <t>台銀-公共基金(定存)</t>
        </is>
      </c>
      <c r="C213" s="104" t="n">
        <v>6103831</v>
      </c>
      <c r="D213" s="104" t="n">
        <v>5632</v>
      </c>
      <c r="E213" s="104" t="n">
        <v>0</v>
      </c>
      <c r="F213" s="104" t="n">
        <v>6109463</v>
      </c>
    </row>
    <row r="214" ht="16.5" customHeight="1" s="84">
      <c r="A214" s="7" t="inlineStr">
        <is>
          <t>2024-07</t>
        </is>
      </c>
      <c r="B214" s="13" t="inlineStr">
        <is>
          <t>元大-電梯</t>
        </is>
      </c>
      <c r="C214" s="104" t="n">
        <v>2465548</v>
      </c>
      <c r="D214" s="104" t="n">
        <v>52293</v>
      </c>
      <c r="E214" s="104" t="n">
        <v>0</v>
      </c>
      <c r="F214" s="104" t="n">
        <v>2517841</v>
      </c>
    </row>
    <row r="215" ht="16.5" customHeight="1" s="84">
      <c r="A215" s="7" t="inlineStr">
        <is>
          <t>2024-07</t>
        </is>
      </c>
      <c r="B215" s="13" t="inlineStr">
        <is>
          <t>應收-AED押金</t>
        </is>
      </c>
      <c r="C215" s="104" t="n">
        <v>4000</v>
      </c>
      <c r="D215" s="104" t="n">
        <v>0</v>
      </c>
      <c r="E215" s="104" t="n">
        <v>0</v>
      </c>
      <c r="F215" s="104" t="n">
        <v>4000</v>
      </c>
    </row>
    <row r="216" ht="18" customHeight="1" s="84">
      <c r="A216" s="34" t="inlineStr">
        <is>
          <t>2024-07</t>
        </is>
      </c>
      <c r="B216" s="34" t="inlineStr">
        <is>
          <t xml:space="preserve">  ↳ 2024-07 小計 (4 帳)</t>
        </is>
      </c>
      <c r="C216" s="106" t="n">
        <v>17361178</v>
      </c>
      <c r="D216" s="106" t="n">
        <v>2149251</v>
      </c>
      <c r="E216" s="106" t="n">
        <v>0</v>
      </c>
      <c r="F216" s="106" t="n">
        <v>19510429</v>
      </c>
    </row>
    <row r="217" ht="16.5" customHeight="1" s="84">
      <c r="A217" s="7" t="inlineStr">
        <is>
          <t>2024-08</t>
        </is>
      </c>
      <c r="B217" s="13" t="inlineStr">
        <is>
          <t>元大-管理費</t>
        </is>
      </c>
      <c r="C217" s="104" t="n">
        <v>10879125</v>
      </c>
      <c r="D217" s="104" t="n">
        <v>0</v>
      </c>
      <c r="E217" s="104" t="n">
        <v>872334</v>
      </c>
      <c r="F217" s="104" t="n">
        <v>10006791</v>
      </c>
    </row>
    <row r="218" ht="16.5" customHeight="1" s="84">
      <c r="A218" s="7" t="inlineStr">
        <is>
          <t>2024-08</t>
        </is>
      </c>
      <c r="B218" s="13" t="inlineStr">
        <is>
          <t>台銀-公共基金(定存)</t>
        </is>
      </c>
      <c r="C218" s="104" t="n">
        <v>6109463</v>
      </c>
      <c r="D218" s="104" t="n">
        <v>5632</v>
      </c>
      <c r="E218" s="104" t="n">
        <v>0</v>
      </c>
      <c r="F218" s="104" t="n">
        <v>6115095</v>
      </c>
    </row>
    <row r="219" ht="16.5" customHeight="1" s="84">
      <c r="A219" s="7" t="inlineStr">
        <is>
          <t>2024-08</t>
        </is>
      </c>
      <c r="B219" s="13" t="inlineStr">
        <is>
          <t>元大-電梯</t>
        </is>
      </c>
      <c r="C219" s="104" t="n">
        <v>2517841</v>
      </c>
      <c r="D219" s="104" t="n">
        <v>52370</v>
      </c>
      <c r="E219" s="104" t="n">
        <v>0</v>
      </c>
      <c r="F219" s="104" t="n">
        <v>2570211</v>
      </c>
    </row>
    <row r="220" ht="16.5" customHeight="1" s="84">
      <c r="A220" s="7" t="inlineStr">
        <is>
          <t>2024-08</t>
        </is>
      </c>
      <c r="B220" s="13" t="inlineStr">
        <is>
          <t>應收-AED押金</t>
        </is>
      </c>
      <c r="C220" s="104" t="n">
        <v>4000</v>
      </c>
      <c r="D220" s="104" t="n">
        <v>0</v>
      </c>
      <c r="E220" s="104" t="n">
        <v>0</v>
      </c>
      <c r="F220" s="104" t="n">
        <v>4000</v>
      </c>
    </row>
    <row r="221" ht="18" customHeight="1" s="84">
      <c r="A221" s="34" t="inlineStr">
        <is>
          <t>2024-08</t>
        </is>
      </c>
      <c r="B221" s="34" t="inlineStr">
        <is>
          <t xml:space="preserve">  ↳ 2024-08 小計 (4 帳)</t>
        </is>
      </c>
      <c r="C221" s="106" t="n">
        <v>19510429</v>
      </c>
      <c r="D221" s="106" t="n">
        <v>58002</v>
      </c>
      <c r="E221" s="106" t="n">
        <v>872334</v>
      </c>
      <c r="F221" s="106" t="n">
        <v>18696097</v>
      </c>
    </row>
    <row r="222" ht="16.5" customHeight="1" s="84">
      <c r="A222" s="7" t="inlineStr">
        <is>
          <t>2024-09</t>
        </is>
      </c>
      <c r="B222" s="13" t="inlineStr">
        <is>
          <t>元大-管理費</t>
        </is>
      </c>
      <c r="C222" s="104" t="n">
        <v>10006791</v>
      </c>
      <c r="D222" s="104" t="n">
        <v>820030</v>
      </c>
      <c r="E222" s="104" t="n">
        <v>0</v>
      </c>
      <c r="F222" s="104" t="n">
        <v>10826821</v>
      </c>
    </row>
    <row r="223" ht="16.5" customHeight="1" s="84">
      <c r="A223" s="7" t="inlineStr">
        <is>
          <t>2024-09</t>
        </is>
      </c>
      <c r="B223" s="13" t="inlineStr">
        <is>
          <t>台銀-公共基金(定存)</t>
        </is>
      </c>
      <c r="C223" s="104" t="n">
        <v>6115095</v>
      </c>
      <c r="D223" s="104" t="n">
        <v>11264</v>
      </c>
      <c r="E223" s="104" t="n">
        <v>0</v>
      </c>
      <c r="F223" s="104" t="n">
        <v>6126359</v>
      </c>
    </row>
    <row r="224" ht="16.5" customHeight="1" s="84">
      <c r="A224" s="7" t="inlineStr">
        <is>
          <t>2024-09</t>
        </is>
      </c>
      <c r="B224" s="13" t="inlineStr">
        <is>
          <t>元大-電梯</t>
        </is>
      </c>
      <c r="C224" s="104" t="n">
        <v>2570211</v>
      </c>
      <c r="D224" s="104" t="n">
        <v>0</v>
      </c>
      <c r="E224" s="104" t="n">
        <v>415337</v>
      </c>
      <c r="F224" s="104" t="n">
        <v>2154874</v>
      </c>
    </row>
    <row r="225" ht="16.5" customHeight="1" s="84">
      <c r="A225" s="7" t="inlineStr">
        <is>
          <t>2024-09</t>
        </is>
      </c>
      <c r="B225" s="13" t="inlineStr">
        <is>
          <t>應收-AED押金</t>
        </is>
      </c>
      <c r="C225" s="104" t="n">
        <v>4000</v>
      </c>
      <c r="D225" s="104" t="n">
        <v>0</v>
      </c>
      <c r="E225" s="104" t="n">
        <v>0</v>
      </c>
      <c r="F225" s="104" t="n">
        <v>4000</v>
      </c>
    </row>
    <row r="226" ht="18" customHeight="1" s="84">
      <c r="A226" s="34" t="inlineStr">
        <is>
          <t>2024-09</t>
        </is>
      </c>
      <c r="B226" s="34" t="inlineStr">
        <is>
          <t xml:space="preserve">  ↳ 2024-09 小計 (4 帳)</t>
        </is>
      </c>
      <c r="C226" s="106" t="n">
        <v>18696097</v>
      </c>
      <c r="D226" s="106" t="n">
        <v>831294</v>
      </c>
      <c r="E226" s="106" t="n">
        <v>415337</v>
      </c>
      <c r="F226" s="106" t="n">
        <v>19112054</v>
      </c>
    </row>
    <row r="227" ht="16.5" customHeight="1" s="84">
      <c r="A227" t="inlineStr">
        <is>
          <t>2024-10</t>
        </is>
      </c>
      <c r="B227" t="inlineStr">
        <is>
          <t>元大-管理費</t>
        </is>
      </c>
      <c r="C227" t="n">
        <v>8504284</v>
      </c>
      <c r="D227" t="n">
        <v>2322537</v>
      </c>
      <c r="E227" t="n">
        <v>0</v>
      </c>
      <c r="F227" t="n">
        <v>10826821</v>
      </c>
    </row>
    <row r="228" ht="16.5" customHeight="1" s="84">
      <c r="A228" t="inlineStr">
        <is>
          <t>2024-10</t>
        </is>
      </c>
      <c r="B228" t="inlineStr">
        <is>
          <t>台銀-公共基金(定存)</t>
        </is>
      </c>
      <c r="C228" t="n">
        <v>6120727</v>
      </c>
      <c r="D228" t="n">
        <v>5632</v>
      </c>
      <c r="E228" t="n">
        <v>0</v>
      </c>
      <c r="F228" t="n">
        <v>6126359</v>
      </c>
    </row>
    <row r="229" ht="16.5" customHeight="1" s="84">
      <c r="A229" t="inlineStr">
        <is>
          <t>2024-10</t>
        </is>
      </c>
      <c r="B229" t="inlineStr">
        <is>
          <t>元大-電梯</t>
        </is>
      </c>
      <c r="C229" t="n">
        <v>2622581</v>
      </c>
      <c r="D229" t="n">
        <v>0</v>
      </c>
      <c r="E229" t="n">
        <v>467707</v>
      </c>
      <c r="F229" t="n">
        <v>2154874</v>
      </c>
    </row>
    <row r="230" ht="16.5" customHeight="1" s="84">
      <c r="A230" t="inlineStr">
        <is>
          <t>2024-10</t>
        </is>
      </c>
      <c r="B230" t="inlineStr">
        <is>
          <t>應收-AED押金</t>
        </is>
      </c>
      <c r="C230" t="n">
        <v>4000</v>
      </c>
      <c r="D230" t="n">
        <v>0</v>
      </c>
      <c r="E230" t="n">
        <v>0</v>
      </c>
      <c r="F230" t="n">
        <v>4000</v>
      </c>
    </row>
    <row r="231" ht="18" customHeight="1" s="84">
      <c r="A231" t="inlineStr">
        <is>
          <t>2024-10</t>
        </is>
      </c>
      <c r="B231" t="inlineStr">
        <is>
          <t xml:space="preserve">  ↳ 2024-10 小計 (4 帳)</t>
        </is>
      </c>
      <c r="C231" t="n">
        <v>17251592</v>
      </c>
      <c r="D231" t="n">
        <v>2328169</v>
      </c>
      <c r="E231" t="n">
        <v>467707</v>
      </c>
      <c r="F231" t="n">
        <v>19112054</v>
      </c>
    </row>
    <row r="232" ht="16.5" customHeight="1" s="84">
      <c r="A232" s="7" t="inlineStr">
        <is>
          <t>2024-11</t>
        </is>
      </c>
      <c r="B232" s="13" t="inlineStr">
        <is>
          <t>元大-管理費</t>
        </is>
      </c>
      <c r="C232" s="104" t="n">
        <v>10826821</v>
      </c>
      <c r="D232" s="104" t="n">
        <v>0</v>
      </c>
      <c r="E232" s="104" t="n">
        <v>876731</v>
      </c>
      <c r="F232" s="104" t="n">
        <v>9950090</v>
      </c>
    </row>
    <row r="233" ht="16.5" customHeight="1" s="84">
      <c r="A233" s="7" t="inlineStr">
        <is>
          <t>2024-11</t>
        </is>
      </c>
      <c r="B233" s="13" t="inlineStr">
        <is>
          <t>台銀-公共基金(定存)</t>
        </is>
      </c>
      <c r="C233" s="104" t="n">
        <v>6126359</v>
      </c>
      <c r="D233" s="104" t="n">
        <v>5632</v>
      </c>
      <c r="E233" s="104" t="n">
        <v>0</v>
      </c>
      <c r="F233" s="104" t="n">
        <v>6131991</v>
      </c>
    </row>
    <row r="234" ht="16.5" customHeight="1" s="84">
      <c r="A234" s="7" t="inlineStr">
        <is>
          <t>2024-11</t>
        </is>
      </c>
      <c r="B234" s="13" t="inlineStr">
        <is>
          <t>元大-電梯</t>
        </is>
      </c>
      <c r="C234" s="104" t="n">
        <v>2154874</v>
      </c>
      <c r="D234" s="104" t="n">
        <v>54663</v>
      </c>
      <c r="E234" s="104" t="n">
        <v>0</v>
      </c>
      <c r="F234" s="104" t="n">
        <v>2209537</v>
      </c>
    </row>
    <row r="235" ht="16.5" customHeight="1" s="84">
      <c r="A235" s="7" t="inlineStr">
        <is>
          <t>2024-11</t>
        </is>
      </c>
      <c r="B235" s="13" t="inlineStr">
        <is>
          <t>應收-AED押金</t>
        </is>
      </c>
      <c r="C235" s="104" t="n">
        <v>4000</v>
      </c>
      <c r="D235" s="104" t="n">
        <v>0</v>
      </c>
      <c r="E235" s="104" t="n">
        <v>0</v>
      </c>
      <c r="F235" s="104" t="n">
        <v>4000</v>
      </c>
    </row>
    <row r="236" ht="18" customHeight="1" s="84">
      <c r="A236" s="34" t="inlineStr">
        <is>
          <t>2024-11</t>
        </is>
      </c>
      <c r="B236" s="34" t="inlineStr">
        <is>
          <t xml:space="preserve">  ↳ 2024-11 小計 (4 帳)</t>
        </is>
      </c>
      <c r="C236" s="106" t="n">
        <v>19112054</v>
      </c>
      <c r="D236" s="106" t="n">
        <v>60295</v>
      </c>
      <c r="E236" s="106" t="n">
        <v>876731</v>
      </c>
      <c r="F236" s="106" t="n">
        <v>18295618</v>
      </c>
    </row>
    <row r="237" ht="16.5" customHeight="1" s="84">
      <c r="A237" s="7" t="inlineStr">
        <is>
          <t>2024-12</t>
        </is>
      </c>
      <c r="B237" s="13" t="inlineStr">
        <is>
          <t>元大-管理費</t>
        </is>
      </c>
      <c r="C237" s="104" t="n">
        <v>9950090</v>
      </c>
      <c r="D237" s="104" t="n">
        <v>0</v>
      </c>
      <c r="E237" s="104" t="n">
        <v>1282937</v>
      </c>
      <c r="F237" s="104" t="n">
        <v>8667153</v>
      </c>
    </row>
    <row r="238" ht="16.5" customHeight="1" s="84">
      <c r="A238" s="7" t="inlineStr">
        <is>
          <t>2024-12</t>
        </is>
      </c>
      <c r="B238" s="13" t="inlineStr">
        <is>
          <t>台銀-公共基金(定存)</t>
        </is>
      </c>
      <c r="C238" s="104" t="n">
        <v>6131991</v>
      </c>
      <c r="D238" s="104" t="n">
        <v>13125</v>
      </c>
      <c r="E238" s="104" t="n">
        <v>0</v>
      </c>
      <c r="F238" s="104" t="n">
        <v>6145116</v>
      </c>
    </row>
    <row r="239" ht="16.5" customHeight="1" s="84">
      <c r="A239" s="7" t="inlineStr">
        <is>
          <t>2024-12</t>
        </is>
      </c>
      <c r="B239" s="13" t="inlineStr">
        <is>
          <t>元大-電梯</t>
        </is>
      </c>
      <c r="C239" s="104" t="n">
        <v>2209537</v>
      </c>
      <c r="D239" s="104" t="n">
        <v>4436</v>
      </c>
      <c r="E239" s="104" t="n">
        <v>0</v>
      </c>
      <c r="F239" s="104" t="n">
        <v>2213973</v>
      </c>
    </row>
    <row r="240" ht="16.5" customHeight="1" s="84">
      <c r="A240" s="7" t="inlineStr">
        <is>
          <t>2024-12</t>
        </is>
      </c>
      <c r="B240" s="13" t="inlineStr">
        <is>
          <t>應收-AED押金</t>
        </is>
      </c>
      <c r="C240" s="104" t="n">
        <v>4000</v>
      </c>
      <c r="D240" s="104" t="n">
        <v>0</v>
      </c>
      <c r="E240" s="104" t="n">
        <v>0</v>
      </c>
      <c r="F240" s="104" t="n">
        <v>4000</v>
      </c>
    </row>
    <row r="241" ht="18" customHeight="1" s="84">
      <c r="A241" s="34" t="inlineStr">
        <is>
          <t>2024-12</t>
        </is>
      </c>
      <c r="B241" s="34" t="inlineStr">
        <is>
          <t xml:space="preserve">  ↳ 2024-12 小計 (4 帳)</t>
        </is>
      </c>
      <c r="C241" s="106" t="n">
        <v>18295618</v>
      </c>
      <c r="D241" s="106" t="n">
        <v>17561</v>
      </c>
      <c r="E241" s="106" t="n">
        <v>1282937</v>
      </c>
      <c r="F241" s="106" t="n">
        <v>17030242</v>
      </c>
    </row>
    <row r="242" ht="16.5" customHeight="1" s="84">
      <c r="A242" s="7" t="inlineStr">
        <is>
          <t>2025-01</t>
        </is>
      </c>
      <c r="B242" s="13" t="inlineStr">
        <is>
          <t>元大-管理費</t>
        </is>
      </c>
      <c r="C242" s="104" t="n">
        <v>8667153</v>
      </c>
      <c r="D242" s="104" t="n">
        <v>701178</v>
      </c>
      <c r="E242" s="104" t="n">
        <v>0</v>
      </c>
      <c r="F242" s="104" t="n">
        <v>9368331</v>
      </c>
    </row>
    <row r="243" ht="16.5" customHeight="1" s="84">
      <c r="A243" s="7" t="inlineStr">
        <is>
          <t>2025-01</t>
        </is>
      </c>
      <c r="B243" s="13" t="inlineStr">
        <is>
          <t>台銀-公共基金(定存)</t>
        </is>
      </c>
      <c r="C243" s="104" t="n">
        <v>6145116</v>
      </c>
      <c r="D243" s="104" t="n">
        <v>5632</v>
      </c>
      <c r="E243" s="104" t="n">
        <v>0</v>
      </c>
      <c r="F243" s="104" t="n">
        <v>6150748</v>
      </c>
    </row>
    <row r="244" ht="16.5" customHeight="1" s="84">
      <c r="A244" s="7" t="inlineStr">
        <is>
          <t>2025-01</t>
        </is>
      </c>
      <c r="B244" s="13" t="inlineStr">
        <is>
          <t>元大-電梯</t>
        </is>
      </c>
      <c r="C244" s="104" t="n">
        <v>2213973</v>
      </c>
      <c r="D244" s="104" t="n">
        <v>100000</v>
      </c>
      <c r="E244" s="104" t="n">
        <v>0</v>
      </c>
      <c r="F244" s="104" t="n">
        <v>2313973</v>
      </c>
    </row>
    <row r="245" ht="16.5" customHeight="1" s="84">
      <c r="A245" s="7" t="inlineStr">
        <is>
          <t>2025-01</t>
        </is>
      </c>
      <c r="B245" s="13" t="inlineStr">
        <is>
          <t>應收-AED押金</t>
        </is>
      </c>
      <c r="C245" s="104" t="n">
        <v>4000</v>
      </c>
      <c r="D245" s="104" t="n">
        <v>0</v>
      </c>
      <c r="E245" s="104" t="n">
        <v>0</v>
      </c>
      <c r="F245" s="104" t="n">
        <v>4000</v>
      </c>
    </row>
    <row r="246" ht="18" customHeight="1" s="84">
      <c r="A246" s="34" t="inlineStr">
        <is>
          <t>2025-01</t>
        </is>
      </c>
      <c r="B246" s="34" t="inlineStr">
        <is>
          <t xml:space="preserve">  ↳ 2025-01 小計 (4 帳)</t>
        </is>
      </c>
      <c r="C246" s="106" t="n">
        <v>17030242</v>
      </c>
      <c r="D246" s="106" t="n">
        <v>806810</v>
      </c>
      <c r="E246" s="106" t="n">
        <v>0</v>
      </c>
      <c r="F246" s="106" t="n">
        <v>17837052</v>
      </c>
    </row>
    <row r="247" ht="16.5" customHeight="1" s="84">
      <c r="A247" s="7" t="inlineStr">
        <is>
          <t>2025-02</t>
        </is>
      </c>
      <c r="B247" s="13" t="inlineStr">
        <is>
          <t>元大-管理費</t>
        </is>
      </c>
      <c r="C247" s="104" t="n">
        <v>9368331</v>
      </c>
      <c r="D247" s="104" t="n">
        <v>1538437</v>
      </c>
      <c r="E247" s="104" t="n">
        <v>0</v>
      </c>
      <c r="F247" s="104" t="n">
        <v>10906768</v>
      </c>
    </row>
    <row r="248" ht="16.5" customHeight="1" s="84">
      <c r="A248" s="7" t="inlineStr">
        <is>
          <t>2025-02</t>
        </is>
      </c>
      <c r="B248" s="13" t="inlineStr">
        <is>
          <t>台銀-公共基金(定存)</t>
        </is>
      </c>
      <c r="C248" s="104" t="n">
        <v>6150748</v>
      </c>
      <c r="D248" s="104" t="n">
        <v>5632</v>
      </c>
      <c r="E248" s="104" t="n">
        <v>0</v>
      </c>
      <c r="F248" s="104" t="n">
        <v>6156380</v>
      </c>
    </row>
    <row r="249" ht="16.5" customHeight="1" s="84">
      <c r="A249" s="7" t="inlineStr">
        <is>
          <t>2025-02</t>
        </is>
      </c>
      <c r="B249" s="13" t="inlineStr">
        <is>
          <t>元大-電梯</t>
        </is>
      </c>
      <c r="C249" s="104" t="n">
        <v>2313973</v>
      </c>
      <c r="D249" s="104" t="n">
        <v>2370</v>
      </c>
      <c r="E249" s="104" t="n">
        <v>0</v>
      </c>
      <c r="F249" s="104" t="n">
        <v>2316343</v>
      </c>
    </row>
    <row r="250" ht="16.5" customHeight="1" s="84">
      <c r="A250" s="7" t="inlineStr">
        <is>
          <t>2025-02</t>
        </is>
      </c>
      <c r="B250" s="13" t="inlineStr">
        <is>
          <t>應收-AED押金</t>
        </is>
      </c>
      <c r="C250" s="104" t="n">
        <v>4000</v>
      </c>
      <c r="D250" s="104" t="n">
        <v>0</v>
      </c>
      <c r="E250" s="104" t="n">
        <v>0</v>
      </c>
      <c r="F250" s="104" t="n">
        <v>4000</v>
      </c>
    </row>
    <row r="251" ht="18" customHeight="1" s="84">
      <c r="A251" s="34" t="inlineStr">
        <is>
          <t>2025-02</t>
        </is>
      </c>
      <c r="B251" s="34" t="inlineStr">
        <is>
          <t xml:space="preserve">  ↳ 2025-02 小計 (4 帳)</t>
        </is>
      </c>
      <c r="C251" s="106" t="n">
        <v>17837052</v>
      </c>
      <c r="D251" s="106" t="n">
        <v>1546439</v>
      </c>
      <c r="E251" s="106" t="n">
        <v>0</v>
      </c>
      <c r="F251" s="106" t="n">
        <v>19383491</v>
      </c>
    </row>
    <row r="252" ht="16.5" customHeight="1" s="84">
      <c r="A252" s="7" t="inlineStr">
        <is>
          <t>2025-03</t>
        </is>
      </c>
      <c r="B252" s="13" t="inlineStr">
        <is>
          <t>元大-管理費</t>
        </is>
      </c>
      <c r="C252" s="104" t="n">
        <v>10906768</v>
      </c>
      <c r="D252" s="104" t="n">
        <v>0</v>
      </c>
      <c r="E252" s="104" t="n">
        <v>1176707</v>
      </c>
      <c r="F252" s="104" t="n">
        <v>9730061</v>
      </c>
    </row>
    <row r="253" ht="16.5" customHeight="1" s="84">
      <c r="A253" s="7" t="inlineStr">
        <is>
          <t>2025-03</t>
        </is>
      </c>
      <c r="B253" s="13" t="inlineStr">
        <is>
          <t>台銀-公共基金(定存)</t>
        </is>
      </c>
      <c r="C253" s="104" t="n">
        <v>6156380</v>
      </c>
      <c r="D253" s="104" t="n">
        <v>5632</v>
      </c>
      <c r="E253" s="104" t="n">
        <v>0</v>
      </c>
      <c r="F253" s="104" t="n">
        <v>6162012</v>
      </c>
    </row>
    <row r="254" ht="16.5" customHeight="1" s="84">
      <c r="A254" s="7" t="inlineStr">
        <is>
          <t>2025-03</t>
        </is>
      </c>
      <c r="B254" s="13" t="inlineStr">
        <is>
          <t>元大-電梯</t>
        </is>
      </c>
      <c r="C254" s="104" t="n">
        <v>2316343</v>
      </c>
      <c r="D254" s="104" t="n">
        <v>52313</v>
      </c>
      <c r="E254" s="104" t="n">
        <v>0</v>
      </c>
      <c r="F254" s="104" t="n">
        <v>2368656</v>
      </c>
    </row>
    <row r="255" ht="16.5" customHeight="1" s="84">
      <c r="A255" s="7" t="inlineStr">
        <is>
          <t>2025-03</t>
        </is>
      </c>
      <c r="B255" s="13" t="inlineStr">
        <is>
          <t>應收-AED押金</t>
        </is>
      </c>
      <c r="C255" s="104" t="n">
        <v>4000</v>
      </c>
      <c r="D255" s="104" t="n">
        <v>0</v>
      </c>
      <c r="E255" s="104" t="n">
        <v>0</v>
      </c>
      <c r="F255" s="104" t="n">
        <v>4000</v>
      </c>
    </row>
    <row r="256" ht="18" customHeight="1" s="84">
      <c r="A256" s="34" t="inlineStr">
        <is>
          <t>2025-03</t>
        </is>
      </c>
      <c r="B256" s="34" t="inlineStr">
        <is>
          <t xml:space="preserve">  ↳ 2025-03 小計 (4 帳)</t>
        </is>
      </c>
      <c r="C256" s="106" t="n">
        <v>19383491</v>
      </c>
      <c r="D256" s="106" t="n">
        <v>57945</v>
      </c>
      <c r="E256" s="106" t="n">
        <v>1176707</v>
      </c>
      <c r="F256" s="106" t="n">
        <v>18264729</v>
      </c>
    </row>
    <row r="257" ht="16.5" customHeight="1" s="84">
      <c r="A257" s="7" t="inlineStr">
        <is>
          <t>2025-04</t>
        </is>
      </c>
      <c r="B257" s="13" t="inlineStr">
        <is>
          <t>元大-管理費</t>
        </is>
      </c>
      <c r="C257" s="104" t="n">
        <v>9730061</v>
      </c>
      <c r="D257" s="104" t="n">
        <v>635023</v>
      </c>
      <c r="E257" s="104" t="n">
        <v>0</v>
      </c>
      <c r="F257" s="104" t="n">
        <v>10365084</v>
      </c>
    </row>
    <row r="258" ht="16.5" customHeight="1" s="84">
      <c r="A258" s="7" t="inlineStr">
        <is>
          <t>2025-04</t>
        </is>
      </c>
      <c r="B258" s="13" t="inlineStr">
        <is>
          <t>台銀-公共基金(定存)</t>
        </is>
      </c>
      <c r="C258" s="104" t="n">
        <v>6162012</v>
      </c>
      <c r="D258" s="104" t="n">
        <v>5632</v>
      </c>
      <c r="E258" s="104" t="n">
        <v>0</v>
      </c>
      <c r="F258" s="104" t="n">
        <v>6167644</v>
      </c>
    </row>
    <row r="259" ht="16.5" customHeight="1" s="84">
      <c r="A259" s="7" t="inlineStr">
        <is>
          <t>2025-04</t>
        </is>
      </c>
      <c r="B259" s="13" t="inlineStr">
        <is>
          <t>元大-電梯</t>
        </is>
      </c>
      <c r="C259" s="104" t="n">
        <v>2368656</v>
      </c>
      <c r="D259" s="104" t="n">
        <v>52561</v>
      </c>
      <c r="E259" s="104" t="n">
        <v>0</v>
      </c>
      <c r="F259" s="104" t="n">
        <v>2421217</v>
      </c>
    </row>
    <row r="260" ht="16.5" customHeight="1" s="84">
      <c r="A260" s="7" t="inlineStr">
        <is>
          <t>2025-04</t>
        </is>
      </c>
      <c r="B260" s="13" t="inlineStr">
        <is>
          <t>應收-AED押金</t>
        </is>
      </c>
      <c r="C260" s="104" t="n">
        <v>4000</v>
      </c>
      <c r="D260" s="104" t="n">
        <v>0</v>
      </c>
      <c r="E260" s="104" t="n">
        <v>0</v>
      </c>
      <c r="F260" s="104" t="n">
        <v>4000</v>
      </c>
    </row>
    <row r="261" ht="18" customHeight="1" s="84">
      <c r="A261" s="34" t="inlineStr">
        <is>
          <t>2025-04</t>
        </is>
      </c>
      <c r="B261" s="34" t="inlineStr">
        <is>
          <t xml:space="preserve">  ↳ 2025-04 小計 (4 帳)</t>
        </is>
      </c>
      <c r="C261" s="106" t="n">
        <v>18264729</v>
      </c>
      <c r="D261" s="106" t="n">
        <v>693216</v>
      </c>
      <c r="E261" s="106" t="n">
        <v>0</v>
      </c>
      <c r="F261" s="106" t="n">
        <v>18957945</v>
      </c>
    </row>
    <row r="262" ht="16.5" customHeight="1" s="84">
      <c r="A262" s="7" t="inlineStr">
        <is>
          <t>2025-05</t>
        </is>
      </c>
      <c r="B262" s="13" t="inlineStr">
        <is>
          <t>元大-管理費</t>
        </is>
      </c>
      <c r="C262" s="104" t="n">
        <v>10365084</v>
      </c>
      <c r="D262" s="104" t="n">
        <v>0</v>
      </c>
      <c r="E262" s="104" t="n">
        <v>369972</v>
      </c>
      <c r="F262" s="104" t="n">
        <v>9995112</v>
      </c>
    </row>
    <row r="263" ht="16.5" customHeight="1" s="84">
      <c r="A263" s="7" t="inlineStr">
        <is>
          <t>2025-05</t>
        </is>
      </c>
      <c r="B263" s="13" t="inlineStr">
        <is>
          <t>台銀-公共基金(定存)</t>
        </is>
      </c>
      <c r="C263" s="104" t="n">
        <v>6167644</v>
      </c>
      <c r="D263" s="104" t="n">
        <v>5632</v>
      </c>
      <c r="E263" s="104" t="n">
        <v>0</v>
      </c>
      <c r="F263" s="104" t="n">
        <v>6173276</v>
      </c>
    </row>
    <row r="264" ht="16.5" customHeight="1" s="84">
      <c r="A264" s="7" t="inlineStr">
        <is>
          <t>2025-05</t>
        </is>
      </c>
      <c r="B264" s="13" t="inlineStr">
        <is>
          <t>元大-電梯</t>
        </is>
      </c>
      <c r="C264" s="104" t="n">
        <v>2421217</v>
      </c>
      <c r="D264" s="104" t="n">
        <v>0</v>
      </c>
      <c r="E264" s="104" t="n">
        <v>1510669</v>
      </c>
      <c r="F264" s="104" t="n">
        <v>910548</v>
      </c>
    </row>
    <row r="265" ht="16.5" customHeight="1" s="84">
      <c r="A265" s="7" t="inlineStr">
        <is>
          <t>2025-05</t>
        </is>
      </c>
      <c r="B265" s="13" t="inlineStr">
        <is>
          <t>應收-AED押金</t>
        </is>
      </c>
      <c r="C265" s="104" t="n">
        <v>4000</v>
      </c>
      <c r="D265" s="104" t="n">
        <v>0</v>
      </c>
      <c r="E265" s="104" t="n">
        <v>0</v>
      </c>
      <c r="F265" s="104" t="n">
        <v>4000</v>
      </c>
    </row>
    <row r="266" ht="18" customHeight="1" s="84">
      <c r="A266" s="34" t="inlineStr">
        <is>
          <t>2025-05</t>
        </is>
      </c>
      <c r="B266" s="34" t="inlineStr">
        <is>
          <t xml:space="preserve">  ↳ 2025-05 小計 (4 帳)</t>
        </is>
      </c>
      <c r="C266" s="106" t="n">
        <v>18957945</v>
      </c>
      <c r="D266" s="106" t="n">
        <v>5632</v>
      </c>
      <c r="E266" s="106" t="n">
        <v>1880641</v>
      </c>
      <c r="F266" s="106" t="n">
        <v>17082936</v>
      </c>
    </row>
    <row r="267" ht="16.5" customHeight="1" s="84">
      <c r="A267" s="7" t="inlineStr">
        <is>
          <t>2025-06</t>
        </is>
      </c>
      <c r="B267" s="13" t="inlineStr">
        <is>
          <t>元大-管理費</t>
        </is>
      </c>
      <c r="C267" s="104" t="n">
        <v>9995112</v>
      </c>
      <c r="D267" s="104" t="n">
        <v>0</v>
      </c>
      <c r="E267" s="104" t="n">
        <v>1267531</v>
      </c>
      <c r="F267" s="104" t="n">
        <v>8727581</v>
      </c>
    </row>
    <row r="268" ht="16.5" customHeight="1" s="84">
      <c r="A268" s="7" t="inlineStr">
        <is>
          <t>2025-06</t>
        </is>
      </c>
      <c r="B268" s="13" t="inlineStr">
        <is>
          <t>台銀-公共基金(定存)</t>
        </is>
      </c>
      <c r="C268" s="104" t="n">
        <v>6173276</v>
      </c>
      <c r="D268" s="104" t="n">
        <v>13229</v>
      </c>
      <c r="E268" s="104" t="n">
        <v>0</v>
      </c>
      <c r="F268" s="104" t="n">
        <v>6186505</v>
      </c>
    </row>
    <row r="269" ht="16.5" customHeight="1" s="84">
      <c r="A269" s="7" t="inlineStr">
        <is>
          <t>2025-06</t>
        </is>
      </c>
      <c r="B269" s="13" t="inlineStr">
        <is>
          <t>元大-電梯</t>
        </is>
      </c>
      <c r="C269" s="104" t="n">
        <v>910548</v>
      </c>
      <c r="D269" s="104" t="n">
        <v>2049</v>
      </c>
      <c r="E269" s="104" t="n">
        <v>0</v>
      </c>
      <c r="F269" s="104" t="n">
        <v>912597</v>
      </c>
    </row>
    <row r="270" ht="16.5" customHeight="1" s="84">
      <c r="A270" s="7" t="inlineStr">
        <is>
          <t>2025-06</t>
        </is>
      </c>
      <c r="B270" s="13" t="inlineStr">
        <is>
          <t>應收-AED押金</t>
        </is>
      </c>
      <c r="C270" s="104" t="n">
        <v>4000</v>
      </c>
      <c r="D270" s="104" t="n">
        <v>0</v>
      </c>
      <c r="E270" s="104" t="n">
        <v>0</v>
      </c>
      <c r="F270" s="104" t="n">
        <v>4000</v>
      </c>
    </row>
    <row r="271" ht="18" customHeight="1" s="84">
      <c r="A271" s="34" t="inlineStr">
        <is>
          <t>2025-06</t>
        </is>
      </c>
      <c r="B271" s="34" t="inlineStr">
        <is>
          <t xml:space="preserve">  ↳ 2025-06 小計 (4 帳)</t>
        </is>
      </c>
      <c r="C271" s="106" t="n">
        <v>17082936</v>
      </c>
      <c r="D271" s="106" t="n">
        <v>15278</v>
      </c>
      <c r="E271" s="106" t="n">
        <v>1267531</v>
      </c>
      <c r="F271" s="106" t="n">
        <v>15830683</v>
      </c>
    </row>
    <row r="272" ht="16.5" customHeight="1" s="84">
      <c r="A272" s="7" t="inlineStr">
        <is>
          <t>2025-07</t>
        </is>
      </c>
      <c r="B272" s="13" t="inlineStr">
        <is>
          <t>元大-管理費</t>
        </is>
      </c>
      <c r="C272" s="104" t="n">
        <v>8727581</v>
      </c>
      <c r="D272" s="104" t="n">
        <v>0</v>
      </c>
      <c r="E272" s="104" t="n">
        <v>1568062</v>
      </c>
      <c r="F272" s="104" t="n">
        <v>7159519</v>
      </c>
    </row>
    <row r="273" ht="16.5" customHeight="1" s="84">
      <c r="A273" s="7" t="inlineStr">
        <is>
          <t>2025-07</t>
        </is>
      </c>
      <c r="B273" s="13" t="inlineStr">
        <is>
          <t>台銀-公共基金(定存)</t>
        </is>
      </c>
      <c r="C273" s="104" t="n">
        <v>6186505</v>
      </c>
      <c r="D273" s="104" t="n">
        <v>0</v>
      </c>
      <c r="E273" s="104" t="n">
        <v>2186505</v>
      </c>
      <c r="F273" s="104" t="n">
        <v>4000000</v>
      </c>
    </row>
    <row r="274" ht="16.5" customHeight="1" s="84">
      <c r="A274" s="7" t="inlineStr">
        <is>
          <t>2025-07</t>
        </is>
      </c>
      <c r="B274" s="13" t="inlineStr">
        <is>
          <t>元大-電梯</t>
        </is>
      </c>
      <c r="C274" s="104" t="n">
        <v>912597</v>
      </c>
      <c r="D274" s="104" t="n">
        <v>0</v>
      </c>
      <c r="E274" s="104" t="n">
        <v>0</v>
      </c>
      <c r="F274" s="104" t="n">
        <v>912597</v>
      </c>
    </row>
    <row r="275" ht="16.5" customHeight="1" s="84">
      <c r="A275" s="7" t="inlineStr">
        <is>
          <t>2025-07</t>
        </is>
      </c>
      <c r="B275" s="13" t="inlineStr">
        <is>
          <t>應收-AED押金</t>
        </is>
      </c>
      <c r="C275" s="104" t="n">
        <v>4000</v>
      </c>
      <c r="D275" s="104" t="n">
        <v>6000</v>
      </c>
      <c r="E275" s="104" t="n">
        <v>0</v>
      </c>
      <c r="F275" s="104" t="n">
        <v>10000</v>
      </c>
    </row>
    <row r="276" ht="18" customHeight="1" s="84">
      <c r="A276" s="34" t="inlineStr">
        <is>
          <t>2025-07</t>
        </is>
      </c>
      <c r="B276" s="34" t="inlineStr">
        <is>
          <t xml:space="preserve">  ↳ 2025-07 小計 (4 帳)</t>
        </is>
      </c>
      <c r="C276" s="106" t="n">
        <v>15830683</v>
      </c>
      <c r="D276" s="106" t="n">
        <v>6000</v>
      </c>
      <c r="E276" s="106" t="n">
        <v>3754567</v>
      </c>
      <c r="F276" s="106" t="n">
        <v>12082116</v>
      </c>
    </row>
    <row r="277" ht="16.5" customHeight="1" s="84">
      <c r="A277" s="7" t="inlineStr">
        <is>
          <t>2025-08</t>
        </is>
      </c>
      <c r="B277" s="13" t="inlineStr">
        <is>
          <t>元大-管理費</t>
        </is>
      </c>
      <c r="C277" s="104" t="n">
        <v>7159519</v>
      </c>
      <c r="D277" s="104" t="n">
        <v>1684959</v>
      </c>
      <c r="E277" s="104" t="n">
        <v>3417801</v>
      </c>
      <c r="F277" s="104" t="n">
        <v>5426677</v>
      </c>
    </row>
    <row r="278" ht="16.5" customHeight="1" s="84">
      <c r="A278" s="7" t="inlineStr">
        <is>
          <t>2025-08</t>
        </is>
      </c>
      <c r="B278" s="13" t="inlineStr">
        <is>
          <t>台銀-公共基金(定存)</t>
        </is>
      </c>
      <c r="C278" s="104" t="n">
        <v>4000000</v>
      </c>
      <c r="D278" s="104" t="n">
        <v>0</v>
      </c>
      <c r="E278" s="104" t="n">
        <v>0</v>
      </c>
      <c r="F278" s="104" t="n">
        <v>4000000</v>
      </c>
    </row>
    <row r="279" ht="16.5" customHeight="1" s="84">
      <c r="A279" s="7" t="inlineStr">
        <is>
          <t>2025-08</t>
        </is>
      </c>
      <c r="B279" s="13" t="inlineStr">
        <is>
          <t>台銀-活存</t>
        </is>
      </c>
      <c r="C279" s="104" t="n">
        <v>2192137</v>
      </c>
      <c r="D279" s="104" t="n">
        <v>5632</v>
      </c>
      <c r="E279" s="104" t="n">
        <v>0</v>
      </c>
      <c r="F279" s="104" t="n">
        <v>2197769</v>
      </c>
    </row>
    <row r="280" ht="16.5" customHeight="1" s="84">
      <c r="A280" s="7" t="inlineStr">
        <is>
          <t>2025-08</t>
        </is>
      </c>
      <c r="B280" s="13" t="inlineStr">
        <is>
          <t>應收-AED押金</t>
        </is>
      </c>
      <c r="C280" s="104" t="n">
        <v>10000</v>
      </c>
      <c r="D280" s="104" t="n">
        <v>0</v>
      </c>
      <c r="E280" s="104" t="n">
        <v>0</v>
      </c>
      <c r="F280" s="104" t="n">
        <v>10000</v>
      </c>
    </row>
    <row r="281" ht="18" customHeight="1" s="84">
      <c r="A281" s="34" t="inlineStr">
        <is>
          <t>2025-08</t>
        </is>
      </c>
      <c r="B281" s="34" t="inlineStr">
        <is>
          <t xml:space="preserve">  ↳ 2025-08 小計 (4 帳)</t>
        </is>
      </c>
      <c r="C281" s="106" t="n">
        <v>13361656</v>
      </c>
      <c r="D281" s="106" t="n">
        <v>1690591</v>
      </c>
      <c r="E281" s="106" t="n">
        <v>3417801</v>
      </c>
      <c r="F281" s="106" t="n">
        <v>11634446</v>
      </c>
    </row>
    <row r="282" ht="16.5" customHeight="1" s="84">
      <c r="A282" s="7" t="inlineStr">
        <is>
          <t>2025-09</t>
        </is>
      </c>
      <c r="B282" s="13" t="inlineStr">
        <is>
          <t>元大-管理費</t>
        </is>
      </c>
      <c r="C282" s="104" t="n">
        <v>5426677</v>
      </c>
      <c r="D282" s="104" t="n">
        <v>327222</v>
      </c>
      <c r="E282" s="104" t="n">
        <v>2691279</v>
      </c>
      <c r="F282" s="104" t="n">
        <v>3062620</v>
      </c>
    </row>
    <row r="283" ht="16.5" customHeight="1" s="84">
      <c r="A283" s="7" t="inlineStr">
        <is>
          <t>2025-09</t>
        </is>
      </c>
      <c r="B283" s="13" t="inlineStr">
        <is>
          <t>台銀-公共基金(定存)</t>
        </is>
      </c>
      <c r="C283" s="104" t="n">
        <v>4000000</v>
      </c>
      <c r="D283" s="104" t="n">
        <v>0</v>
      </c>
      <c r="E283" s="104" t="n">
        <v>0</v>
      </c>
      <c r="F283" s="104" t="n">
        <v>4000000</v>
      </c>
    </row>
    <row r="284" ht="16.5" customHeight="1" s="84">
      <c r="A284" s="7" t="inlineStr">
        <is>
          <t>2025-09</t>
        </is>
      </c>
      <c r="B284" s="13" t="inlineStr">
        <is>
          <t>台銀-活存</t>
        </is>
      </c>
      <c r="C284" s="104" t="n">
        <v>2197769</v>
      </c>
      <c r="D284" s="104" t="n">
        <v>5632</v>
      </c>
      <c r="E284" s="104" t="n">
        <v>0</v>
      </c>
      <c r="F284" s="104" t="n">
        <v>2203401</v>
      </c>
    </row>
    <row r="285" ht="16.5" customHeight="1" s="84">
      <c r="A285" s="7" t="inlineStr">
        <is>
          <t>2025-09</t>
        </is>
      </c>
      <c r="B285" s="13" t="inlineStr">
        <is>
          <t>應收-AED押金</t>
        </is>
      </c>
      <c r="C285" s="104" t="n">
        <v>10000</v>
      </c>
      <c r="D285" s="104" t="n">
        <v>0</v>
      </c>
      <c r="E285" s="104" t="n">
        <v>0</v>
      </c>
      <c r="F285" s="104" t="n">
        <v>10000</v>
      </c>
    </row>
    <row r="286" ht="18" customHeight="1" s="84">
      <c r="A286" s="34" t="inlineStr">
        <is>
          <t>2025-09</t>
        </is>
      </c>
      <c r="B286" s="34" t="inlineStr">
        <is>
          <t xml:space="preserve">  ↳ 2025-09 小計 (4 帳)</t>
        </is>
      </c>
      <c r="C286" s="106" t="n">
        <v>11634446</v>
      </c>
      <c r="D286" s="106" t="n">
        <v>332854</v>
      </c>
      <c r="E286" s="106" t="n">
        <v>2691279</v>
      </c>
      <c r="F286" s="106" t="n">
        <v>9276021</v>
      </c>
    </row>
    <row r="287" ht="16.5" customHeight="1" s="84">
      <c r="A287" s="7" t="inlineStr">
        <is>
          <t>2025-10</t>
        </is>
      </c>
      <c r="B287" s="13" t="inlineStr">
        <is>
          <t>元大-管理費</t>
        </is>
      </c>
      <c r="C287" s="104" t="n">
        <v>3062620</v>
      </c>
      <c r="D287" s="104" t="n">
        <v>2474812</v>
      </c>
      <c r="E287" s="104" t="n">
        <v>2482386</v>
      </c>
      <c r="F287" s="104" t="n">
        <v>3055046</v>
      </c>
    </row>
    <row r="288" ht="16.5" customHeight="1" s="84">
      <c r="A288" s="7" t="inlineStr">
        <is>
          <t>2025-10</t>
        </is>
      </c>
      <c r="B288" s="13" t="inlineStr">
        <is>
          <t>台銀-公共基金(定存)</t>
        </is>
      </c>
      <c r="C288" s="104" t="n">
        <v>4000000</v>
      </c>
      <c r="D288" s="104" t="n">
        <v>0</v>
      </c>
      <c r="E288" s="104" t="n">
        <v>0</v>
      </c>
      <c r="F288" s="104" t="n">
        <v>4000000</v>
      </c>
    </row>
    <row r="289" ht="16.5" customHeight="1" s="84">
      <c r="A289" s="7" t="inlineStr">
        <is>
          <t>2025-10</t>
        </is>
      </c>
      <c r="B289" s="13" t="inlineStr">
        <is>
          <t>台銀-活存</t>
        </is>
      </c>
      <c r="C289" s="104" t="n">
        <v>2203401</v>
      </c>
      <c r="D289" s="104" t="n">
        <v>5632</v>
      </c>
      <c r="E289" s="104" t="n">
        <v>0</v>
      </c>
      <c r="F289" s="104" t="n">
        <v>2209033</v>
      </c>
    </row>
    <row r="290" ht="16.5" customHeight="1" s="84">
      <c r="A290" s="7" t="inlineStr">
        <is>
          <t>2025-10</t>
        </is>
      </c>
      <c r="B290" s="13" t="inlineStr">
        <is>
          <t>應收-AED押金</t>
        </is>
      </c>
      <c r="C290" s="104" t="n">
        <v>10000</v>
      </c>
      <c r="D290" s="104" t="n">
        <v>0</v>
      </c>
      <c r="E290" s="104" t="n">
        <v>0</v>
      </c>
      <c r="F290" s="104" t="n">
        <v>10000</v>
      </c>
    </row>
    <row r="291" ht="18" customHeight="1" s="84">
      <c r="A291" s="34" t="inlineStr">
        <is>
          <t>2025-10</t>
        </is>
      </c>
      <c r="B291" s="34" t="inlineStr">
        <is>
          <t xml:space="preserve">  ↳ 2025-10 小計 (4 帳)</t>
        </is>
      </c>
      <c r="C291" s="106" t="n">
        <v>9276021</v>
      </c>
      <c r="D291" s="106" t="n">
        <v>2480444</v>
      </c>
      <c r="E291" s="106" t="n">
        <v>2482386</v>
      </c>
      <c r="F291" s="106" t="n">
        <v>9274079</v>
      </c>
    </row>
    <row r="292" ht="16.5" customHeight="1" s="84">
      <c r="A292" s="7" t="inlineStr">
        <is>
          <t>2025-11</t>
        </is>
      </c>
      <c r="B292" s="13" t="inlineStr">
        <is>
          <t>元大-管理費</t>
        </is>
      </c>
      <c r="C292" s="104" t="n">
        <v>3055046</v>
      </c>
      <c r="D292" s="104" t="n">
        <v>1693626</v>
      </c>
      <c r="E292" s="104" t="n">
        <v>2257073</v>
      </c>
      <c r="F292" s="104" t="n">
        <v>2491599</v>
      </c>
    </row>
    <row r="293" ht="16.5" customHeight="1" s="84">
      <c r="A293" s="7" t="inlineStr">
        <is>
          <t>2025-11</t>
        </is>
      </c>
      <c r="B293" s="13" t="inlineStr">
        <is>
          <t>台銀-公共基金(定存)</t>
        </is>
      </c>
      <c r="C293" s="104" t="n">
        <v>4000000</v>
      </c>
      <c r="D293" s="104" t="n">
        <v>0</v>
      </c>
      <c r="E293" s="104" t="n">
        <v>0</v>
      </c>
      <c r="F293" s="104" t="n">
        <v>4000000</v>
      </c>
    </row>
    <row r="294" ht="16.5" customHeight="1" s="84">
      <c r="A294" s="7" t="inlineStr">
        <is>
          <t>2025-11</t>
        </is>
      </c>
      <c r="B294" s="13" t="inlineStr">
        <is>
          <t>台銀-活存</t>
        </is>
      </c>
      <c r="C294" s="104" t="n">
        <v>2209033</v>
      </c>
      <c r="D294" s="104" t="n">
        <v>5632</v>
      </c>
      <c r="E294" s="104" t="n">
        <v>0</v>
      </c>
      <c r="F294" s="104" t="n">
        <v>2214665</v>
      </c>
    </row>
    <row r="295" ht="16.5" customHeight="1" s="84">
      <c r="A295" s="7" t="inlineStr">
        <is>
          <t>2025-11</t>
        </is>
      </c>
      <c r="B295" s="13" t="inlineStr">
        <is>
          <t>應收-AED押金</t>
        </is>
      </c>
      <c r="C295" s="104" t="n">
        <v>10000</v>
      </c>
      <c r="D295" s="104" t="n">
        <v>0</v>
      </c>
      <c r="E295" s="104" t="n">
        <v>0</v>
      </c>
      <c r="F295" s="104" t="n">
        <v>10000</v>
      </c>
    </row>
    <row r="296" ht="18" customHeight="1" s="84">
      <c r="A296" s="34" t="inlineStr">
        <is>
          <t>2025-11</t>
        </is>
      </c>
      <c r="B296" s="34" t="inlineStr">
        <is>
          <t xml:space="preserve">  ↳ 2025-11 小計 (4 帳)</t>
        </is>
      </c>
      <c r="C296" s="106" t="n">
        <v>9274079</v>
      </c>
      <c r="D296" s="106" t="n">
        <v>1699258</v>
      </c>
      <c r="E296" s="106" t="n">
        <v>2257073</v>
      </c>
      <c r="F296" s="106" t="n">
        <v>8716264</v>
      </c>
    </row>
    <row r="297" ht="16.5" customHeight="1" s="84">
      <c r="A297" s="7" t="inlineStr">
        <is>
          <t>2025-12</t>
        </is>
      </c>
      <c r="B297" s="13" t="inlineStr">
        <is>
          <t>元大-管理費</t>
        </is>
      </c>
      <c r="C297" s="104" t="n">
        <v>2491599</v>
      </c>
      <c r="D297" s="104" t="n">
        <v>1532084</v>
      </c>
      <c r="E297" s="104" t="n">
        <v>2340979</v>
      </c>
      <c r="F297" s="104" t="n">
        <v>1682704</v>
      </c>
    </row>
    <row r="298" ht="16.5" customHeight="1" s="84">
      <c r="A298" s="7" t="inlineStr">
        <is>
          <t>2025-12</t>
        </is>
      </c>
      <c r="B298" s="13" t="inlineStr">
        <is>
          <t>台銀-公共基金(定存)</t>
        </is>
      </c>
      <c r="C298" s="104" t="n">
        <v>4000000</v>
      </c>
      <c r="D298" s="104" t="n">
        <v>0</v>
      </c>
      <c r="E298" s="104" t="n">
        <v>0</v>
      </c>
      <c r="F298" s="104" t="n">
        <v>4000000</v>
      </c>
    </row>
    <row r="299" ht="16.5" customHeight="1" s="84">
      <c r="A299" s="7" t="inlineStr">
        <is>
          <t>2025-12</t>
        </is>
      </c>
      <c r="B299" s="13" t="inlineStr">
        <is>
          <t>台銀-活存</t>
        </is>
      </c>
      <c r="C299" s="104" t="n">
        <v>2214665</v>
      </c>
      <c r="D299" s="104" t="n">
        <v>13417</v>
      </c>
      <c r="E299" s="104" t="n">
        <v>0</v>
      </c>
      <c r="F299" s="104" t="n">
        <v>2228082</v>
      </c>
    </row>
    <row r="300" ht="16.5" customHeight="1" s="84">
      <c r="A300" s="7" t="inlineStr">
        <is>
          <t>2025-12</t>
        </is>
      </c>
      <c r="B300" s="13" t="inlineStr">
        <is>
          <t>應收-AED押金</t>
        </is>
      </c>
      <c r="C300" s="104" t="n">
        <v>10000</v>
      </c>
      <c r="D300" s="104" t="n">
        <v>0</v>
      </c>
      <c r="E300" s="104" t="n">
        <v>0</v>
      </c>
      <c r="F300" s="104" t="n">
        <v>10000</v>
      </c>
    </row>
    <row r="301" ht="18" customHeight="1" s="84">
      <c r="A301" s="34" t="inlineStr">
        <is>
          <t>2025-12</t>
        </is>
      </c>
      <c r="B301" s="34" t="inlineStr">
        <is>
          <t xml:space="preserve">  ↳ 2025-12 小計 (4 帳)</t>
        </is>
      </c>
      <c r="C301" s="106" t="n">
        <v>8716264</v>
      </c>
      <c r="D301" s="106" t="n">
        <v>1545501</v>
      </c>
      <c r="E301" s="106" t="n">
        <v>2340979</v>
      </c>
      <c r="F301" s="106" t="n">
        <v>7920786</v>
      </c>
    </row>
    <row r="302" ht="16.5" customHeight="1" s="84">
      <c r="A302" s="7" t="inlineStr">
        <is>
          <t>2026-01</t>
        </is>
      </c>
      <c r="B302" s="13" t="inlineStr">
        <is>
          <t>元大-管理費</t>
        </is>
      </c>
      <c r="C302" s="104" t="n">
        <v>1682704</v>
      </c>
      <c r="D302" s="104" t="n">
        <v>2910862</v>
      </c>
      <c r="E302" s="104" t="n">
        <v>1930076</v>
      </c>
      <c r="F302" s="104" t="n">
        <v>2663490</v>
      </c>
    </row>
    <row r="303" ht="16.5" customHeight="1" s="84">
      <c r="A303" s="7" t="inlineStr">
        <is>
          <t>2026-01</t>
        </is>
      </c>
      <c r="B303" s="13" t="inlineStr">
        <is>
          <t>台銀-公共基金(定存)</t>
        </is>
      </c>
      <c r="C303" s="104" t="n">
        <v>4000000</v>
      </c>
      <c r="D303" s="104" t="n">
        <v>0</v>
      </c>
      <c r="E303" s="104" t="n">
        <v>0</v>
      </c>
      <c r="F303" s="104" t="n">
        <v>4000000</v>
      </c>
    </row>
    <row r="304" ht="16.5" customHeight="1" s="84">
      <c r="A304" s="7" t="inlineStr">
        <is>
          <t>2026-01</t>
        </is>
      </c>
      <c r="B304" s="13" t="inlineStr">
        <is>
          <t>台銀-活存</t>
        </is>
      </c>
      <c r="C304" s="104" t="n">
        <v>2228082</v>
      </c>
      <c r="D304" s="104" t="n">
        <v>5632</v>
      </c>
      <c r="E304" s="104" t="n">
        <v>0</v>
      </c>
      <c r="F304" s="104" t="n">
        <v>2233714</v>
      </c>
    </row>
    <row r="305" ht="16.5" customHeight="1" s="84">
      <c r="A305" s="7" t="inlineStr">
        <is>
          <t>2026-01</t>
        </is>
      </c>
      <c r="B305" s="13" t="inlineStr">
        <is>
          <t>應收-AED押金</t>
        </is>
      </c>
      <c r="C305" s="104" t="n">
        <v>10000</v>
      </c>
      <c r="D305" s="104" t="n">
        <v>0</v>
      </c>
      <c r="E305" s="104" t="n">
        <v>0</v>
      </c>
      <c r="F305" s="104" t="n">
        <v>10000</v>
      </c>
    </row>
    <row r="306" ht="18" customHeight="1" s="84">
      <c r="A306" s="34" t="inlineStr">
        <is>
          <t>2026-01</t>
        </is>
      </c>
      <c r="B306" s="34" t="inlineStr">
        <is>
          <t xml:space="preserve">  ↳ 2026-01 小計 (4 帳)</t>
        </is>
      </c>
      <c r="C306" s="106" t="n">
        <v>7920786</v>
      </c>
      <c r="D306" s="106" t="n">
        <v>2916494</v>
      </c>
      <c r="E306" s="106" t="n">
        <v>1930076</v>
      </c>
      <c r="F306" s="106" t="n">
        <v>8907204</v>
      </c>
    </row>
    <row r="307" ht="16.5" customHeight="1" s="84">
      <c r="A307" s="7" t="inlineStr">
        <is>
          <t>2026-02</t>
        </is>
      </c>
      <c r="B307" s="13" t="inlineStr">
        <is>
          <t>元大-管理費</t>
        </is>
      </c>
      <c r="C307" s="104" t="n">
        <v>2663490</v>
      </c>
      <c r="D307" s="104" t="n">
        <v>1292619</v>
      </c>
      <c r="E307" s="104" t="n">
        <v>2159812</v>
      </c>
      <c r="F307" s="104" t="n">
        <v>1796297</v>
      </c>
    </row>
    <row r="308" ht="16.5" customHeight="1" s="84">
      <c r="A308" s="7" t="inlineStr">
        <is>
          <t>2026-02</t>
        </is>
      </c>
      <c r="B308" s="13" t="inlineStr">
        <is>
          <t>台銀-公共基金(定存)</t>
        </is>
      </c>
      <c r="C308" s="104" t="n">
        <v>4000000</v>
      </c>
      <c r="D308" s="104" t="n">
        <v>0</v>
      </c>
      <c r="E308" s="104" t="n">
        <v>0</v>
      </c>
      <c r="F308" s="104" t="n">
        <v>4000000</v>
      </c>
    </row>
    <row r="309" ht="16.5" customHeight="1" s="84">
      <c r="A309" s="7" t="inlineStr">
        <is>
          <t>2026-02</t>
        </is>
      </c>
      <c r="B309" s="13" t="inlineStr">
        <is>
          <t>台銀-活存</t>
        </is>
      </c>
      <c r="C309" s="104" t="n">
        <v>2233714</v>
      </c>
      <c r="D309" s="104" t="n">
        <v>5632</v>
      </c>
      <c r="E309" s="104" t="n">
        <v>0</v>
      </c>
      <c r="F309" s="104" t="n">
        <v>2239346</v>
      </c>
    </row>
    <row r="310" ht="16.5" customHeight="1" s="84">
      <c r="A310" s="7" t="inlineStr">
        <is>
          <t>2026-02</t>
        </is>
      </c>
      <c r="B310" s="13" t="inlineStr">
        <is>
          <t>應收-AED押金</t>
        </is>
      </c>
      <c r="C310" s="104" t="n">
        <v>10000</v>
      </c>
      <c r="D310" s="104" t="n">
        <v>0</v>
      </c>
      <c r="E310" s="104" t="n">
        <v>0</v>
      </c>
      <c r="F310" s="104" t="n">
        <v>10000</v>
      </c>
    </row>
    <row r="311" ht="18" customHeight="1" s="84">
      <c r="A311" s="34" t="inlineStr">
        <is>
          <t>2026-02</t>
        </is>
      </c>
      <c r="B311" s="34" t="inlineStr">
        <is>
          <t xml:space="preserve">  ↳ 2026-02 小計 (4 帳)</t>
        </is>
      </c>
      <c r="C311" s="106" t="n">
        <v>8907204</v>
      </c>
      <c r="D311" s="106" t="n">
        <v>1298251</v>
      </c>
      <c r="E311" s="106" t="n">
        <v>2159812</v>
      </c>
      <c r="F311" s="106" t="n">
        <v>8045643</v>
      </c>
    </row>
    <row r="312" ht="16.5" customHeight="1" s="84">
      <c r="A312" s="7" t="inlineStr">
        <is>
          <t>2026-03</t>
        </is>
      </c>
      <c r="B312" s="13" t="inlineStr">
        <is>
          <t>元大-管理費</t>
        </is>
      </c>
      <c r="C312" s="104" t="n">
        <v>1796297</v>
      </c>
      <c r="D312" s="104" t="n">
        <v>1347629</v>
      </c>
      <c r="E312" s="104" t="n">
        <v>1676031</v>
      </c>
      <c r="F312" s="104" t="n">
        <v>1467895</v>
      </c>
    </row>
    <row r="313" ht="16.5" customHeight="1" s="84">
      <c r="A313" s="7" t="inlineStr">
        <is>
          <t>2026-03</t>
        </is>
      </c>
      <c r="B313" s="13" t="inlineStr">
        <is>
          <t>台銀-公共基金(定存)</t>
        </is>
      </c>
      <c r="C313" s="104" t="n">
        <v>4000000</v>
      </c>
      <c r="D313" s="104" t="n">
        <v>0</v>
      </c>
      <c r="E313" s="104" t="n">
        <v>0</v>
      </c>
      <c r="F313" s="104" t="n">
        <v>4000000</v>
      </c>
    </row>
    <row r="314" ht="16.5" customHeight="1" s="84">
      <c r="A314" s="7" t="inlineStr">
        <is>
          <t>2026-03</t>
        </is>
      </c>
      <c r="B314" s="13" t="inlineStr">
        <is>
          <t>台銀-活存</t>
        </is>
      </c>
      <c r="C314" s="104" t="n">
        <v>2239346</v>
      </c>
      <c r="D314" s="104" t="n">
        <v>5632</v>
      </c>
      <c r="E314" s="104" t="n">
        <v>0</v>
      </c>
      <c r="F314" s="104" t="n">
        <v>2244978</v>
      </c>
    </row>
    <row r="315" ht="16.5" customHeight="1" s="84">
      <c r="A315" s="7" t="inlineStr">
        <is>
          <t>2026-03</t>
        </is>
      </c>
      <c r="B315" s="13" t="inlineStr">
        <is>
          <t>應收-AED押金</t>
        </is>
      </c>
      <c r="C315" s="104" t="n">
        <v>10000</v>
      </c>
      <c r="D315" s="104" t="n">
        <v>0</v>
      </c>
      <c r="E315" s="104" t="n">
        <v>0</v>
      </c>
      <c r="F315" s="104" t="n">
        <v>10000</v>
      </c>
    </row>
    <row r="316" ht="16.5" customHeight="1" s="84">
      <c r="A316" s="34" t="inlineStr">
        <is>
          <t>2026-03</t>
        </is>
      </c>
      <c r="B316" s="34" t="inlineStr">
        <is>
          <t xml:space="preserve">  ↳ 2026-03 小計 (4 帳)</t>
        </is>
      </c>
      <c r="C316" s="106" t="n">
        <v>8045643</v>
      </c>
      <c r="D316" s="106" t="n">
        <v>1353261</v>
      </c>
      <c r="E316" s="106" t="n">
        <v>1676031</v>
      </c>
      <c r="F316" s="106" t="n">
        <v>7722873</v>
      </c>
    </row>
    <row r="317" ht="16.5" customHeight="1" s="84">
      <c r="A317" s="7" t="inlineStr">
        <is>
          <t>2026-04</t>
        </is>
      </c>
      <c r="B317" s="13" t="inlineStr">
        <is>
          <t>元大-管理費</t>
        </is>
      </c>
      <c r="C317" s="104" t="n">
        <v>1467895</v>
      </c>
      <c r="D317" s="104" t="n">
        <v>5493902</v>
      </c>
      <c r="E317" s="104" t="n">
        <v>2653526</v>
      </c>
      <c r="F317" s="104" t="n">
        <v>4308271</v>
      </c>
    </row>
    <row r="318" ht="16.5" customHeight="1" s="84">
      <c r="A318" s="7" t="inlineStr">
        <is>
          <t>2026-04</t>
        </is>
      </c>
      <c r="B318" s="13" t="inlineStr">
        <is>
          <t>元大-管理費(裝保金暫收款)</t>
        </is>
      </c>
      <c r="C318" s="104" t="n">
        <v>140000</v>
      </c>
      <c r="D318" s="104" t="n">
        <v>20000</v>
      </c>
      <c r="E318" s="104" t="n">
        <v>80000</v>
      </c>
      <c r="F318" s="104" t="n">
        <v>80000</v>
      </c>
    </row>
    <row r="319" ht="15" customHeight="1" s="84">
      <c r="A319" s="7" t="inlineStr">
        <is>
          <t>2026-04</t>
        </is>
      </c>
      <c r="B319" s="13" t="inlineStr">
        <is>
          <t>台銀-活存</t>
        </is>
      </c>
      <c r="C319" s="104" t="n">
        <v>2244978</v>
      </c>
      <c r="D319" s="104" t="n">
        <v>5632</v>
      </c>
      <c r="E319" s="104" t="n">
        <v>2239386</v>
      </c>
      <c r="F319" s="104" t="n">
        <v>11224</v>
      </c>
    </row>
    <row r="320" ht="18" customHeight="1" s="84">
      <c r="A320" s="7" t="inlineStr">
        <is>
          <t>2026-04</t>
        </is>
      </c>
      <c r="B320" s="13" t="inlineStr">
        <is>
          <t>元大-電梯</t>
        </is>
      </c>
      <c r="C320" s="104" t="n">
        <v>1345251</v>
      </c>
      <c r="D320" s="104" t="n">
        <v>100000</v>
      </c>
      <c r="E320" s="104" t="n">
        <v>0</v>
      </c>
      <c r="F320" s="104" t="n">
        <v>1445251</v>
      </c>
    </row>
    <row r="321">
      <c r="A321" s="7" t="inlineStr">
        <is>
          <t>2026-04</t>
        </is>
      </c>
      <c r="B321" s="13" t="inlineStr">
        <is>
          <t>元大-充電樁</t>
        </is>
      </c>
      <c r="C321" s="104" t="n">
        <v>1816494</v>
      </c>
      <c r="D321" s="104" t="n">
        <v>68831</v>
      </c>
      <c r="E321" s="104" t="n">
        <v>133765</v>
      </c>
      <c r="F321" s="104" t="n">
        <v>1751560</v>
      </c>
    </row>
    <row r="322">
      <c r="A322" s="7" t="inlineStr">
        <is>
          <t>2026-04</t>
        </is>
      </c>
      <c r="B322" s="13" t="inlineStr">
        <is>
          <t>台銀-公共基金(定存)</t>
        </is>
      </c>
      <c r="C322" s="104" t="n">
        <v>4000000</v>
      </c>
      <c r="D322" s="104" t="n">
        <v>0</v>
      </c>
      <c r="E322" s="104" t="n">
        <v>0</v>
      </c>
      <c r="F322" s="104" t="n">
        <v>4000000</v>
      </c>
    </row>
    <row r="323">
      <c r="A323" s="7" t="inlineStr">
        <is>
          <t>2026-04</t>
        </is>
      </c>
      <c r="B323" s="13" t="inlineStr">
        <is>
          <t>應收-AED押金</t>
        </is>
      </c>
      <c r="C323" s="104" t="n">
        <v>10000</v>
      </c>
      <c r="D323" s="104" t="n">
        <v>0</v>
      </c>
      <c r="E323" s="104" t="n">
        <v>0</v>
      </c>
      <c r="F323" s="104" t="n">
        <v>10000</v>
      </c>
    </row>
    <row r="324">
      <c r="A324" s="7" t="inlineStr">
        <is>
          <t>2026-04</t>
        </is>
      </c>
      <c r="B324" s="13" t="inlineStr">
        <is>
          <t>零用金</t>
        </is>
      </c>
      <c r="C324" s="104" t="n">
        <v>829</v>
      </c>
      <c r="D324" s="104" t="n">
        <v>19171</v>
      </c>
      <c r="E324" s="104" t="n">
        <v>2556</v>
      </c>
      <c r="F324" s="104" t="n">
        <v>17444</v>
      </c>
    </row>
    <row r="325">
      <c r="A325" s="34" t="inlineStr">
        <is>
          <t>2026-04</t>
        </is>
      </c>
      <c r="B325" s="34" t="inlineStr">
        <is>
          <t xml:space="preserve">  ↳ 2026-04 小計 (8 帳)</t>
        </is>
      </c>
      <c r="C325" s="106" t="n">
        <v>11025447</v>
      </c>
      <c r="D325" s="106" t="n">
        <v>5707536</v>
      </c>
      <c r="E325" s="106" t="n">
        <v>5109233</v>
      </c>
      <c r="F325" s="106" t="n">
        <v>11623750</v>
      </c>
    </row>
  </sheetData>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248"/>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7.83203125" defaultRowHeight="17"/>
  <cols>
    <col width="11" customWidth="1" style="84" min="1" max="2"/>
    <col width="12.6640625" customWidth="1" style="84" min="3" max="3"/>
    <col width="36.33203125" customWidth="1" style="84" min="4" max="4"/>
    <col width="12.6640625" customWidth="1" style="84" min="5" max="5"/>
  </cols>
  <sheetData>
    <row r="1" ht="18" customHeight="1" s="84">
      <c r="A1" s="6" t="inlineStr">
        <is>
          <t>月份</t>
        </is>
      </c>
      <c r="B1" s="6" t="inlineStr">
        <is>
          <t>專款</t>
        </is>
      </c>
      <c r="C1" s="6" t="inlineStr">
        <is>
          <t>項目類型</t>
        </is>
      </c>
      <c r="D1" s="6" t="inlineStr">
        <is>
          <t>科目 / 摘要</t>
        </is>
      </c>
      <c r="E1" s="6" t="inlineStr">
        <is>
          <t>金額</t>
        </is>
      </c>
    </row>
    <row r="2" ht="15" customHeight="1" s="84">
      <c r="A2" s="7" t="inlineStr">
        <is>
          <t>2022-03</t>
        </is>
      </c>
      <c r="B2" s="13" t="inlineStr">
        <is>
          <t>充電樁</t>
        </is>
      </c>
      <c r="C2" s="13" t="inlineStr">
        <is>
          <t>上期餘額</t>
        </is>
      </c>
      <c r="D2" s="7" t="n"/>
      <c r="E2" s="104" t="n">
        <v>0</v>
      </c>
    </row>
    <row r="3" ht="16.5" customHeight="1" s="84">
      <c r="A3" s="7" t="inlineStr">
        <is>
          <t>2022-03</t>
        </is>
      </c>
      <c r="B3" s="13" t="inlineStr">
        <is>
          <t>充電樁</t>
        </is>
      </c>
      <c r="C3" s="13" t="inlineStr">
        <is>
          <t>收入</t>
        </is>
      </c>
      <c r="D3" s="13" t="inlineStr">
        <is>
          <t>自111年Q2季起 每季應收管理費$3,857,907</t>
        </is>
      </c>
      <c r="E3" s="104" t="n">
        <v>2</v>
      </c>
    </row>
    <row r="4" ht="18" customHeight="1" s="84">
      <c r="A4" s="34" t="inlineStr">
        <is>
          <t>2022-03</t>
        </is>
      </c>
      <c r="B4" s="10" t="inlineStr">
        <is>
          <t>充電樁</t>
        </is>
      </c>
      <c r="C4" s="10" t="inlineStr">
        <is>
          <t>本月小計</t>
        </is>
      </c>
      <c r="D4" s="10" t="inlineStr">
        <is>
          <t>收 2 / 支 0</t>
        </is>
      </c>
      <c r="E4" s="106" t="n">
        <v>2</v>
      </c>
    </row>
    <row r="5" ht="15" customHeight="1" s="84">
      <c r="A5" s="7" t="inlineStr">
        <is>
          <t>2022-03</t>
        </is>
      </c>
      <c r="B5" s="13" t="inlineStr">
        <is>
          <t>電梯</t>
        </is>
      </c>
      <c r="C5" s="13" t="inlineStr">
        <is>
          <t>上期餘額</t>
        </is>
      </c>
      <c r="D5" s="7" t="n"/>
      <c r="E5" s="104" t="n">
        <v>0</v>
      </c>
    </row>
    <row r="6" ht="16.5" customHeight="1" s="84">
      <c r="A6" s="7" t="inlineStr">
        <is>
          <t>2022-03</t>
        </is>
      </c>
      <c r="B6" s="13" t="inlineStr">
        <is>
          <t>電梯</t>
        </is>
      </c>
      <c r="C6" s="13" t="inlineStr">
        <is>
          <t>收入</t>
        </is>
      </c>
      <c r="D6" s="13" t="inlineStr">
        <is>
          <t>自111年Q2季起 每季應收管理費$3,857,907</t>
        </is>
      </c>
      <c r="E6" s="104" t="n">
        <v>2</v>
      </c>
    </row>
    <row r="7" ht="18" customHeight="1" s="84">
      <c r="A7" s="34" t="inlineStr">
        <is>
          <t>2022-03</t>
        </is>
      </c>
      <c r="B7" s="10" t="inlineStr">
        <is>
          <t>電梯</t>
        </is>
      </c>
      <c r="C7" s="10" t="inlineStr">
        <is>
          <t>本月小計</t>
        </is>
      </c>
      <c r="D7" s="10" t="inlineStr">
        <is>
          <t>收 2 / 支 0</t>
        </is>
      </c>
      <c r="E7" s="106" t="n">
        <v>2</v>
      </c>
    </row>
    <row r="8" ht="15" customHeight="1" s="84">
      <c r="A8" s="7" t="inlineStr">
        <is>
          <t>2022-04</t>
        </is>
      </c>
      <c r="B8" s="13" t="inlineStr">
        <is>
          <t>充電樁</t>
        </is>
      </c>
      <c r="C8" s="13" t="inlineStr">
        <is>
          <t>上期餘額</t>
        </is>
      </c>
      <c r="D8" s="7" t="n"/>
      <c r="E8" s="104" t="n">
        <v>0</v>
      </c>
    </row>
    <row r="9" ht="16.5" customHeight="1" s="84">
      <c r="A9" s="7" t="inlineStr">
        <is>
          <t>2022-04</t>
        </is>
      </c>
      <c r="B9" s="13" t="inlineStr">
        <is>
          <t>充電樁</t>
        </is>
      </c>
      <c r="C9" s="13" t="inlineStr">
        <is>
          <t>收入</t>
        </is>
      </c>
      <c r="D9" s="13" t="inlineStr">
        <is>
          <t>自111年Q2季起 每季應收管理費$3,857,907</t>
        </is>
      </c>
      <c r="E9" s="104" t="n">
        <v>1</v>
      </c>
    </row>
    <row r="10" ht="18" customHeight="1" s="84">
      <c r="A10" s="34" t="inlineStr">
        <is>
          <t>2022-04</t>
        </is>
      </c>
      <c r="B10" s="10" t="inlineStr">
        <is>
          <t>充電樁</t>
        </is>
      </c>
      <c r="C10" s="10" t="inlineStr">
        <is>
          <t>本月小計</t>
        </is>
      </c>
      <c r="D10" s="10" t="inlineStr">
        <is>
          <t>收 1 / 支 0</t>
        </is>
      </c>
      <c r="E10" s="106" t="n">
        <v>1</v>
      </c>
    </row>
    <row r="11" ht="15" customHeight="1" s="84">
      <c r="A11" s="7" t="inlineStr">
        <is>
          <t>2022-04</t>
        </is>
      </c>
      <c r="B11" s="13" t="inlineStr">
        <is>
          <t>電梯</t>
        </is>
      </c>
      <c r="C11" s="13" t="inlineStr">
        <is>
          <t>上期餘額</t>
        </is>
      </c>
      <c r="D11" s="7" t="n"/>
      <c r="E11" s="104" t="n">
        <v>0</v>
      </c>
    </row>
    <row r="12" ht="16.5" customHeight="1" s="84">
      <c r="A12" s="7" t="inlineStr">
        <is>
          <t>2022-04</t>
        </is>
      </c>
      <c r="B12" s="13" t="inlineStr">
        <is>
          <t>電梯</t>
        </is>
      </c>
      <c r="C12" s="13" t="inlineStr">
        <is>
          <t>收入</t>
        </is>
      </c>
      <c r="D12" s="13" t="inlineStr">
        <is>
          <t>自111年Q2季起 每季應收管理費$3,857,907</t>
        </is>
      </c>
      <c r="E12" s="104" t="n">
        <v>1</v>
      </c>
    </row>
    <row r="13" ht="18" customHeight="1" s="84">
      <c r="A13" s="34" t="inlineStr">
        <is>
          <t>2022-04</t>
        </is>
      </c>
      <c r="B13" s="10" t="inlineStr">
        <is>
          <t>電梯</t>
        </is>
      </c>
      <c r="C13" s="10" t="inlineStr">
        <is>
          <t>本月小計</t>
        </is>
      </c>
      <c r="D13" s="10" t="inlineStr">
        <is>
          <t>收 1 / 支 0</t>
        </is>
      </c>
      <c r="E13" s="106" t="n">
        <v>1</v>
      </c>
    </row>
    <row r="14" ht="15" customHeight="1" s="84">
      <c r="A14" s="7" t="inlineStr">
        <is>
          <t>2022-05</t>
        </is>
      </c>
      <c r="B14" s="13" t="inlineStr">
        <is>
          <t>充電樁</t>
        </is>
      </c>
      <c r="C14" s="13" t="inlineStr">
        <is>
          <t>上期餘額</t>
        </is>
      </c>
      <c r="D14" s="7" t="n"/>
      <c r="E14" s="104" t="n">
        <v>0</v>
      </c>
    </row>
    <row r="15" ht="16.5" customHeight="1" s="84">
      <c r="A15" s="7" t="inlineStr">
        <is>
          <t>2022-05</t>
        </is>
      </c>
      <c r="B15" s="13" t="inlineStr">
        <is>
          <t>充電樁</t>
        </is>
      </c>
      <c r="C15" s="13" t="inlineStr">
        <is>
          <t>收入</t>
        </is>
      </c>
      <c r="D15" s="13" t="inlineStr">
        <is>
          <t>自111年Q2季起 每季應收管理費$3,857,907</t>
        </is>
      </c>
      <c r="E15" s="104" t="n">
        <v>1</v>
      </c>
    </row>
    <row r="16" ht="18" customHeight="1" s="84">
      <c r="A16" s="34" t="inlineStr">
        <is>
          <t>2022-05</t>
        </is>
      </c>
      <c r="B16" s="10" t="inlineStr">
        <is>
          <t>充電樁</t>
        </is>
      </c>
      <c r="C16" s="10" t="inlineStr">
        <is>
          <t>本月小計</t>
        </is>
      </c>
      <c r="D16" s="10" t="inlineStr">
        <is>
          <t>收 1 / 支 0</t>
        </is>
      </c>
      <c r="E16" s="106" t="n">
        <v>1</v>
      </c>
    </row>
    <row r="17" ht="15" customHeight="1" s="84">
      <c r="A17" s="7" t="inlineStr">
        <is>
          <t>2022-05</t>
        </is>
      </c>
      <c r="B17" s="13" t="inlineStr">
        <is>
          <t>電梯</t>
        </is>
      </c>
      <c r="C17" s="13" t="inlineStr">
        <is>
          <t>上期餘額</t>
        </is>
      </c>
      <c r="D17" s="7" t="n"/>
      <c r="E17" s="104" t="n">
        <v>0</v>
      </c>
    </row>
    <row r="18" ht="16.5" customHeight="1" s="84">
      <c r="A18" s="7" t="inlineStr">
        <is>
          <t>2022-05</t>
        </is>
      </c>
      <c r="B18" s="13" t="inlineStr">
        <is>
          <t>電梯</t>
        </is>
      </c>
      <c r="C18" s="13" t="inlineStr">
        <is>
          <t>收入</t>
        </is>
      </c>
      <c r="D18" s="13" t="inlineStr">
        <is>
          <t>自111年Q2季起 每季應收管理費$3,857,907</t>
        </is>
      </c>
      <c r="E18" s="104" t="n">
        <v>1</v>
      </c>
    </row>
    <row r="19" ht="18" customHeight="1" s="84">
      <c r="A19" s="34" t="inlineStr">
        <is>
          <t>2022-05</t>
        </is>
      </c>
      <c r="B19" s="10" t="inlineStr">
        <is>
          <t>電梯</t>
        </is>
      </c>
      <c r="C19" s="10" t="inlineStr">
        <is>
          <t>本月小計</t>
        </is>
      </c>
      <c r="D19" s="10" t="inlineStr">
        <is>
          <t>收 1 / 支 0</t>
        </is>
      </c>
      <c r="E19" s="106" t="n">
        <v>1</v>
      </c>
    </row>
    <row r="20" ht="15" customHeight="1" s="84">
      <c r="A20" s="7" t="inlineStr">
        <is>
          <t>2022-06</t>
        </is>
      </c>
      <c r="B20" s="13" t="inlineStr">
        <is>
          <t>充電樁</t>
        </is>
      </c>
      <c r="C20" s="13" t="inlineStr">
        <is>
          <t>上期餘額</t>
        </is>
      </c>
      <c r="D20" s="7" t="n"/>
      <c r="E20" s="104" t="n">
        <v>4145183</v>
      </c>
    </row>
    <row r="21" ht="16.5" customHeight="1" s="84">
      <c r="A21" s="7" t="inlineStr">
        <is>
          <t>2022-06</t>
        </is>
      </c>
      <c r="B21" s="13" t="inlineStr">
        <is>
          <t>充電樁</t>
        </is>
      </c>
      <c r="C21" s="13" t="inlineStr">
        <is>
          <t>收入</t>
        </is>
      </c>
      <c r="D21" s="13" t="inlineStr">
        <is>
          <t>自111年Q2季起 每季應收管理費$3,857,907</t>
        </is>
      </c>
      <c r="E21" s="104" t="n">
        <v>12</v>
      </c>
    </row>
    <row r="22" ht="18" customHeight="1" s="84">
      <c r="A22" s="34" t="inlineStr">
        <is>
          <t>2022-06</t>
        </is>
      </c>
      <c r="B22" s="10" t="inlineStr">
        <is>
          <t>充電樁</t>
        </is>
      </c>
      <c r="C22" s="10" t="inlineStr">
        <is>
          <t>本月小計</t>
        </is>
      </c>
      <c r="D22" s="10" t="inlineStr">
        <is>
          <t>收 12 / 支 0</t>
        </is>
      </c>
      <c r="E22" s="106" t="n">
        <v>4145195</v>
      </c>
    </row>
    <row r="23" ht="15" customHeight="1" s="84">
      <c r="A23" s="7" t="inlineStr">
        <is>
          <t>2022-06</t>
        </is>
      </c>
      <c r="B23" s="13" t="inlineStr">
        <is>
          <t>電梯</t>
        </is>
      </c>
      <c r="C23" s="13" t="inlineStr">
        <is>
          <t>上期餘額</t>
        </is>
      </c>
      <c r="D23" s="7" t="n"/>
      <c r="E23" s="104" t="n">
        <v>4145183</v>
      </c>
    </row>
    <row r="24" ht="16.5" customHeight="1" s="84">
      <c r="A24" s="7" t="inlineStr">
        <is>
          <t>2022-06</t>
        </is>
      </c>
      <c r="B24" s="13" t="inlineStr">
        <is>
          <t>電梯</t>
        </is>
      </c>
      <c r="C24" s="13" t="inlineStr">
        <is>
          <t>收入</t>
        </is>
      </c>
      <c r="D24" s="13" t="inlineStr">
        <is>
          <t>自111年Q2季起 每季應收管理費$3,857,907</t>
        </is>
      </c>
      <c r="E24" s="104" t="n">
        <v>12</v>
      </c>
    </row>
    <row r="25" ht="18" customHeight="1" s="84">
      <c r="A25" s="34" t="inlineStr">
        <is>
          <t>2022-06</t>
        </is>
      </c>
      <c r="B25" s="10" t="inlineStr">
        <is>
          <t>電梯</t>
        </is>
      </c>
      <c r="C25" s="10" t="inlineStr">
        <is>
          <t>本月小計</t>
        </is>
      </c>
      <c r="D25" s="10" t="inlineStr">
        <is>
          <t>收 12 / 支 0</t>
        </is>
      </c>
      <c r="E25" s="106" t="n">
        <v>4145195</v>
      </c>
    </row>
    <row r="26" ht="15" customHeight="1" s="84">
      <c r="A26" s="7" t="inlineStr">
        <is>
          <t>2022-07</t>
        </is>
      </c>
      <c r="B26" s="13" t="inlineStr">
        <is>
          <t>充電樁</t>
        </is>
      </c>
      <c r="C26" s="13" t="inlineStr">
        <is>
          <t>上期餘額</t>
        </is>
      </c>
      <c r="D26" s="7" t="n"/>
      <c r="E26" s="104" t="n">
        <v>4129086</v>
      </c>
    </row>
    <row r="27" ht="16.5" customHeight="1" s="84">
      <c r="A27" s="7" t="inlineStr">
        <is>
          <t>2022-07</t>
        </is>
      </c>
      <c r="B27" s="13" t="inlineStr">
        <is>
          <t>充電樁</t>
        </is>
      </c>
      <c r="C27" s="13" t="inlineStr">
        <is>
          <t>收入</t>
        </is>
      </c>
      <c r="D27" s="13" t="inlineStr">
        <is>
          <t>自111年Q2季起 每季應收管理費$3,857,907</t>
        </is>
      </c>
      <c r="E27" s="104" t="n">
        <v>4</v>
      </c>
    </row>
    <row r="28" ht="18" customHeight="1" s="84">
      <c r="A28" s="34" t="inlineStr">
        <is>
          <t>2022-07</t>
        </is>
      </c>
      <c r="B28" s="10" t="inlineStr">
        <is>
          <t>充電樁</t>
        </is>
      </c>
      <c r="C28" s="10" t="inlineStr">
        <is>
          <t>本月小計</t>
        </is>
      </c>
      <c r="D28" s="10" t="inlineStr">
        <is>
          <t>收 4 / 支 0</t>
        </is>
      </c>
      <c r="E28" s="106" t="n">
        <v>4129090</v>
      </c>
    </row>
    <row r="29" ht="15" customHeight="1" s="84">
      <c r="A29" s="7" t="inlineStr">
        <is>
          <t>2022-07</t>
        </is>
      </c>
      <c r="B29" s="13" t="inlineStr">
        <is>
          <t>電梯</t>
        </is>
      </c>
      <c r="C29" s="13" t="inlineStr">
        <is>
          <t>上期餘額</t>
        </is>
      </c>
      <c r="D29" s="7" t="n"/>
      <c r="E29" s="104" t="n">
        <v>4129086</v>
      </c>
    </row>
    <row r="30" ht="16.5" customHeight="1" s="84">
      <c r="A30" s="7" t="inlineStr">
        <is>
          <t>2022-07</t>
        </is>
      </c>
      <c r="B30" s="13" t="inlineStr">
        <is>
          <t>電梯</t>
        </is>
      </c>
      <c r="C30" s="13" t="inlineStr">
        <is>
          <t>收入</t>
        </is>
      </c>
      <c r="D30" s="13" t="inlineStr">
        <is>
          <t>自111年Q2季起 每季應收管理費$3,857,907</t>
        </is>
      </c>
      <c r="E30" s="104" t="n">
        <v>4</v>
      </c>
    </row>
    <row r="31" ht="18" customHeight="1" s="84">
      <c r="A31" s="34" t="inlineStr">
        <is>
          <t>2022-07</t>
        </is>
      </c>
      <c r="B31" s="10" t="inlineStr">
        <is>
          <t>電梯</t>
        </is>
      </c>
      <c r="C31" s="10" t="inlineStr">
        <is>
          <t>本月小計</t>
        </is>
      </c>
      <c r="D31" s="10" t="inlineStr">
        <is>
          <t>收 4 / 支 0</t>
        </is>
      </c>
      <c r="E31" s="106" t="n">
        <v>4129090</v>
      </c>
    </row>
    <row r="32" ht="15" customHeight="1" s="84">
      <c r="A32" s="7" t="inlineStr">
        <is>
          <t>2022-08</t>
        </is>
      </c>
      <c r="B32" s="13" t="inlineStr">
        <is>
          <t>充電樁</t>
        </is>
      </c>
      <c r="C32" s="13" t="inlineStr">
        <is>
          <t>上期餘額</t>
        </is>
      </c>
      <c r="D32" s="7" t="n"/>
      <c r="E32" s="104" t="n">
        <v>4129086</v>
      </c>
    </row>
    <row r="33" ht="18" customHeight="1" s="84">
      <c r="A33" s="34" t="inlineStr">
        <is>
          <t>2022-08</t>
        </is>
      </c>
      <c r="B33" s="10" t="inlineStr">
        <is>
          <t>充電樁</t>
        </is>
      </c>
      <c r="C33" s="10" t="inlineStr">
        <is>
          <t>本月小計</t>
        </is>
      </c>
      <c r="D33" s="10" t="inlineStr">
        <is>
          <t>收 0 / 支 0</t>
        </is>
      </c>
      <c r="E33" s="106" t="n">
        <v>4129086</v>
      </c>
    </row>
    <row r="34" ht="15" customHeight="1" s="84">
      <c r="A34" s="7" t="inlineStr">
        <is>
          <t>2022-08</t>
        </is>
      </c>
      <c r="B34" s="13" t="inlineStr">
        <is>
          <t>電梯</t>
        </is>
      </c>
      <c r="C34" s="13" t="inlineStr">
        <is>
          <t>上期餘額</t>
        </is>
      </c>
      <c r="D34" s="7" t="n"/>
      <c r="E34" s="104" t="n">
        <v>4129086</v>
      </c>
    </row>
    <row r="35" ht="18" customHeight="1" s="84">
      <c r="A35" s="34" t="inlineStr">
        <is>
          <t>2022-08</t>
        </is>
      </c>
      <c r="B35" s="10" t="inlineStr">
        <is>
          <t>電梯</t>
        </is>
      </c>
      <c r="C35" s="10" t="inlineStr">
        <is>
          <t>本月小計</t>
        </is>
      </c>
      <c r="D35" s="10" t="inlineStr">
        <is>
          <t>收 0 / 支 0</t>
        </is>
      </c>
      <c r="E35" s="106" t="n">
        <v>4129086</v>
      </c>
    </row>
    <row r="36" ht="15" customHeight="1" s="84">
      <c r="A36" s="7" t="inlineStr">
        <is>
          <t>2022-09</t>
        </is>
      </c>
      <c r="B36" s="13" t="inlineStr">
        <is>
          <t>充電樁</t>
        </is>
      </c>
      <c r="C36" s="13" t="inlineStr">
        <is>
          <t>上期餘額</t>
        </is>
      </c>
      <c r="D36" s="7" t="n"/>
      <c r="E36" s="104" t="n">
        <v>4129086</v>
      </c>
    </row>
    <row r="37" ht="18" customHeight="1" s="84">
      <c r="A37" s="34" t="inlineStr">
        <is>
          <t>2022-09</t>
        </is>
      </c>
      <c r="B37" s="10" t="inlineStr">
        <is>
          <t>充電樁</t>
        </is>
      </c>
      <c r="C37" s="10" t="inlineStr">
        <is>
          <t>本月小計</t>
        </is>
      </c>
      <c r="D37" s="10" t="inlineStr">
        <is>
          <t>收 0 / 支 0</t>
        </is>
      </c>
      <c r="E37" s="106" t="n">
        <v>4129086</v>
      </c>
    </row>
    <row r="38" ht="15" customHeight="1" s="84">
      <c r="A38" s="7" t="inlineStr">
        <is>
          <t>2022-09</t>
        </is>
      </c>
      <c r="B38" s="13" t="inlineStr">
        <is>
          <t>電梯</t>
        </is>
      </c>
      <c r="C38" s="13" t="inlineStr">
        <is>
          <t>上期餘額</t>
        </is>
      </c>
      <c r="D38" s="7" t="n"/>
      <c r="E38" s="104" t="n">
        <v>4129086</v>
      </c>
    </row>
    <row r="39" ht="18" customHeight="1" s="84">
      <c r="A39" s="34" t="inlineStr">
        <is>
          <t>2022-09</t>
        </is>
      </c>
      <c r="B39" s="10" t="inlineStr">
        <is>
          <t>電梯</t>
        </is>
      </c>
      <c r="C39" s="10" t="inlineStr">
        <is>
          <t>本月小計</t>
        </is>
      </c>
      <c r="D39" s="10" t="inlineStr">
        <is>
          <t>收 0 / 支 0</t>
        </is>
      </c>
      <c r="E39" s="106" t="n">
        <v>4129086</v>
      </c>
    </row>
    <row r="40" ht="15" customHeight="1" s="84">
      <c r="A40" s="7" t="inlineStr">
        <is>
          <t>2022-10</t>
        </is>
      </c>
      <c r="B40" s="13" t="inlineStr">
        <is>
          <t>充電樁</t>
        </is>
      </c>
      <c r="C40" s="13" t="inlineStr">
        <is>
          <t>上期餘額</t>
        </is>
      </c>
      <c r="D40" s="7" t="n"/>
      <c r="E40" s="104" t="n">
        <v>4239086</v>
      </c>
    </row>
    <row r="41" ht="18" customHeight="1" s="84">
      <c r="A41" s="34" t="inlineStr">
        <is>
          <t>2022-10</t>
        </is>
      </c>
      <c r="B41" s="10" t="inlineStr">
        <is>
          <t>充電樁</t>
        </is>
      </c>
      <c r="C41" s="10" t="inlineStr">
        <is>
          <t>本月小計</t>
        </is>
      </c>
      <c r="D41" s="10" t="inlineStr">
        <is>
          <t>收 0 / 支 0</t>
        </is>
      </c>
      <c r="E41" s="106" t="n">
        <v>4239086</v>
      </c>
    </row>
    <row r="42" ht="15" customHeight="1" s="84">
      <c r="A42" s="7" t="inlineStr">
        <is>
          <t>2022-10</t>
        </is>
      </c>
      <c r="B42" s="13" t="inlineStr">
        <is>
          <t>電梯</t>
        </is>
      </c>
      <c r="C42" s="13" t="inlineStr">
        <is>
          <t>上期餘額</t>
        </is>
      </c>
      <c r="D42" s="7" t="n"/>
      <c r="E42" s="104" t="n">
        <v>4239086</v>
      </c>
    </row>
    <row r="43" ht="18" customHeight="1" s="84">
      <c r="A43" s="34" t="inlineStr">
        <is>
          <t>2022-10</t>
        </is>
      </c>
      <c r="B43" s="10" t="inlineStr">
        <is>
          <t>電梯</t>
        </is>
      </c>
      <c r="C43" s="10" t="inlineStr">
        <is>
          <t>本月小計</t>
        </is>
      </c>
      <c r="D43" s="10" t="inlineStr">
        <is>
          <t>收 0 / 支 0</t>
        </is>
      </c>
      <c r="E43" s="106" t="n">
        <v>4239086</v>
      </c>
    </row>
    <row r="44" ht="15" customHeight="1" s="84">
      <c r="A44" s="7" t="inlineStr">
        <is>
          <t>2022-11</t>
        </is>
      </c>
      <c r="B44" s="13" t="inlineStr">
        <is>
          <t>充電樁</t>
        </is>
      </c>
      <c r="C44" s="13" t="inlineStr">
        <is>
          <t>上期餘額</t>
        </is>
      </c>
      <c r="D44" s="7" t="n"/>
      <c r="E44" s="104" t="n">
        <v>4399086</v>
      </c>
    </row>
    <row r="45" ht="18" customHeight="1" s="84">
      <c r="A45" s="34" t="inlineStr">
        <is>
          <t>2022-11</t>
        </is>
      </c>
      <c r="B45" s="10" t="inlineStr">
        <is>
          <t>充電樁</t>
        </is>
      </c>
      <c r="C45" s="10" t="inlineStr">
        <is>
          <t>本月小計</t>
        </is>
      </c>
      <c r="D45" s="10" t="inlineStr">
        <is>
          <t>收 0 / 支 0</t>
        </is>
      </c>
      <c r="E45" s="106" t="n">
        <v>4399086</v>
      </c>
    </row>
    <row r="46" ht="15" customHeight="1" s="84">
      <c r="A46" s="7" t="inlineStr">
        <is>
          <t>2022-11</t>
        </is>
      </c>
      <c r="B46" s="13" t="inlineStr">
        <is>
          <t>電梯</t>
        </is>
      </c>
      <c r="C46" s="13" t="inlineStr">
        <is>
          <t>上期餘額</t>
        </is>
      </c>
      <c r="D46" s="7" t="n"/>
      <c r="E46" s="104" t="n">
        <v>4399086</v>
      </c>
    </row>
    <row r="47" ht="18" customHeight="1" s="84">
      <c r="A47" s="34" t="inlineStr">
        <is>
          <t>2022-11</t>
        </is>
      </c>
      <c r="B47" s="10" t="inlineStr">
        <is>
          <t>電梯</t>
        </is>
      </c>
      <c r="C47" s="10" t="inlineStr">
        <is>
          <t>本月小計</t>
        </is>
      </c>
      <c r="D47" s="10" t="inlineStr">
        <is>
          <t>收 0 / 支 0</t>
        </is>
      </c>
      <c r="E47" s="106" t="n">
        <v>4399086</v>
      </c>
    </row>
    <row r="48" ht="15" customHeight="1" s="84">
      <c r="A48" s="7" t="inlineStr">
        <is>
          <t>2022-12</t>
        </is>
      </c>
      <c r="B48" s="13" t="inlineStr">
        <is>
          <t>充電樁</t>
        </is>
      </c>
      <c r="C48" s="13" t="inlineStr">
        <is>
          <t>上期餘額</t>
        </is>
      </c>
      <c r="D48" s="7" t="n"/>
      <c r="E48" s="104" t="n">
        <v>4699086</v>
      </c>
    </row>
    <row r="49" ht="18" customHeight="1" s="84">
      <c r="A49" s="34" t="inlineStr">
        <is>
          <t>2022-12</t>
        </is>
      </c>
      <c r="B49" s="10" t="inlineStr">
        <is>
          <t>充電樁</t>
        </is>
      </c>
      <c r="C49" s="10" t="inlineStr">
        <is>
          <t>本月小計</t>
        </is>
      </c>
      <c r="D49" s="10" t="inlineStr">
        <is>
          <t>收 0 / 支 0</t>
        </is>
      </c>
      <c r="E49" s="106" t="n">
        <v>4699086</v>
      </c>
    </row>
    <row r="50" ht="15" customHeight="1" s="84">
      <c r="A50" s="7" t="inlineStr">
        <is>
          <t>2022-12</t>
        </is>
      </c>
      <c r="B50" s="13" t="inlineStr">
        <is>
          <t>電梯</t>
        </is>
      </c>
      <c r="C50" s="13" t="inlineStr">
        <is>
          <t>上期餘額</t>
        </is>
      </c>
      <c r="D50" s="7" t="n"/>
      <c r="E50" s="104" t="n">
        <v>4699086</v>
      </c>
    </row>
    <row r="51" ht="18" customHeight="1" s="84">
      <c r="A51" s="34" t="inlineStr">
        <is>
          <t>2022-12</t>
        </is>
      </c>
      <c r="B51" s="10" t="inlineStr">
        <is>
          <t>電梯</t>
        </is>
      </c>
      <c r="C51" s="10" t="inlineStr">
        <is>
          <t>本月小計</t>
        </is>
      </c>
      <c r="D51" s="10" t="inlineStr">
        <is>
          <t>收 0 / 支 0</t>
        </is>
      </c>
      <c r="E51" s="106" t="n">
        <v>4699086</v>
      </c>
    </row>
    <row r="52" ht="15" customHeight="1" s="84">
      <c r="A52" s="7" t="inlineStr">
        <is>
          <t>2023-01</t>
        </is>
      </c>
      <c r="B52" s="13" t="inlineStr">
        <is>
          <t>充電樁</t>
        </is>
      </c>
      <c r="C52" s="13" t="inlineStr">
        <is>
          <t>上期餘額</t>
        </is>
      </c>
      <c r="D52" s="7" t="n"/>
      <c r="E52" s="104" t="n">
        <v>4853668</v>
      </c>
    </row>
    <row r="53" ht="18" customHeight="1" s="84">
      <c r="A53" s="34" t="inlineStr">
        <is>
          <t>2023-01</t>
        </is>
      </c>
      <c r="B53" s="10" t="inlineStr">
        <is>
          <t>充電樁</t>
        </is>
      </c>
      <c r="C53" s="10" t="inlineStr">
        <is>
          <t>本月小計</t>
        </is>
      </c>
      <c r="D53" s="10" t="inlineStr">
        <is>
          <t>收 0 / 支 0</t>
        </is>
      </c>
      <c r="E53" s="106" t="n">
        <v>4853668</v>
      </c>
    </row>
    <row r="54" ht="15" customHeight="1" s="84">
      <c r="A54" s="7" t="inlineStr">
        <is>
          <t>2023-01</t>
        </is>
      </c>
      <c r="B54" s="13" t="inlineStr">
        <is>
          <t>電梯</t>
        </is>
      </c>
      <c r="C54" s="13" t="inlineStr">
        <is>
          <t>上期餘額</t>
        </is>
      </c>
      <c r="D54" s="7" t="n"/>
      <c r="E54" s="104" t="n">
        <v>4853668</v>
      </c>
    </row>
    <row r="55" ht="18" customHeight="1" s="84">
      <c r="A55" s="34" t="inlineStr">
        <is>
          <t>2023-01</t>
        </is>
      </c>
      <c r="B55" s="10" t="inlineStr">
        <is>
          <t>電梯</t>
        </is>
      </c>
      <c r="C55" s="10" t="inlineStr">
        <is>
          <t>本月小計</t>
        </is>
      </c>
      <c r="D55" s="10" t="inlineStr">
        <is>
          <t>收 0 / 支 0</t>
        </is>
      </c>
      <c r="E55" s="106" t="n">
        <v>4853668</v>
      </c>
    </row>
    <row r="56" ht="15" customHeight="1" s="84">
      <c r="A56" s="7" t="inlineStr">
        <is>
          <t>2023-02</t>
        </is>
      </c>
      <c r="B56" s="13" t="inlineStr">
        <is>
          <t>充電樁</t>
        </is>
      </c>
      <c r="C56" s="13" t="inlineStr">
        <is>
          <t>上期餘額</t>
        </is>
      </c>
      <c r="D56" s="7" t="n"/>
      <c r="E56" s="104" t="n">
        <v>4903668</v>
      </c>
    </row>
    <row r="57" ht="18" customHeight="1" s="84">
      <c r="A57" s="34" t="inlineStr">
        <is>
          <t>2023-02</t>
        </is>
      </c>
      <c r="B57" s="10" t="inlineStr">
        <is>
          <t>充電樁</t>
        </is>
      </c>
      <c r="C57" s="10" t="inlineStr">
        <is>
          <t>本月小計</t>
        </is>
      </c>
      <c r="D57" s="10" t="inlineStr">
        <is>
          <t>收 0 / 支 0</t>
        </is>
      </c>
      <c r="E57" s="106" t="n">
        <v>4903668</v>
      </c>
    </row>
    <row r="58" ht="15" customHeight="1" s="84">
      <c r="A58" s="7" t="inlineStr">
        <is>
          <t>2023-02</t>
        </is>
      </c>
      <c r="B58" s="13" t="inlineStr">
        <is>
          <t>電梯</t>
        </is>
      </c>
      <c r="C58" s="13" t="inlineStr">
        <is>
          <t>上期餘額</t>
        </is>
      </c>
      <c r="D58" s="7" t="n"/>
      <c r="E58" s="104" t="n">
        <v>4903668</v>
      </c>
    </row>
    <row r="59" ht="18" customHeight="1" s="84">
      <c r="A59" s="34" t="inlineStr">
        <is>
          <t>2023-02</t>
        </is>
      </c>
      <c r="B59" s="10" t="inlineStr">
        <is>
          <t>電梯</t>
        </is>
      </c>
      <c r="C59" s="10" t="inlineStr">
        <is>
          <t>本月小計</t>
        </is>
      </c>
      <c r="D59" s="10" t="inlineStr">
        <is>
          <t>收 0 / 支 0</t>
        </is>
      </c>
      <c r="E59" s="106" t="n">
        <v>4903668</v>
      </c>
    </row>
    <row r="60" ht="15" customHeight="1" s="84">
      <c r="A60" s="7" t="inlineStr">
        <is>
          <t>2023-03</t>
        </is>
      </c>
      <c r="B60" s="13" t="inlineStr">
        <is>
          <t>充電樁</t>
        </is>
      </c>
      <c r="C60" s="13" t="inlineStr">
        <is>
          <t>上期餘額</t>
        </is>
      </c>
      <c r="D60" s="7" t="n"/>
      <c r="E60" s="104" t="n">
        <v>4903668</v>
      </c>
    </row>
    <row r="61" ht="15" customHeight="1" s="84">
      <c r="A61" s="7" t="inlineStr">
        <is>
          <t>2023-03</t>
        </is>
      </c>
      <c r="B61" s="13" t="inlineStr">
        <is>
          <t>充電樁</t>
        </is>
      </c>
      <c r="C61" s="13" t="inlineStr">
        <is>
          <t>收入</t>
        </is>
      </c>
      <c r="D61" s="13" t="inlineStr">
        <is>
          <t>戶數</t>
        </is>
      </c>
      <c r="E61" s="104" t="n">
        <v>417</v>
      </c>
    </row>
    <row r="62" ht="15" customHeight="1" s="84">
      <c r="A62" s="7" t="inlineStr">
        <is>
          <t>2023-03</t>
        </is>
      </c>
      <c r="B62" s="13" t="inlineStr">
        <is>
          <t>充電樁</t>
        </is>
      </c>
      <c r="C62" s="13" t="inlineStr">
        <is>
          <t>收入</t>
        </is>
      </c>
      <c r="D62" s="13" t="inlineStr">
        <is>
          <t>未繳金額</t>
        </is>
      </c>
      <c r="E62" s="104" t="n">
        <v>3846441</v>
      </c>
    </row>
    <row r="63" ht="18" customHeight="1" s="84">
      <c r="A63" s="34" t="inlineStr">
        <is>
          <t>2023-03</t>
        </is>
      </c>
      <c r="B63" s="10" t="inlineStr">
        <is>
          <t>充電樁</t>
        </is>
      </c>
      <c r="C63" s="10" t="inlineStr">
        <is>
          <t>本月小計</t>
        </is>
      </c>
      <c r="D63" s="10" t="inlineStr">
        <is>
          <t>收 3,846,858 / 支 0</t>
        </is>
      </c>
      <c r="E63" s="106" t="n">
        <v>8750526</v>
      </c>
    </row>
    <row r="64" ht="15" customHeight="1" s="84">
      <c r="A64" s="7" t="inlineStr">
        <is>
          <t>2023-03</t>
        </is>
      </c>
      <c r="B64" s="13" t="inlineStr">
        <is>
          <t>電梯</t>
        </is>
      </c>
      <c r="C64" s="13" t="inlineStr">
        <is>
          <t>上期餘額</t>
        </is>
      </c>
      <c r="D64" s="7" t="n"/>
      <c r="E64" s="104" t="n">
        <v>4903668</v>
      </c>
    </row>
    <row r="65" ht="15" customHeight="1" s="84">
      <c r="A65" s="7" t="inlineStr">
        <is>
          <t>2023-03</t>
        </is>
      </c>
      <c r="B65" s="13" t="inlineStr">
        <is>
          <t>電梯</t>
        </is>
      </c>
      <c r="C65" s="13" t="inlineStr">
        <is>
          <t>收入</t>
        </is>
      </c>
      <c r="D65" s="13" t="inlineStr">
        <is>
          <t>戶數</t>
        </is>
      </c>
      <c r="E65" s="104" t="n">
        <v>417</v>
      </c>
    </row>
    <row r="66" ht="15" customHeight="1" s="84">
      <c r="A66" s="7" t="inlineStr">
        <is>
          <t>2023-03</t>
        </is>
      </c>
      <c r="B66" s="13" t="inlineStr">
        <is>
          <t>電梯</t>
        </is>
      </c>
      <c r="C66" s="13" t="inlineStr">
        <is>
          <t>收入</t>
        </is>
      </c>
      <c r="D66" s="13" t="inlineStr">
        <is>
          <t>未繳金額</t>
        </is>
      </c>
      <c r="E66" s="104" t="n">
        <v>3846441</v>
      </c>
    </row>
    <row r="67" ht="18" customHeight="1" s="84">
      <c r="A67" s="34" t="inlineStr">
        <is>
          <t>2023-03</t>
        </is>
      </c>
      <c r="B67" s="10" t="inlineStr">
        <is>
          <t>電梯</t>
        </is>
      </c>
      <c r="C67" s="10" t="inlineStr">
        <is>
          <t>本月小計</t>
        </is>
      </c>
      <c r="D67" s="10" t="inlineStr">
        <is>
          <t>收 3,846,858 / 支 0</t>
        </is>
      </c>
      <c r="E67" s="106" t="n">
        <v>8750526</v>
      </c>
    </row>
    <row r="68" ht="15" customHeight="1" s="84">
      <c r="A68" s="7" t="inlineStr">
        <is>
          <t>2023-04</t>
        </is>
      </c>
      <c r="B68" s="13" t="inlineStr">
        <is>
          <t>充電樁</t>
        </is>
      </c>
      <c r="C68" s="13" t="inlineStr">
        <is>
          <t>上期餘額</t>
        </is>
      </c>
      <c r="D68" s="7" t="n"/>
      <c r="E68" s="104" t="n">
        <v>4513668</v>
      </c>
    </row>
    <row r="69" ht="15" customHeight="1" s="84">
      <c r="A69" s="7" t="inlineStr">
        <is>
          <t>2023-04</t>
        </is>
      </c>
      <c r="B69" s="13" t="inlineStr">
        <is>
          <t>充電樁</t>
        </is>
      </c>
      <c r="C69" s="13" t="inlineStr">
        <is>
          <t>收入</t>
        </is>
      </c>
      <c r="D69" s="13" t="inlineStr">
        <is>
          <t>戶數</t>
        </is>
      </c>
      <c r="E69" s="104" t="n">
        <v>106</v>
      </c>
    </row>
    <row r="70" ht="15" customHeight="1" s="84">
      <c r="A70" s="7" t="inlineStr">
        <is>
          <t>2023-04</t>
        </is>
      </c>
      <c r="B70" s="13" t="inlineStr">
        <is>
          <t>充電樁</t>
        </is>
      </c>
      <c r="C70" s="13" t="inlineStr">
        <is>
          <t>收入</t>
        </is>
      </c>
      <c r="D70" s="13" t="inlineStr">
        <is>
          <t>未繳金額</t>
        </is>
      </c>
      <c r="E70" s="104" t="n">
        <v>957012</v>
      </c>
    </row>
    <row r="71" ht="18" customHeight="1" s="84">
      <c r="A71" s="34" t="inlineStr">
        <is>
          <t>2023-04</t>
        </is>
      </c>
      <c r="B71" s="10" t="inlineStr">
        <is>
          <t>充電樁</t>
        </is>
      </c>
      <c r="C71" s="10" t="inlineStr">
        <is>
          <t>本月小計</t>
        </is>
      </c>
      <c r="D71" s="10" t="inlineStr">
        <is>
          <t>收 957,118 / 支 0</t>
        </is>
      </c>
      <c r="E71" s="106" t="n">
        <v>5470786</v>
      </c>
    </row>
    <row r="72" ht="15" customHeight="1" s="84">
      <c r="A72" s="7" t="inlineStr">
        <is>
          <t>2023-04</t>
        </is>
      </c>
      <c r="B72" s="13" t="inlineStr">
        <is>
          <t>電梯</t>
        </is>
      </c>
      <c r="C72" s="13" t="inlineStr">
        <is>
          <t>上期餘額</t>
        </is>
      </c>
      <c r="D72" s="7" t="n"/>
      <c r="E72" s="104" t="n">
        <v>4513668</v>
      </c>
    </row>
    <row r="73" ht="15" customHeight="1" s="84">
      <c r="A73" s="7" t="inlineStr">
        <is>
          <t>2023-04</t>
        </is>
      </c>
      <c r="B73" s="13" t="inlineStr">
        <is>
          <t>電梯</t>
        </is>
      </c>
      <c r="C73" s="13" t="inlineStr">
        <is>
          <t>收入</t>
        </is>
      </c>
      <c r="D73" s="13" t="inlineStr">
        <is>
          <t>戶數</t>
        </is>
      </c>
      <c r="E73" s="104" t="n">
        <v>106</v>
      </c>
    </row>
    <row r="74" ht="15" customHeight="1" s="84">
      <c r="A74" s="7" t="inlineStr">
        <is>
          <t>2023-04</t>
        </is>
      </c>
      <c r="B74" s="13" t="inlineStr">
        <is>
          <t>電梯</t>
        </is>
      </c>
      <c r="C74" s="13" t="inlineStr">
        <is>
          <t>收入</t>
        </is>
      </c>
      <c r="D74" s="13" t="inlineStr">
        <is>
          <t>未繳金額</t>
        </is>
      </c>
      <c r="E74" s="104" t="n">
        <v>957012</v>
      </c>
    </row>
    <row r="75" ht="18" customHeight="1" s="84">
      <c r="A75" s="34" t="inlineStr">
        <is>
          <t>2023-04</t>
        </is>
      </c>
      <c r="B75" s="10" t="inlineStr">
        <is>
          <t>電梯</t>
        </is>
      </c>
      <c r="C75" s="10" t="inlineStr">
        <is>
          <t>本月小計</t>
        </is>
      </c>
      <c r="D75" s="10" t="inlineStr">
        <is>
          <t>收 957,118 / 支 0</t>
        </is>
      </c>
      <c r="E75" s="106" t="n">
        <v>5470786</v>
      </c>
    </row>
    <row r="76" ht="15" customHeight="1" s="84">
      <c r="A76" s="7" t="inlineStr">
        <is>
          <t>2023-05</t>
        </is>
      </c>
      <c r="B76" s="13" t="inlineStr">
        <is>
          <t>充電樁</t>
        </is>
      </c>
      <c r="C76" s="13" t="inlineStr">
        <is>
          <t>上期餘額</t>
        </is>
      </c>
      <c r="D76" s="7" t="n"/>
      <c r="E76" s="104" t="n">
        <v>4623668</v>
      </c>
    </row>
    <row r="77" ht="15" customHeight="1" s="84">
      <c r="A77" s="7" t="inlineStr">
        <is>
          <t>2023-05</t>
        </is>
      </c>
      <c r="B77" s="13" t="inlineStr">
        <is>
          <t>充電樁</t>
        </is>
      </c>
      <c r="C77" s="13" t="inlineStr">
        <is>
          <t>收入</t>
        </is>
      </c>
      <c r="D77" s="13" t="inlineStr">
        <is>
          <t>戶數</t>
        </is>
      </c>
      <c r="E77" s="104" t="n">
        <v>16</v>
      </c>
    </row>
    <row r="78" ht="15" customHeight="1" s="84">
      <c r="A78" s="7" t="inlineStr">
        <is>
          <t>2023-05</t>
        </is>
      </c>
      <c r="B78" s="13" t="inlineStr">
        <is>
          <t>充電樁</t>
        </is>
      </c>
      <c r="C78" s="13" t="inlineStr">
        <is>
          <t>收入</t>
        </is>
      </c>
      <c r="D78" s="13" t="inlineStr">
        <is>
          <t>未繳金額</t>
        </is>
      </c>
      <c r="E78" s="104" t="n">
        <v>137757</v>
      </c>
    </row>
    <row r="79" ht="18" customHeight="1" s="84">
      <c r="A79" s="34" t="inlineStr">
        <is>
          <t>2023-05</t>
        </is>
      </c>
      <c r="B79" s="10" t="inlineStr">
        <is>
          <t>充電樁</t>
        </is>
      </c>
      <c r="C79" s="10" t="inlineStr">
        <is>
          <t>本月小計</t>
        </is>
      </c>
      <c r="D79" s="10" t="inlineStr">
        <is>
          <t>收 137,773 / 支 0</t>
        </is>
      </c>
      <c r="E79" s="106" t="n">
        <v>4761441</v>
      </c>
    </row>
    <row r="80" ht="15" customHeight="1" s="84">
      <c r="A80" s="7" t="inlineStr">
        <is>
          <t>2023-05</t>
        </is>
      </c>
      <c r="B80" s="13" t="inlineStr">
        <is>
          <t>電梯</t>
        </is>
      </c>
      <c r="C80" s="13" t="inlineStr">
        <is>
          <t>上期餘額</t>
        </is>
      </c>
      <c r="D80" s="7" t="n"/>
      <c r="E80" s="104" t="n">
        <v>4623668</v>
      </c>
    </row>
    <row r="81" ht="15" customHeight="1" s="84">
      <c r="A81" s="7" t="inlineStr">
        <is>
          <t>2023-05</t>
        </is>
      </c>
      <c r="B81" s="13" t="inlineStr">
        <is>
          <t>電梯</t>
        </is>
      </c>
      <c r="C81" s="13" t="inlineStr">
        <is>
          <t>收入</t>
        </is>
      </c>
      <c r="D81" s="13" t="inlineStr">
        <is>
          <t>戶數</t>
        </is>
      </c>
      <c r="E81" s="104" t="n">
        <v>16</v>
      </c>
    </row>
    <row r="82" ht="15" customHeight="1" s="84">
      <c r="A82" s="7" t="inlineStr">
        <is>
          <t>2023-05</t>
        </is>
      </c>
      <c r="B82" s="13" t="inlineStr">
        <is>
          <t>電梯</t>
        </is>
      </c>
      <c r="C82" s="13" t="inlineStr">
        <is>
          <t>收入</t>
        </is>
      </c>
      <c r="D82" s="13" t="inlineStr">
        <is>
          <t>未繳金額</t>
        </is>
      </c>
      <c r="E82" s="104" t="n">
        <v>137757</v>
      </c>
    </row>
    <row r="83" ht="18" customHeight="1" s="84">
      <c r="A83" s="34" t="inlineStr">
        <is>
          <t>2023-05</t>
        </is>
      </c>
      <c r="B83" s="10" t="inlineStr">
        <is>
          <t>電梯</t>
        </is>
      </c>
      <c r="C83" s="10" t="inlineStr">
        <is>
          <t>本月小計</t>
        </is>
      </c>
      <c r="D83" s="10" t="inlineStr">
        <is>
          <t>收 137,773 / 支 0</t>
        </is>
      </c>
      <c r="E83" s="106" t="n">
        <v>4761441</v>
      </c>
    </row>
    <row r="84" ht="15" customHeight="1" s="84">
      <c r="A84" s="7" t="inlineStr">
        <is>
          <t>2023-06</t>
        </is>
      </c>
      <c r="B84" s="13" t="inlineStr">
        <is>
          <t>充電樁</t>
        </is>
      </c>
      <c r="C84" s="13" t="inlineStr">
        <is>
          <t>上期餘額</t>
        </is>
      </c>
      <c r="D84" s="7" t="n"/>
      <c r="E84" s="104" t="n">
        <v>4668784</v>
      </c>
    </row>
    <row r="85" ht="15" customHeight="1" s="84">
      <c r="A85" s="7" t="inlineStr">
        <is>
          <t>2023-06</t>
        </is>
      </c>
      <c r="B85" s="13" t="inlineStr">
        <is>
          <t>充電樁</t>
        </is>
      </c>
      <c r="C85" s="13" t="inlineStr">
        <is>
          <t>收入</t>
        </is>
      </c>
      <c r="D85" s="13" t="inlineStr">
        <is>
          <t>戶數</t>
        </is>
      </c>
      <c r="E85" s="104" t="n">
        <v>5</v>
      </c>
    </row>
    <row r="86" ht="15" customHeight="1" s="84">
      <c r="A86" s="7" t="inlineStr">
        <is>
          <t>2023-06</t>
        </is>
      </c>
      <c r="B86" s="13" t="inlineStr">
        <is>
          <t>充電樁</t>
        </is>
      </c>
      <c r="C86" s="13" t="inlineStr">
        <is>
          <t>收入</t>
        </is>
      </c>
      <c r="D86" s="13" t="inlineStr">
        <is>
          <t>未繳金額</t>
        </is>
      </c>
      <c r="E86" s="104" t="n">
        <v>42063</v>
      </c>
    </row>
    <row r="87" ht="18" customHeight="1" s="84">
      <c r="A87" s="34" t="inlineStr">
        <is>
          <t>2023-06</t>
        </is>
      </c>
      <c r="B87" s="10" t="inlineStr">
        <is>
          <t>充電樁</t>
        </is>
      </c>
      <c r="C87" s="10" t="inlineStr">
        <is>
          <t>本月小計</t>
        </is>
      </c>
      <c r="D87" s="10" t="inlineStr">
        <is>
          <t>收 42,068 / 支 0</t>
        </is>
      </c>
      <c r="E87" s="106" t="n">
        <v>4710852</v>
      </c>
    </row>
    <row r="88" ht="15" customHeight="1" s="84">
      <c r="A88" s="7" t="inlineStr">
        <is>
          <t>2023-06</t>
        </is>
      </c>
      <c r="B88" s="13" t="inlineStr">
        <is>
          <t>電梯</t>
        </is>
      </c>
      <c r="C88" s="13" t="inlineStr">
        <is>
          <t>上期餘額</t>
        </is>
      </c>
      <c r="D88" s="7" t="n"/>
      <c r="E88" s="104" t="n">
        <v>4668784</v>
      </c>
    </row>
    <row r="89" ht="15" customHeight="1" s="84">
      <c r="A89" s="7" t="inlineStr">
        <is>
          <t>2023-06</t>
        </is>
      </c>
      <c r="B89" s="13" t="inlineStr">
        <is>
          <t>電梯</t>
        </is>
      </c>
      <c r="C89" s="13" t="inlineStr">
        <is>
          <t>收入</t>
        </is>
      </c>
      <c r="D89" s="13" t="inlineStr">
        <is>
          <t>戶數</t>
        </is>
      </c>
      <c r="E89" s="104" t="n">
        <v>5</v>
      </c>
    </row>
    <row r="90" ht="15" customHeight="1" s="84">
      <c r="A90" s="7" t="inlineStr">
        <is>
          <t>2023-06</t>
        </is>
      </c>
      <c r="B90" s="13" t="inlineStr">
        <is>
          <t>電梯</t>
        </is>
      </c>
      <c r="C90" s="13" t="inlineStr">
        <is>
          <t>收入</t>
        </is>
      </c>
      <c r="D90" s="13" t="inlineStr">
        <is>
          <t>未繳金額</t>
        </is>
      </c>
      <c r="E90" s="104" t="n">
        <v>42063</v>
      </c>
    </row>
    <row r="91" ht="18" customHeight="1" s="84">
      <c r="A91" s="34" t="inlineStr">
        <is>
          <t>2023-06</t>
        </is>
      </c>
      <c r="B91" s="10" t="inlineStr">
        <is>
          <t>電梯</t>
        </is>
      </c>
      <c r="C91" s="10" t="inlineStr">
        <is>
          <t>本月小計</t>
        </is>
      </c>
      <c r="D91" s="10" t="inlineStr">
        <is>
          <t>收 42,068 / 支 0</t>
        </is>
      </c>
      <c r="E91" s="106" t="n">
        <v>4710852</v>
      </c>
    </row>
    <row r="92" ht="15" customHeight="1" s="84">
      <c r="A92" s="7" t="inlineStr">
        <is>
          <t>2023-07</t>
        </is>
      </c>
      <c r="B92" s="13" t="inlineStr">
        <is>
          <t>充電樁</t>
        </is>
      </c>
      <c r="C92" s="13" t="inlineStr">
        <is>
          <t>上期餘額</t>
        </is>
      </c>
      <c r="D92" s="7" t="n"/>
      <c r="E92" s="104" t="n">
        <v>1622880</v>
      </c>
    </row>
    <row r="93" ht="15" customHeight="1" s="84">
      <c r="A93" s="7" t="inlineStr">
        <is>
          <t>2023-07</t>
        </is>
      </c>
      <c r="B93" s="13" t="inlineStr">
        <is>
          <t>充電樁</t>
        </is>
      </c>
      <c r="C93" s="13" t="inlineStr">
        <is>
          <t>收入</t>
        </is>
      </c>
      <c r="D93" s="13" t="inlineStr">
        <is>
          <t>戶數</t>
        </is>
      </c>
      <c r="E93" s="104" t="n">
        <v>80</v>
      </c>
    </row>
    <row r="94" ht="15" customHeight="1" s="84">
      <c r="A94" s="7" t="inlineStr">
        <is>
          <t>2023-07</t>
        </is>
      </c>
      <c r="B94" s="13" t="inlineStr">
        <is>
          <t>充電樁</t>
        </is>
      </c>
      <c r="C94" s="13" t="inlineStr">
        <is>
          <t>收入</t>
        </is>
      </c>
      <c r="D94" s="13" t="inlineStr">
        <is>
          <t>未繳金額</t>
        </is>
      </c>
      <c r="E94" s="104" t="n">
        <v>726183</v>
      </c>
    </row>
    <row r="95" ht="18" customHeight="1" s="84">
      <c r="A95" s="34" t="inlineStr">
        <is>
          <t>2023-07</t>
        </is>
      </c>
      <c r="B95" s="10" t="inlineStr">
        <is>
          <t>充電樁</t>
        </is>
      </c>
      <c r="C95" s="10" t="inlineStr">
        <is>
          <t>本月小計</t>
        </is>
      </c>
      <c r="D95" s="10" t="inlineStr">
        <is>
          <t>收 726,263 / 支 0</t>
        </is>
      </c>
      <c r="E95" s="106" t="n">
        <v>2349143</v>
      </c>
    </row>
    <row r="96" ht="15" customHeight="1" s="84">
      <c r="A96" s="7" t="inlineStr">
        <is>
          <t>2023-07</t>
        </is>
      </c>
      <c r="B96" s="13" t="inlineStr">
        <is>
          <t>電梯</t>
        </is>
      </c>
      <c r="C96" s="13" t="inlineStr">
        <is>
          <t>上期餘額</t>
        </is>
      </c>
      <c r="D96" s="7" t="n"/>
      <c r="E96" s="104" t="n">
        <v>1622880</v>
      </c>
    </row>
    <row r="97" ht="15" customHeight="1" s="84">
      <c r="A97" s="7" t="inlineStr">
        <is>
          <t>2023-07</t>
        </is>
      </c>
      <c r="B97" s="13" t="inlineStr">
        <is>
          <t>電梯</t>
        </is>
      </c>
      <c r="C97" s="13" t="inlineStr">
        <is>
          <t>收入</t>
        </is>
      </c>
      <c r="D97" s="13" t="inlineStr">
        <is>
          <t>戶數</t>
        </is>
      </c>
      <c r="E97" s="104" t="n">
        <v>80</v>
      </c>
    </row>
    <row r="98" ht="15" customHeight="1" s="84">
      <c r="A98" s="7" t="inlineStr">
        <is>
          <t>2023-07</t>
        </is>
      </c>
      <c r="B98" s="13" t="inlineStr">
        <is>
          <t>電梯</t>
        </is>
      </c>
      <c r="C98" s="13" t="inlineStr">
        <is>
          <t>收入</t>
        </is>
      </c>
      <c r="D98" s="13" t="inlineStr">
        <is>
          <t>未繳金額</t>
        </is>
      </c>
      <c r="E98" s="104" t="n">
        <v>726183</v>
      </c>
    </row>
    <row r="99" ht="18" customHeight="1" s="84">
      <c r="A99" s="34" t="inlineStr">
        <is>
          <t>2023-07</t>
        </is>
      </c>
      <c r="B99" s="10" t="inlineStr">
        <is>
          <t>電梯</t>
        </is>
      </c>
      <c r="C99" s="10" t="inlineStr">
        <is>
          <t>本月小計</t>
        </is>
      </c>
      <c r="D99" s="10" t="inlineStr">
        <is>
          <t>收 726,263 / 支 0</t>
        </is>
      </c>
      <c r="E99" s="106" t="n">
        <v>2349143</v>
      </c>
    </row>
    <row r="100" ht="15" customHeight="1" s="84">
      <c r="A100" s="7" t="inlineStr">
        <is>
          <t>2023-08</t>
        </is>
      </c>
      <c r="B100" s="13" t="inlineStr">
        <is>
          <t>充電樁</t>
        </is>
      </c>
      <c r="C100" s="13" t="inlineStr">
        <is>
          <t>上期餘額</t>
        </is>
      </c>
      <c r="D100" s="7" t="n"/>
      <c r="E100" s="104" t="n">
        <v>1164655</v>
      </c>
    </row>
    <row r="101" ht="15" customHeight="1" s="84">
      <c r="A101" s="7" t="inlineStr">
        <is>
          <t>2023-08</t>
        </is>
      </c>
      <c r="B101" s="13" t="inlineStr">
        <is>
          <t>充電樁</t>
        </is>
      </c>
      <c r="C101" s="13" t="inlineStr">
        <is>
          <t>收入</t>
        </is>
      </c>
      <c r="D101" s="13" t="inlineStr">
        <is>
          <t>戶數</t>
        </is>
      </c>
      <c r="E101" s="104" t="n">
        <v>31</v>
      </c>
    </row>
    <row r="102" ht="15" customHeight="1" s="84">
      <c r="A102" s="7" t="inlineStr">
        <is>
          <t>2023-08</t>
        </is>
      </c>
      <c r="B102" s="13" t="inlineStr">
        <is>
          <t>充電樁</t>
        </is>
      </c>
      <c r="C102" s="13" t="inlineStr">
        <is>
          <t>收入</t>
        </is>
      </c>
      <c r="D102" s="13" t="inlineStr">
        <is>
          <t>未繳金額</t>
        </is>
      </c>
      <c r="E102" s="104" t="n">
        <v>264681</v>
      </c>
    </row>
    <row r="103" ht="18" customHeight="1" s="84">
      <c r="A103" s="34" t="inlineStr">
        <is>
          <t>2023-08</t>
        </is>
      </c>
      <c r="B103" s="10" t="inlineStr">
        <is>
          <t>充電樁</t>
        </is>
      </c>
      <c r="C103" s="10" t="inlineStr">
        <is>
          <t>本月小計</t>
        </is>
      </c>
      <c r="D103" s="10" t="inlineStr">
        <is>
          <t>收 264,712 / 支 0</t>
        </is>
      </c>
      <c r="E103" s="106" t="n">
        <v>1429367</v>
      </c>
    </row>
    <row r="104" ht="15" customHeight="1" s="84">
      <c r="A104" s="7" t="inlineStr">
        <is>
          <t>2023-08</t>
        </is>
      </c>
      <c r="B104" s="13" t="inlineStr">
        <is>
          <t>電梯</t>
        </is>
      </c>
      <c r="C104" s="13" t="inlineStr">
        <is>
          <t>上期餘額</t>
        </is>
      </c>
      <c r="D104" s="7" t="n"/>
      <c r="E104" s="104" t="n">
        <v>1164655</v>
      </c>
    </row>
    <row r="105" ht="15" customHeight="1" s="84">
      <c r="A105" s="7" t="inlineStr">
        <is>
          <t>2023-08</t>
        </is>
      </c>
      <c r="B105" s="13" t="inlineStr">
        <is>
          <t>電梯</t>
        </is>
      </c>
      <c r="C105" s="13" t="inlineStr">
        <is>
          <t>收入</t>
        </is>
      </c>
      <c r="D105" s="13" t="inlineStr">
        <is>
          <t>戶數</t>
        </is>
      </c>
      <c r="E105" s="104" t="n">
        <v>31</v>
      </c>
    </row>
    <row r="106" ht="15" customHeight="1" s="84">
      <c r="A106" s="7" t="inlineStr">
        <is>
          <t>2023-08</t>
        </is>
      </c>
      <c r="B106" s="13" t="inlineStr">
        <is>
          <t>電梯</t>
        </is>
      </c>
      <c r="C106" s="13" t="inlineStr">
        <is>
          <t>收入</t>
        </is>
      </c>
      <c r="D106" s="13" t="inlineStr">
        <is>
          <t>未繳金額</t>
        </is>
      </c>
      <c r="E106" s="104" t="n">
        <v>264681</v>
      </c>
    </row>
    <row r="107" ht="18" customHeight="1" s="84">
      <c r="A107" s="34" t="inlineStr">
        <is>
          <t>2023-08</t>
        </is>
      </c>
      <c r="B107" s="10" t="inlineStr">
        <is>
          <t>電梯</t>
        </is>
      </c>
      <c r="C107" s="10" t="inlineStr">
        <is>
          <t>本月小計</t>
        </is>
      </c>
      <c r="D107" s="10" t="inlineStr">
        <is>
          <t>收 264,712 / 支 0</t>
        </is>
      </c>
      <c r="E107" s="106" t="n">
        <v>1429367</v>
      </c>
    </row>
    <row r="108" ht="15" customHeight="1" s="84">
      <c r="A108" s="7" t="inlineStr">
        <is>
          <t>2023-09</t>
        </is>
      </c>
      <c r="B108" s="13" t="inlineStr">
        <is>
          <t>充電樁</t>
        </is>
      </c>
      <c r="C108" s="13" t="inlineStr">
        <is>
          <t>上期餘額</t>
        </is>
      </c>
      <c r="D108" s="7" t="n"/>
      <c r="E108" s="104" t="n">
        <v>1024882</v>
      </c>
    </row>
    <row r="109" ht="15" customHeight="1" s="84">
      <c r="A109" s="7" t="inlineStr">
        <is>
          <t>2023-09</t>
        </is>
      </c>
      <c r="B109" s="13" t="inlineStr">
        <is>
          <t>充電樁</t>
        </is>
      </c>
      <c r="C109" s="13" t="inlineStr">
        <is>
          <t>收入</t>
        </is>
      </c>
      <c r="D109" s="13" t="inlineStr">
        <is>
          <t>戶數</t>
        </is>
      </c>
      <c r="E109" s="104" t="n">
        <v>22</v>
      </c>
    </row>
    <row r="110" ht="15" customHeight="1" s="84">
      <c r="A110" s="7" t="inlineStr">
        <is>
          <t>2023-09</t>
        </is>
      </c>
      <c r="B110" s="13" t="inlineStr">
        <is>
          <t>充電樁</t>
        </is>
      </c>
      <c r="C110" s="13" t="inlineStr">
        <is>
          <t>收入</t>
        </is>
      </c>
      <c r="D110" s="13" t="inlineStr">
        <is>
          <t>未繳金額</t>
        </is>
      </c>
      <c r="E110" s="104" t="n">
        <v>196434</v>
      </c>
    </row>
    <row r="111" ht="18" customHeight="1" s="84">
      <c r="A111" s="34" t="inlineStr">
        <is>
          <t>2023-09</t>
        </is>
      </c>
      <c r="B111" s="10" t="inlineStr">
        <is>
          <t>充電樁</t>
        </is>
      </c>
      <c r="C111" s="10" t="inlineStr">
        <is>
          <t>本月小計</t>
        </is>
      </c>
      <c r="D111" s="10" t="inlineStr">
        <is>
          <t>收 196,456 / 支 0</t>
        </is>
      </c>
      <c r="E111" s="106" t="n">
        <v>1221338</v>
      </c>
    </row>
    <row r="112" ht="15" customHeight="1" s="84">
      <c r="A112" s="7" t="inlineStr">
        <is>
          <t>2023-09</t>
        </is>
      </c>
      <c r="B112" s="13" t="inlineStr">
        <is>
          <t>電梯</t>
        </is>
      </c>
      <c r="C112" s="13" t="inlineStr">
        <is>
          <t>上期餘額</t>
        </is>
      </c>
      <c r="D112" s="7" t="n"/>
      <c r="E112" s="104" t="n">
        <v>1024882</v>
      </c>
    </row>
    <row r="113" ht="15" customHeight="1" s="84">
      <c r="A113" s="7" t="inlineStr">
        <is>
          <t>2023-09</t>
        </is>
      </c>
      <c r="B113" s="13" t="inlineStr">
        <is>
          <t>電梯</t>
        </is>
      </c>
      <c r="C113" s="13" t="inlineStr">
        <is>
          <t>收入</t>
        </is>
      </c>
      <c r="D113" s="13" t="inlineStr">
        <is>
          <t>戶數</t>
        </is>
      </c>
      <c r="E113" s="104" t="n">
        <v>22</v>
      </c>
    </row>
    <row r="114" ht="15" customHeight="1" s="84">
      <c r="A114" s="7" t="inlineStr">
        <is>
          <t>2023-09</t>
        </is>
      </c>
      <c r="B114" s="13" t="inlineStr">
        <is>
          <t>電梯</t>
        </is>
      </c>
      <c r="C114" s="13" t="inlineStr">
        <is>
          <t>收入</t>
        </is>
      </c>
      <c r="D114" s="13" t="inlineStr">
        <is>
          <t>未繳金額</t>
        </is>
      </c>
      <c r="E114" s="104" t="n">
        <v>196434</v>
      </c>
    </row>
    <row r="115" ht="18" customHeight="1" s="84">
      <c r="A115" s="34" t="inlineStr">
        <is>
          <t>2023-09</t>
        </is>
      </c>
      <c r="B115" s="10" t="inlineStr">
        <is>
          <t>電梯</t>
        </is>
      </c>
      <c r="C115" s="10" t="inlineStr">
        <is>
          <t>本月小計</t>
        </is>
      </c>
      <c r="D115" s="10" t="inlineStr">
        <is>
          <t>收 196,456 / 支 0</t>
        </is>
      </c>
      <c r="E115" s="106" t="n">
        <v>1221338</v>
      </c>
    </row>
    <row r="116" ht="15" customHeight="1" s="84">
      <c r="A116" s="7" t="inlineStr">
        <is>
          <t>2023-10</t>
        </is>
      </c>
      <c r="B116" s="13" t="inlineStr">
        <is>
          <t>充電樁</t>
        </is>
      </c>
      <c r="C116" s="13" t="inlineStr">
        <is>
          <t>上期餘額</t>
        </is>
      </c>
      <c r="D116" s="7" t="n"/>
      <c r="E116" s="104" t="n">
        <v>1003985</v>
      </c>
    </row>
    <row r="117" ht="15" customHeight="1" s="84">
      <c r="A117" s="7" t="inlineStr">
        <is>
          <t>2023-10</t>
        </is>
      </c>
      <c r="B117" s="13" t="inlineStr">
        <is>
          <t>充電樁</t>
        </is>
      </c>
      <c r="C117" s="13" t="inlineStr">
        <is>
          <t>收入</t>
        </is>
      </c>
      <c r="D117" s="13" t="inlineStr">
        <is>
          <t>戶數</t>
        </is>
      </c>
      <c r="E117" s="104" t="n">
        <v>63</v>
      </c>
    </row>
    <row r="118" ht="15" customHeight="1" s="84">
      <c r="A118" s="7" t="inlineStr">
        <is>
          <t>2023-10</t>
        </is>
      </c>
      <c r="B118" s="13" t="inlineStr">
        <is>
          <t>充電樁</t>
        </is>
      </c>
      <c r="C118" s="13" t="inlineStr">
        <is>
          <t>收入</t>
        </is>
      </c>
      <c r="D118" s="13" t="inlineStr">
        <is>
          <t>未繳金額</t>
        </is>
      </c>
      <c r="E118" s="104" t="n">
        <v>574179</v>
      </c>
    </row>
    <row r="119" ht="18" customHeight="1" s="84">
      <c r="A119" s="34" t="inlineStr">
        <is>
          <t>2023-10</t>
        </is>
      </c>
      <c r="B119" s="10" t="inlineStr">
        <is>
          <t>充電樁</t>
        </is>
      </c>
      <c r="C119" s="10" t="inlineStr">
        <is>
          <t>本月小計</t>
        </is>
      </c>
      <c r="D119" s="10" t="inlineStr">
        <is>
          <t>收 574,242 / 支 0</t>
        </is>
      </c>
      <c r="E119" s="106" t="n">
        <v>1578227</v>
      </c>
    </row>
    <row r="120" ht="15" customHeight="1" s="84">
      <c r="A120" s="7" t="inlineStr">
        <is>
          <t>2023-10</t>
        </is>
      </c>
      <c r="B120" s="13" t="inlineStr">
        <is>
          <t>電梯</t>
        </is>
      </c>
      <c r="C120" s="13" t="inlineStr">
        <is>
          <t>上期餘額</t>
        </is>
      </c>
      <c r="D120" s="7" t="n"/>
      <c r="E120" s="104" t="n">
        <v>1003985</v>
      </c>
    </row>
    <row r="121" ht="15" customHeight="1" s="84">
      <c r="A121" s="7" t="inlineStr">
        <is>
          <t>2023-10</t>
        </is>
      </c>
      <c r="B121" s="13" t="inlineStr">
        <is>
          <t>電梯</t>
        </is>
      </c>
      <c r="C121" s="13" t="inlineStr">
        <is>
          <t>收入</t>
        </is>
      </c>
      <c r="D121" s="13" t="inlineStr">
        <is>
          <t>戶數</t>
        </is>
      </c>
      <c r="E121" s="104" t="n">
        <v>63</v>
      </c>
    </row>
    <row r="122" ht="15" customHeight="1" s="84">
      <c r="A122" s="7" t="inlineStr">
        <is>
          <t>2023-10</t>
        </is>
      </c>
      <c r="B122" s="13" t="inlineStr">
        <is>
          <t>電梯</t>
        </is>
      </c>
      <c r="C122" s="13" t="inlineStr">
        <is>
          <t>收入</t>
        </is>
      </c>
      <c r="D122" s="13" t="inlineStr">
        <is>
          <t>未繳金額</t>
        </is>
      </c>
      <c r="E122" s="104" t="n">
        <v>574179</v>
      </c>
    </row>
    <row r="123" ht="18" customHeight="1" s="84">
      <c r="A123" s="34" t="inlineStr">
        <is>
          <t>2023-10</t>
        </is>
      </c>
      <c r="B123" s="10" t="inlineStr">
        <is>
          <t>電梯</t>
        </is>
      </c>
      <c r="C123" s="10" t="inlineStr">
        <is>
          <t>本月小計</t>
        </is>
      </c>
      <c r="D123" s="10" t="inlineStr">
        <is>
          <t>收 574,242 / 支 0</t>
        </is>
      </c>
      <c r="E123" s="106" t="n">
        <v>1578227</v>
      </c>
    </row>
    <row r="124" ht="15" customHeight="1" s="84">
      <c r="A124" s="7" t="inlineStr">
        <is>
          <t>2023-11</t>
        </is>
      </c>
      <c r="B124" s="13" t="inlineStr">
        <is>
          <t>充電樁</t>
        </is>
      </c>
      <c r="C124" s="13" t="inlineStr">
        <is>
          <t>上期餘額</t>
        </is>
      </c>
      <c r="D124" s="7" t="n"/>
      <c r="E124" s="104" t="n">
        <v>972480</v>
      </c>
    </row>
    <row r="125" ht="15" customHeight="1" s="84">
      <c r="A125" s="7" t="inlineStr">
        <is>
          <t>2023-11</t>
        </is>
      </c>
      <c r="B125" s="13" t="inlineStr">
        <is>
          <t>充電樁</t>
        </is>
      </c>
      <c r="C125" s="13" t="inlineStr">
        <is>
          <t>收入</t>
        </is>
      </c>
      <c r="D125" s="13" t="inlineStr">
        <is>
          <t>戶數</t>
        </is>
      </c>
      <c r="E125" s="104" t="n">
        <v>13</v>
      </c>
    </row>
    <row r="126" ht="15" customHeight="1" s="84">
      <c r="A126" s="7" t="inlineStr">
        <is>
          <t>2023-11</t>
        </is>
      </c>
      <c r="B126" s="13" t="inlineStr">
        <is>
          <t>充電樁</t>
        </is>
      </c>
      <c r="C126" s="13" t="inlineStr">
        <is>
          <t>收入</t>
        </is>
      </c>
      <c r="D126" s="13" t="inlineStr">
        <is>
          <t>未繳金額</t>
        </is>
      </c>
      <c r="E126" s="104" t="n">
        <v>113251</v>
      </c>
    </row>
    <row r="127" ht="18" customHeight="1" s="84">
      <c r="A127" s="34" t="inlineStr">
        <is>
          <t>2023-11</t>
        </is>
      </c>
      <c r="B127" s="10" t="inlineStr">
        <is>
          <t>充電樁</t>
        </is>
      </c>
      <c r="C127" s="10" t="inlineStr">
        <is>
          <t>本月小計</t>
        </is>
      </c>
      <c r="D127" s="10" t="inlineStr">
        <is>
          <t>收 113,264 / 支 0</t>
        </is>
      </c>
      <c r="E127" s="106" t="n">
        <v>1085744</v>
      </c>
    </row>
    <row r="128" ht="15" customHeight="1" s="84">
      <c r="A128" s="7" t="inlineStr">
        <is>
          <t>2023-11</t>
        </is>
      </c>
      <c r="B128" s="13" t="inlineStr">
        <is>
          <t>電梯</t>
        </is>
      </c>
      <c r="C128" s="13" t="inlineStr">
        <is>
          <t>上期餘額</t>
        </is>
      </c>
      <c r="D128" s="7" t="n"/>
      <c r="E128" s="104" t="n">
        <v>972480</v>
      </c>
    </row>
    <row r="129" ht="15" customHeight="1" s="84">
      <c r="A129" s="7" t="inlineStr">
        <is>
          <t>2023-11</t>
        </is>
      </c>
      <c r="B129" s="13" t="inlineStr">
        <is>
          <t>電梯</t>
        </is>
      </c>
      <c r="C129" s="13" t="inlineStr">
        <is>
          <t>收入</t>
        </is>
      </c>
      <c r="D129" s="13" t="inlineStr">
        <is>
          <t>戶數</t>
        </is>
      </c>
      <c r="E129" s="104" t="n">
        <v>13</v>
      </c>
    </row>
    <row r="130" ht="15" customHeight="1" s="84">
      <c r="A130" s="7" t="inlineStr">
        <is>
          <t>2023-11</t>
        </is>
      </c>
      <c r="B130" s="13" t="inlineStr">
        <is>
          <t>電梯</t>
        </is>
      </c>
      <c r="C130" s="13" t="inlineStr">
        <is>
          <t>收入</t>
        </is>
      </c>
      <c r="D130" s="13" t="inlineStr">
        <is>
          <t>未繳金額</t>
        </is>
      </c>
      <c r="E130" s="104" t="n">
        <v>113251</v>
      </c>
    </row>
    <row r="131" ht="18" customHeight="1" s="84">
      <c r="A131" s="34" t="inlineStr">
        <is>
          <t>2023-11</t>
        </is>
      </c>
      <c r="B131" s="10" t="inlineStr">
        <is>
          <t>電梯</t>
        </is>
      </c>
      <c r="C131" s="10" t="inlineStr">
        <is>
          <t>本月小計</t>
        </is>
      </c>
      <c r="D131" s="10" t="inlineStr">
        <is>
          <t>收 113,264 / 支 0</t>
        </is>
      </c>
      <c r="E131" s="106" t="n">
        <v>1085744</v>
      </c>
    </row>
    <row r="132" ht="15" customHeight="1" s="84">
      <c r="A132" s="7" t="inlineStr">
        <is>
          <t>2023-12</t>
        </is>
      </c>
      <c r="B132" s="13" t="inlineStr">
        <is>
          <t>充電樁</t>
        </is>
      </c>
      <c r="C132" s="13" t="inlineStr">
        <is>
          <t>上期餘額</t>
        </is>
      </c>
      <c r="D132" s="7" t="n"/>
      <c r="E132" s="104" t="n">
        <v>1055585</v>
      </c>
    </row>
    <row r="133" ht="15" customHeight="1" s="84">
      <c r="A133" s="7" t="inlineStr">
        <is>
          <t>2023-12</t>
        </is>
      </c>
      <c r="B133" s="13" t="inlineStr">
        <is>
          <t>充電樁</t>
        </is>
      </c>
      <c r="C133" s="13" t="inlineStr">
        <is>
          <t>收入</t>
        </is>
      </c>
      <c r="D133" s="13" t="inlineStr">
        <is>
          <t>戶數</t>
        </is>
      </c>
      <c r="E133" s="104" t="n">
        <v>11</v>
      </c>
    </row>
    <row r="134" ht="15" customHeight="1" s="84">
      <c r="A134" s="7" t="inlineStr">
        <is>
          <t>2023-12</t>
        </is>
      </c>
      <c r="B134" s="13" t="inlineStr">
        <is>
          <t>充電樁</t>
        </is>
      </c>
      <c r="C134" s="13" t="inlineStr">
        <is>
          <t>收入</t>
        </is>
      </c>
      <c r="D134" s="13" t="inlineStr">
        <is>
          <t>未繳金額</t>
        </is>
      </c>
      <c r="E134" s="104" t="n">
        <v>97723</v>
      </c>
    </row>
    <row r="135" ht="18" customHeight="1" s="84">
      <c r="A135" s="34" t="inlineStr">
        <is>
          <t>2023-12</t>
        </is>
      </c>
      <c r="B135" s="10" t="inlineStr">
        <is>
          <t>充電樁</t>
        </is>
      </c>
      <c r="C135" s="10" t="inlineStr">
        <is>
          <t>本月小計</t>
        </is>
      </c>
      <c r="D135" s="10" t="inlineStr">
        <is>
          <t>收 97,734 / 支 0</t>
        </is>
      </c>
      <c r="E135" s="106" t="n">
        <v>1153319</v>
      </c>
    </row>
    <row r="136" ht="15" customHeight="1" s="84">
      <c r="A136" s="7" t="inlineStr">
        <is>
          <t>2023-12</t>
        </is>
      </c>
      <c r="B136" s="13" t="inlineStr">
        <is>
          <t>電梯</t>
        </is>
      </c>
      <c r="C136" s="13" t="inlineStr">
        <is>
          <t>上期餘額</t>
        </is>
      </c>
      <c r="D136" s="7" t="n"/>
      <c r="E136" s="104" t="n">
        <v>1055585</v>
      </c>
    </row>
    <row r="137" ht="15" customHeight="1" s="84">
      <c r="A137" s="7" t="inlineStr">
        <is>
          <t>2023-12</t>
        </is>
      </c>
      <c r="B137" s="13" t="inlineStr">
        <is>
          <t>電梯</t>
        </is>
      </c>
      <c r="C137" s="13" t="inlineStr">
        <is>
          <t>收入</t>
        </is>
      </c>
      <c r="D137" s="13" t="inlineStr">
        <is>
          <t>戶數</t>
        </is>
      </c>
      <c r="E137" s="104" t="n">
        <v>11</v>
      </c>
    </row>
    <row r="138" ht="15" customHeight="1" s="84">
      <c r="A138" s="7" t="inlineStr">
        <is>
          <t>2023-12</t>
        </is>
      </c>
      <c r="B138" s="13" t="inlineStr">
        <is>
          <t>電梯</t>
        </is>
      </c>
      <c r="C138" s="13" t="inlineStr">
        <is>
          <t>收入</t>
        </is>
      </c>
      <c r="D138" s="13" t="inlineStr">
        <is>
          <t>未繳金額</t>
        </is>
      </c>
      <c r="E138" s="104" t="n">
        <v>97723</v>
      </c>
    </row>
    <row r="139" ht="18" customHeight="1" s="84">
      <c r="A139" s="34" t="inlineStr">
        <is>
          <t>2023-12</t>
        </is>
      </c>
      <c r="B139" s="10" t="inlineStr">
        <is>
          <t>電梯</t>
        </is>
      </c>
      <c r="C139" s="10" t="inlineStr">
        <is>
          <t>本月小計</t>
        </is>
      </c>
      <c r="D139" s="10" t="inlineStr">
        <is>
          <t>收 97,734 / 支 0</t>
        </is>
      </c>
      <c r="E139" s="106" t="n">
        <v>1153319</v>
      </c>
    </row>
    <row r="140" ht="15" customHeight="1" s="84">
      <c r="A140" s="7" t="inlineStr">
        <is>
          <t>2024-01</t>
        </is>
      </c>
      <c r="B140" s="13" t="inlineStr">
        <is>
          <t>充電樁</t>
        </is>
      </c>
      <c r="C140" s="13" t="inlineStr">
        <is>
          <t>上期餘額</t>
        </is>
      </c>
      <c r="D140" s="7" t="n"/>
      <c r="E140" s="104" t="n">
        <v>1014486</v>
      </c>
    </row>
    <row r="141" ht="18" customHeight="1" s="84">
      <c r="A141" s="34" t="inlineStr">
        <is>
          <t>2024-01</t>
        </is>
      </c>
      <c r="B141" s="10" t="inlineStr">
        <is>
          <t>充電樁</t>
        </is>
      </c>
      <c r="C141" s="10" t="inlineStr">
        <is>
          <t>本月小計</t>
        </is>
      </c>
      <c r="D141" s="10" t="inlineStr">
        <is>
          <t>收 0 / 支 0</t>
        </is>
      </c>
      <c r="E141" s="106" t="n">
        <v>1014486</v>
      </c>
    </row>
    <row r="142" ht="15" customHeight="1" s="84">
      <c r="A142" s="7" t="inlineStr">
        <is>
          <t>2024-01</t>
        </is>
      </c>
      <c r="B142" s="13" t="inlineStr">
        <is>
          <t>電梯</t>
        </is>
      </c>
      <c r="C142" s="13" t="inlineStr">
        <is>
          <t>上期餘額</t>
        </is>
      </c>
      <c r="D142" s="7" t="n"/>
      <c r="E142" s="104" t="n">
        <v>1014486</v>
      </c>
    </row>
    <row r="143" ht="18" customHeight="1" s="84">
      <c r="A143" s="34" t="inlineStr">
        <is>
          <t>2024-01</t>
        </is>
      </c>
      <c r="B143" s="10" t="inlineStr">
        <is>
          <t>電梯</t>
        </is>
      </c>
      <c r="C143" s="10" t="inlineStr">
        <is>
          <t>本月小計</t>
        </is>
      </c>
      <c r="D143" s="10" t="inlineStr">
        <is>
          <t>收 0 / 支 0</t>
        </is>
      </c>
      <c r="E143" s="106" t="n">
        <v>1014486</v>
      </c>
    </row>
    <row r="144" ht="15" customHeight="1" s="84">
      <c r="A144" s="7" t="inlineStr">
        <is>
          <t>2024-02</t>
        </is>
      </c>
      <c r="B144" s="13" t="inlineStr">
        <is>
          <t>充電樁</t>
        </is>
      </c>
      <c r="C144" s="13" t="inlineStr">
        <is>
          <t>上期餘額</t>
        </is>
      </c>
      <c r="D144" s="7" t="n"/>
      <c r="E144" s="104" t="n">
        <v>1000195</v>
      </c>
    </row>
    <row r="145" ht="18" customHeight="1" s="84">
      <c r="A145" s="34" t="inlineStr">
        <is>
          <t>2024-02</t>
        </is>
      </c>
      <c r="B145" s="10" t="inlineStr">
        <is>
          <t>充電樁</t>
        </is>
      </c>
      <c r="C145" s="10" t="inlineStr">
        <is>
          <t>本月小計</t>
        </is>
      </c>
      <c r="D145" s="10" t="inlineStr">
        <is>
          <t>收 0 / 支 0</t>
        </is>
      </c>
      <c r="E145" s="106" t="n">
        <v>1000195</v>
      </c>
    </row>
    <row r="146" ht="15" customHeight="1" s="84">
      <c r="A146" s="7" t="inlineStr">
        <is>
          <t>2024-02</t>
        </is>
      </c>
      <c r="B146" s="13" t="inlineStr">
        <is>
          <t>電梯</t>
        </is>
      </c>
      <c r="C146" s="13" t="inlineStr">
        <is>
          <t>上期餘額</t>
        </is>
      </c>
      <c r="D146" s="7" t="n"/>
      <c r="E146" s="104" t="n">
        <v>1000195</v>
      </c>
    </row>
    <row r="147" ht="18" customHeight="1" s="84">
      <c r="A147" s="34" t="inlineStr">
        <is>
          <t>2024-02</t>
        </is>
      </c>
      <c r="B147" s="10" t="inlineStr">
        <is>
          <t>電梯</t>
        </is>
      </c>
      <c r="C147" s="10" t="inlineStr">
        <is>
          <t>本月小計</t>
        </is>
      </c>
      <c r="D147" s="10" t="inlineStr">
        <is>
          <t>收 0 / 支 0</t>
        </is>
      </c>
      <c r="E147" s="106" t="n">
        <v>1000195</v>
      </c>
    </row>
    <row r="148" ht="15" customHeight="1" s="84">
      <c r="A148" s="7" t="inlineStr">
        <is>
          <t>2024-03</t>
        </is>
      </c>
      <c r="B148" s="13" t="inlineStr">
        <is>
          <t>充電樁</t>
        </is>
      </c>
      <c r="C148" s="13" t="inlineStr">
        <is>
          <t>上期餘額</t>
        </is>
      </c>
      <c r="D148" s="7" t="n"/>
      <c r="E148" s="104" t="n">
        <v>1070587</v>
      </c>
    </row>
    <row r="149" ht="18" customHeight="1" s="84">
      <c r="A149" s="34" t="inlineStr">
        <is>
          <t>2024-03</t>
        </is>
      </c>
      <c r="B149" s="10" t="inlineStr">
        <is>
          <t>充電樁</t>
        </is>
      </c>
      <c r="C149" s="10" t="inlineStr">
        <is>
          <t>本月小計</t>
        </is>
      </c>
      <c r="D149" s="10" t="inlineStr">
        <is>
          <t>收 0 / 支 0</t>
        </is>
      </c>
      <c r="E149" s="106" t="n">
        <v>1070587</v>
      </c>
    </row>
    <row r="150" ht="15" customHeight="1" s="84">
      <c r="A150" s="7" t="inlineStr">
        <is>
          <t>2024-03</t>
        </is>
      </c>
      <c r="B150" s="13" t="inlineStr">
        <is>
          <t>電梯</t>
        </is>
      </c>
      <c r="C150" s="13" t="inlineStr">
        <is>
          <t>上期餘額</t>
        </is>
      </c>
      <c r="D150" s="7" t="n"/>
      <c r="E150" s="104" t="n">
        <v>1070587</v>
      </c>
    </row>
    <row r="151" ht="18" customHeight="1" s="84">
      <c r="A151" s="34" t="inlineStr">
        <is>
          <t>2024-03</t>
        </is>
      </c>
      <c r="B151" s="10" t="inlineStr">
        <is>
          <t>電梯</t>
        </is>
      </c>
      <c r="C151" s="10" t="inlineStr">
        <is>
          <t>本月小計</t>
        </is>
      </c>
      <c r="D151" s="10" t="inlineStr">
        <is>
          <t>收 0 / 支 0</t>
        </is>
      </c>
      <c r="E151" s="106" t="n">
        <v>1070587</v>
      </c>
    </row>
    <row r="152" ht="15" customHeight="1" s="84">
      <c r="A152" s="7" t="inlineStr">
        <is>
          <t>2024-04</t>
        </is>
      </c>
      <c r="B152" s="13" t="inlineStr">
        <is>
          <t>充電樁</t>
        </is>
      </c>
      <c r="C152" s="13" t="inlineStr">
        <is>
          <t>上期餘額</t>
        </is>
      </c>
      <c r="D152" s="7" t="n"/>
      <c r="E152" s="104" t="n">
        <v>1116326</v>
      </c>
    </row>
    <row r="153" ht="18" customHeight="1" s="84">
      <c r="A153" s="34" t="inlineStr">
        <is>
          <t>2024-04</t>
        </is>
      </c>
      <c r="B153" s="10" t="inlineStr">
        <is>
          <t>充電樁</t>
        </is>
      </c>
      <c r="C153" s="10" t="inlineStr">
        <is>
          <t>本月小計</t>
        </is>
      </c>
      <c r="D153" s="10" t="inlineStr">
        <is>
          <t>收 0 / 支 0</t>
        </is>
      </c>
      <c r="E153" s="106" t="n">
        <v>1116326</v>
      </c>
    </row>
    <row r="154" ht="15" customHeight="1" s="84">
      <c r="A154" s="7" t="inlineStr">
        <is>
          <t>2024-04</t>
        </is>
      </c>
      <c r="B154" s="13" t="inlineStr">
        <is>
          <t>電梯</t>
        </is>
      </c>
      <c r="C154" s="13" t="inlineStr">
        <is>
          <t>上期餘額</t>
        </is>
      </c>
      <c r="D154" s="7" t="n"/>
      <c r="E154" s="104" t="n">
        <v>1116326</v>
      </c>
    </row>
    <row r="155" ht="18" customHeight="1" s="84">
      <c r="A155" s="34" t="inlineStr">
        <is>
          <t>2024-04</t>
        </is>
      </c>
      <c r="B155" s="10" t="inlineStr">
        <is>
          <t>電梯</t>
        </is>
      </c>
      <c r="C155" s="10" t="inlineStr">
        <is>
          <t>本月小計</t>
        </is>
      </c>
      <c r="D155" s="10" t="inlineStr">
        <is>
          <t>收 0 / 支 0</t>
        </is>
      </c>
      <c r="E155" s="106" t="n">
        <v>1116326</v>
      </c>
    </row>
    <row r="156" ht="15" customHeight="1" s="84">
      <c r="A156" s="7" t="inlineStr">
        <is>
          <t>2024-05</t>
        </is>
      </c>
      <c r="B156" s="13" t="inlineStr">
        <is>
          <t>充電樁</t>
        </is>
      </c>
      <c r="C156" s="13" t="inlineStr">
        <is>
          <t>上期餘額</t>
        </is>
      </c>
      <c r="D156" s="7" t="n"/>
      <c r="E156" s="104" t="n">
        <v>1092449</v>
      </c>
    </row>
    <row r="157" ht="18" customHeight="1" s="84">
      <c r="A157" s="34" t="inlineStr">
        <is>
          <t>2024-05</t>
        </is>
      </c>
      <c r="B157" s="10" t="inlineStr">
        <is>
          <t>充電樁</t>
        </is>
      </c>
      <c r="C157" s="10" t="inlineStr">
        <is>
          <t>本月小計</t>
        </is>
      </c>
      <c r="D157" s="10" t="inlineStr">
        <is>
          <t>收 0 / 支 0</t>
        </is>
      </c>
      <c r="E157" s="106" t="n">
        <v>1092449</v>
      </c>
    </row>
    <row r="158" ht="15" customHeight="1" s="84">
      <c r="A158" s="7" t="inlineStr">
        <is>
          <t>2024-05</t>
        </is>
      </c>
      <c r="B158" s="13" t="inlineStr">
        <is>
          <t>電梯</t>
        </is>
      </c>
      <c r="C158" s="13" t="inlineStr">
        <is>
          <t>上期餘額</t>
        </is>
      </c>
      <c r="D158" s="7" t="n"/>
      <c r="E158" s="104" t="n">
        <v>1092449</v>
      </c>
    </row>
    <row r="159" ht="18" customHeight="1" s="84">
      <c r="A159" s="34" t="inlineStr">
        <is>
          <t>2024-05</t>
        </is>
      </c>
      <c r="B159" s="10" t="inlineStr">
        <is>
          <t>電梯</t>
        </is>
      </c>
      <c r="C159" s="10" t="inlineStr">
        <is>
          <t>本月小計</t>
        </is>
      </c>
      <c r="D159" s="10" t="inlineStr">
        <is>
          <t>收 0 / 支 0</t>
        </is>
      </c>
      <c r="E159" s="106" t="n">
        <v>1092449</v>
      </c>
    </row>
    <row r="160" ht="15" customHeight="1" s="84">
      <c r="A160" s="7" t="inlineStr">
        <is>
          <t>2024-06</t>
        </is>
      </c>
      <c r="B160" s="13" t="inlineStr">
        <is>
          <t>充電樁</t>
        </is>
      </c>
      <c r="C160" s="13" t="inlineStr">
        <is>
          <t>上期餘額</t>
        </is>
      </c>
      <c r="D160" s="7" t="n"/>
      <c r="E160" s="104" t="n">
        <v>1236561</v>
      </c>
    </row>
    <row r="161" ht="18" customHeight="1" s="84">
      <c r="A161" s="34" t="inlineStr">
        <is>
          <t>2024-06</t>
        </is>
      </c>
      <c r="B161" s="10" t="inlineStr">
        <is>
          <t>充電樁</t>
        </is>
      </c>
      <c r="C161" s="10" t="inlineStr">
        <is>
          <t>本月小計</t>
        </is>
      </c>
      <c r="D161" s="10" t="inlineStr">
        <is>
          <t>收 0 / 支 0</t>
        </is>
      </c>
      <c r="E161" s="106" t="n">
        <v>1236561</v>
      </c>
    </row>
    <row r="162" ht="15" customHeight="1" s="84">
      <c r="A162" s="7" t="inlineStr">
        <is>
          <t>2024-06</t>
        </is>
      </c>
      <c r="B162" s="13" t="inlineStr">
        <is>
          <t>電梯</t>
        </is>
      </c>
      <c r="C162" s="13" t="inlineStr">
        <is>
          <t>上期餘額</t>
        </is>
      </c>
      <c r="D162" s="7" t="n"/>
      <c r="E162" s="104" t="n">
        <v>1236561</v>
      </c>
    </row>
    <row r="163" ht="18" customHeight="1" s="84">
      <c r="A163" s="34" t="inlineStr">
        <is>
          <t>2024-06</t>
        </is>
      </c>
      <c r="B163" s="10" t="inlineStr">
        <is>
          <t>電梯</t>
        </is>
      </c>
      <c r="C163" s="10" t="inlineStr">
        <is>
          <t>本月小計</t>
        </is>
      </c>
      <c r="D163" s="10" t="inlineStr">
        <is>
          <t>收 0 / 支 0</t>
        </is>
      </c>
      <c r="E163" s="106" t="n">
        <v>1236561</v>
      </c>
    </row>
    <row r="164" ht="15" customHeight="1" s="84">
      <c r="A164" s="7" t="inlineStr">
        <is>
          <t>2024-07</t>
        </is>
      </c>
      <c r="B164" s="13" t="inlineStr">
        <is>
          <t>充電樁</t>
        </is>
      </c>
      <c r="C164" s="13" t="inlineStr">
        <is>
          <t>上期餘額</t>
        </is>
      </c>
      <c r="D164" s="7" t="n"/>
      <c r="E164" s="104" t="n">
        <v>1314291</v>
      </c>
    </row>
    <row r="165" ht="18" customHeight="1" s="84">
      <c r="A165" s="34" t="inlineStr">
        <is>
          <t>2024-07</t>
        </is>
      </c>
      <c r="B165" s="10" t="inlineStr">
        <is>
          <t>充電樁</t>
        </is>
      </c>
      <c r="C165" s="10" t="inlineStr">
        <is>
          <t>本月小計</t>
        </is>
      </c>
      <c r="D165" s="10" t="inlineStr">
        <is>
          <t>收 0 / 支 0</t>
        </is>
      </c>
      <c r="E165" s="106" t="n">
        <v>1314291</v>
      </c>
    </row>
    <row r="166" ht="15" customHeight="1" s="84">
      <c r="A166" s="7" t="inlineStr">
        <is>
          <t>2024-07</t>
        </is>
      </c>
      <c r="B166" s="13" t="inlineStr">
        <is>
          <t>電梯</t>
        </is>
      </c>
      <c r="C166" s="13" t="inlineStr">
        <is>
          <t>上期餘額</t>
        </is>
      </c>
      <c r="D166" s="7" t="n"/>
      <c r="E166" s="104" t="n">
        <v>1314291</v>
      </c>
    </row>
    <row r="167" ht="18" customHeight="1" s="84">
      <c r="A167" s="34" t="inlineStr">
        <is>
          <t>2024-07</t>
        </is>
      </c>
      <c r="B167" s="10" t="inlineStr">
        <is>
          <t>電梯</t>
        </is>
      </c>
      <c r="C167" s="10" t="inlineStr">
        <is>
          <t>本月小計</t>
        </is>
      </c>
      <c r="D167" s="10" t="inlineStr">
        <is>
          <t>收 0 / 支 0</t>
        </is>
      </c>
      <c r="E167" s="106" t="n">
        <v>1314291</v>
      </c>
    </row>
    <row r="168" ht="15" customHeight="1" s="84">
      <c r="A168" s="7" t="inlineStr">
        <is>
          <t>2024-08</t>
        </is>
      </c>
      <c r="B168" s="13" t="inlineStr">
        <is>
          <t>充電樁</t>
        </is>
      </c>
      <c r="C168" s="13" t="inlineStr">
        <is>
          <t>上期餘額</t>
        </is>
      </c>
      <c r="D168" s="7" t="n"/>
      <c r="E168" s="104" t="n">
        <v>1307031</v>
      </c>
    </row>
    <row r="169" ht="15" customHeight="1" s="84">
      <c r="A169" s="7" t="inlineStr">
        <is>
          <t>2024-08</t>
        </is>
      </c>
      <c r="B169" s="13" t="inlineStr">
        <is>
          <t>充電樁</t>
        </is>
      </c>
      <c r="C169" s="13" t="inlineStr">
        <is>
          <t>收入</t>
        </is>
      </c>
      <c r="D169" s="13" t="inlineStr">
        <is>
          <t>戶數</t>
        </is>
      </c>
      <c r="E169" s="104" t="n">
        <v>9</v>
      </c>
    </row>
    <row r="170" ht="18" customHeight="1" s="84">
      <c r="A170" s="34" t="inlineStr">
        <is>
          <t>2024-08</t>
        </is>
      </c>
      <c r="B170" s="10" t="inlineStr">
        <is>
          <t>充電樁</t>
        </is>
      </c>
      <c r="C170" s="10" t="inlineStr">
        <is>
          <t>本月小計</t>
        </is>
      </c>
      <c r="D170" s="10" t="inlineStr">
        <is>
          <t>收 9 / 支 0</t>
        </is>
      </c>
      <c r="E170" s="106" t="n">
        <v>1307040</v>
      </c>
    </row>
    <row r="171" ht="15" customHeight="1" s="84">
      <c r="A171" s="7" t="inlineStr">
        <is>
          <t>2024-08</t>
        </is>
      </c>
      <c r="B171" s="13" t="inlineStr">
        <is>
          <t>電梯</t>
        </is>
      </c>
      <c r="C171" s="13" t="inlineStr">
        <is>
          <t>上期餘額</t>
        </is>
      </c>
      <c r="D171" s="7" t="n"/>
      <c r="E171" s="104" t="n">
        <v>1307031</v>
      </c>
    </row>
    <row r="172" ht="15" customHeight="1" s="84">
      <c r="A172" s="7" t="inlineStr">
        <is>
          <t>2024-08</t>
        </is>
      </c>
      <c r="B172" s="13" t="inlineStr">
        <is>
          <t>電梯</t>
        </is>
      </c>
      <c r="C172" s="13" t="inlineStr">
        <is>
          <t>收入</t>
        </is>
      </c>
      <c r="D172" s="13" t="inlineStr">
        <is>
          <t>戶數</t>
        </is>
      </c>
      <c r="E172" s="104" t="n">
        <v>9</v>
      </c>
    </row>
    <row r="173" ht="18" customHeight="1" s="84">
      <c r="A173" s="34" t="inlineStr">
        <is>
          <t>2024-08</t>
        </is>
      </c>
      <c r="B173" s="10" t="inlineStr">
        <is>
          <t>電梯</t>
        </is>
      </c>
      <c r="C173" s="10" t="inlineStr">
        <is>
          <t>本月小計</t>
        </is>
      </c>
      <c r="D173" s="10" t="inlineStr">
        <is>
          <t>收 9 / 支 0</t>
        </is>
      </c>
      <c r="E173" s="106" t="n">
        <v>1307040</v>
      </c>
    </row>
    <row r="174" ht="15" customHeight="1" s="84">
      <c r="A174" s="7" t="inlineStr">
        <is>
          <t>2024-09</t>
        </is>
      </c>
      <c r="B174" s="13" t="inlineStr">
        <is>
          <t>充電樁</t>
        </is>
      </c>
      <c r="C174" s="13" t="inlineStr">
        <is>
          <t>上期餘額</t>
        </is>
      </c>
      <c r="D174" s="7" t="n"/>
      <c r="E174" s="104" t="n">
        <v>1386923</v>
      </c>
    </row>
    <row r="175" ht="18" customHeight="1" s="84">
      <c r="A175" s="34" t="inlineStr">
        <is>
          <t>2024-09</t>
        </is>
      </c>
      <c r="B175" s="10" t="inlineStr">
        <is>
          <t>充電樁</t>
        </is>
      </c>
      <c r="C175" s="10" t="inlineStr">
        <is>
          <t>本月小計</t>
        </is>
      </c>
      <c r="D175" s="10" t="inlineStr">
        <is>
          <t>收 0 / 支 0</t>
        </is>
      </c>
      <c r="E175" s="106" t="n">
        <v>1386923</v>
      </c>
    </row>
    <row r="176" ht="15" customHeight="1" s="84">
      <c r="A176" s="7" t="inlineStr">
        <is>
          <t>2024-09</t>
        </is>
      </c>
      <c r="B176" s="13" t="inlineStr">
        <is>
          <t>電梯</t>
        </is>
      </c>
      <c r="C176" s="13" t="inlineStr">
        <is>
          <t>上期餘額</t>
        </is>
      </c>
      <c r="D176" s="7" t="n"/>
      <c r="E176" s="104" t="n">
        <v>1386923</v>
      </c>
    </row>
    <row r="177" ht="18" customHeight="1" s="84">
      <c r="A177" s="34" t="inlineStr">
        <is>
          <t>2024-09</t>
        </is>
      </c>
      <c r="B177" s="10" t="inlineStr">
        <is>
          <t>電梯</t>
        </is>
      </c>
      <c r="C177" s="10" t="inlineStr">
        <is>
          <t>本月小計</t>
        </is>
      </c>
      <c r="D177" s="10" t="inlineStr">
        <is>
          <t>收 0 / 支 0</t>
        </is>
      </c>
      <c r="E177" s="106" t="n">
        <v>1386923</v>
      </c>
    </row>
    <row r="178" ht="15" customHeight="1" s="84">
      <c r="A178" s="7" t="inlineStr">
        <is>
          <t>2024-11</t>
        </is>
      </c>
      <c r="B178" s="13" t="inlineStr">
        <is>
          <t>充電樁</t>
        </is>
      </c>
      <c r="C178" s="13" t="inlineStr">
        <is>
          <t>上期餘額</t>
        </is>
      </c>
      <c r="D178" s="7" t="n"/>
      <c r="E178" s="104" t="n">
        <v>1193825</v>
      </c>
    </row>
    <row r="179" ht="18" customHeight="1" s="84">
      <c r="A179" s="34" t="inlineStr">
        <is>
          <t>2024-11</t>
        </is>
      </c>
      <c r="B179" s="10" t="inlineStr">
        <is>
          <t>充電樁</t>
        </is>
      </c>
      <c r="C179" s="10" t="inlineStr">
        <is>
          <t>本月小計</t>
        </is>
      </c>
      <c r="D179" s="10" t="inlineStr">
        <is>
          <t>收 0 / 支 0</t>
        </is>
      </c>
      <c r="E179" s="106" t="n">
        <v>1193825</v>
      </c>
    </row>
    <row r="180" ht="15" customHeight="1" s="84">
      <c r="A180" s="7" t="inlineStr">
        <is>
          <t>2024-11</t>
        </is>
      </c>
      <c r="B180" s="13" t="inlineStr">
        <is>
          <t>電梯</t>
        </is>
      </c>
      <c r="C180" s="13" t="inlineStr">
        <is>
          <t>上期餘額</t>
        </is>
      </c>
      <c r="D180" s="7" t="n"/>
      <c r="E180" s="104" t="n">
        <v>1193825</v>
      </c>
    </row>
    <row r="181" ht="18" customHeight="1" s="84">
      <c r="A181" s="34" t="inlineStr">
        <is>
          <t>2024-11</t>
        </is>
      </c>
      <c r="B181" s="10" t="inlineStr">
        <is>
          <t>電梯</t>
        </is>
      </c>
      <c r="C181" s="10" t="inlineStr">
        <is>
          <t>本月小計</t>
        </is>
      </c>
      <c r="D181" s="10" t="inlineStr">
        <is>
          <t>收 0 / 支 0</t>
        </is>
      </c>
      <c r="E181" s="106" t="n">
        <v>1193825</v>
      </c>
    </row>
    <row r="182" ht="15" customHeight="1" s="84">
      <c r="A182" s="7" t="inlineStr">
        <is>
          <t>2024-12</t>
        </is>
      </c>
      <c r="B182" s="13" t="inlineStr">
        <is>
          <t>充電樁</t>
        </is>
      </c>
      <c r="C182" s="13" t="inlineStr">
        <is>
          <t>上期餘額</t>
        </is>
      </c>
      <c r="D182" s="7" t="n"/>
      <c r="E182" s="104" t="n">
        <v>1176659</v>
      </c>
    </row>
    <row r="183" ht="18" customHeight="1" s="84">
      <c r="A183" s="34" t="inlineStr">
        <is>
          <t>2024-12</t>
        </is>
      </c>
      <c r="B183" s="10" t="inlineStr">
        <is>
          <t>充電樁</t>
        </is>
      </c>
      <c r="C183" s="10" t="inlineStr">
        <is>
          <t>本月小計</t>
        </is>
      </c>
      <c r="D183" s="10" t="inlineStr">
        <is>
          <t>收 0 / 支 0</t>
        </is>
      </c>
      <c r="E183" s="106" t="n">
        <v>1176659</v>
      </c>
    </row>
    <row r="184" ht="15" customHeight="1" s="84">
      <c r="A184" s="7" t="inlineStr">
        <is>
          <t>2024-12</t>
        </is>
      </c>
      <c r="B184" s="13" t="inlineStr">
        <is>
          <t>電梯</t>
        </is>
      </c>
      <c r="C184" s="13" t="inlineStr">
        <is>
          <t>上期餘額</t>
        </is>
      </c>
      <c r="D184" s="7" t="n"/>
      <c r="E184" s="104" t="n">
        <v>1176659</v>
      </c>
    </row>
    <row r="185" ht="18" customHeight="1" s="84">
      <c r="A185" s="34" t="inlineStr">
        <is>
          <t>2024-12</t>
        </is>
      </c>
      <c r="B185" s="10" t="inlineStr">
        <is>
          <t>電梯</t>
        </is>
      </c>
      <c r="C185" s="10" t="inlineStr">
        <is>
          <t>本月小計</t>
        </is>
      </c>
      <c r="D185" s="10" t="inlineStr">
        <is>
          <t>收 0 / 支 0</t>
        </is>
      </c>
      <c r="E185" s="106" t="n">
        <v>1176659</v>
      </c>
    </row>
    <row r="186" ht="15" customHeight="1" s="84">
      <c r="A186" s="7" t="inlineStr">
        <is>
          <t>2025-01</t>
        </is>
      </c>
      <c r="B186" s="13" t="inlineStr">
        <is>
          <t>充電樁</t>
        </is>
      </c>
      <c r="C186" s="13" t="inlineStr">
        <is>
          <t>上期餘額</t>
        </is>
      </c>
      <c r="D186" s="7" t="n"/>
      <c r="E186" s="104" t="n">
        <v>1161931</v>
      </c>
    </row>
    <row r="187" ht="18" customHeight="1" s="84">
      <c r="A187" s="34" t="inlineStr">
        <is>
          <t>2025-01</t>
        </is>
      </c>
      <c r="B187" s="10" t="inlineStr">
        <is>
          <t>充電樁</t>
        </is>
      </c>
      <c r="C187" s="10" t="inlineStr">
        <is>
          <t>本月小計</t>
        </is>
      </c>
      <c r="D187" s="10" t="inlineStr">
        <is>
          <t>收 0 / 支 0</t>
        </is>
      </c>
      <c r="E187" s="106" t="n">
        <v>1161931</v>
      </c>
    </row>
    <row r="188" ht="15" customHeight="1" s="84">
      <c r="A188" s="7" t="inlineStr">
        <is>
          <t>2025-01</t>
        </is>
      </c>
      <c r="B188" s="13" t="inlineStr">
        <is>
          <t>電梯</t>
        </is>
      </c>
      <c r="C188" s="13" t="inlineStr">
        <is>
          <t>上期餘額</t>
        </is>
      </c>
      <c r="D188" s="7" t="n"/>
      <c r="E188" s="104" t="n">
        <v>1161931</v>
      </c>
    </row>
    <row r="189" ht="18" customHeight="1" s="84">
      <c r="A189" s="34" t="inlineStr">
        <is>
          <t>2025-01</t>
        </is>
      </c>
      <c r="B189" s="10" t="inlineStr">
        <is>
          <t>電梯</t>
        </is>
      </c>
      <c r="C189" s="10" t="inlineStr">
        <is>
          <t>本月小計</t>
        </is>
      </c>
      <c r="D189" s="10" t="inlineStr">
        <is>
          <t>收 0 / 支 0</t>
        </is>
      </c>
      <c r="E189" s="106" t="n">
        <v>1161931</v>
      </c>
    </row>
    <row r="190" ht="15" customHeight="1" s="84">
      <c r="A190" s="7" t="inlineStr">
        <is>
          <t>2025-02</t>
        </is>
      </c>
      <c r="B190" s="13" t="inlineStr">
        <is>
          <t>充電樁</t>
        </is>
      </c>
      <c r="C190" s="13" t="inlineStr">
        <is>
          <t>上期餘額</t>
        </is>
      </c>
      <c r="D190" s="7" t="n"/>
      <c r="E190" s="104" t="n">
        <v>1140860</v>
      </c>
    </row>
    <row r="191" ht="18" customHeight="1" s="84">
      <c r="A191" s="34" t="inlineStr">
        <is>
          <t>2025-02</t>
        </is>
      </c>
      <c r="B191" s="10" t="inlineStr">
        <is>
          <t>充電樁</t>
        </is>
      </c>
      <c r="C191" s="10" t="inlineStr">
        <is>
          <t>本月小計</t>
        </is>
      </c>
      <c r="D191" s="10" t="inlineStr">
        <is>
          <t>收 0 / 支 0</t>
        </is>
      </c>
      <c r="E191" s="106" t="n">
        <v>1140860</v>
      </c>
    </row>
    <row r="192" ht="15" customHeight="1" s="84">
      <c r="A192" s="7" t="inlineStr">
        <is>
          <t>2025-02</t>
        </is>
      </c>
      <c r="B192" s="13" t="inlineStr">
        <is>
          <t>電梯</t>
        </is>
      </c>
      <c r="C192" s="13" t="inlineStr">
        <is>
          <t>上期餘額</t>
        </is>
      </c>
      <c r="D192" s="7" t="n"/>
      <c r="E192" s="104" t="n">
        <v>1140860</v>
      </c>
    </row>
    <row r="193" ht="18" customHeight="1" s="84">
      <c r="A193" s="34" t="inlineStr">
        <is>
          <t>2025-02</t>
        </is>
      </c>
      <c r="B193" s="10" t="inlineStr">
        <is>
          <t>電梯</t>
        </is>
      </c>
      <c r="C193" s="10" t="inlineStr">
        <is>
          <t>本月小計</t>
        </is>
      </c>
      <c r="D193" s="10" t="inlineStr">
        <is>
          <t>收 0 / 支 0</t>
        </is>
      </c>
      <c r="E193" s="106" t="n">
        <v>1140860</v>
      </c>
    </row>
    <row r="194" ht="15" customHeight="1" s="84">
      <c r="A194" s="7" t="inlineStr">
        <is>
          <t>2025-03</t>
        </is>
      </c>
      <c r="B194" s="13" t="inlineStr">
        <is>
          <t>充電樁</t>
        </is>
      </c>
      <c r="C194" s="13" t="inlineStr">
        <is>
          <t>上期餘額</t>
        </is>
      </c>
      <c r="D194" s="7" t="n"/>
      <c r="E194" s="104" t="n">
        <v>1121659</v>
      </c>
    </row>
    <row r="195" ht="18" customHeight="1" s="84">
      <c r="A195" s="34" t="inlineStr">
        <is>
          <t>2025-03</t>
        </is>
      </c>
      <c r="B195" s="10" t="inlineStr">
        <is>
          <t>充電樁</t>
        </is>
      </c>
      <c r="C195" s="10" t="inlineStr">
        <is>
          <t>本月小計</t>
        </is>
      </c>
      <c r="D195" s="10" t="inlineStr">
        <is>
          <t>收 0 / 支 0</t>
        </is>
      </c>
      <c r="E195" s="106" t="n">
        <v>1121659</v>
      </c>
    </row>
    <row r="196" ht="15" customHeight="1" s="84">
      <c r="A196" s="7" t="inlineStr">
        <is>
          <t>2025-03</t>
        </is>
      </c>
      <c r="B196" s="13" t="inlineStr">
        <is>
          <t>電梯</t>
        </is>
      </c>
      <c r="C196" s="13" t="inlineStr">
        <is>
          <t>上期餘額</t>
        </is>
      </c>
      <c r="D196" s="7" t="n"/>
      <c r="E196" s="104" t="n">
        <v>1121659</v>
      </c>
    </row>
    <row r="197" ht="18" customHeight="1" s="84">
      <c r="A197" s="34" t="inlineStr">
        <is>
          <t>2025-03</t>
        </is>
      </c>
      <c r="B197" s="10" t="inlineStr">
        <is>
          <t>電梯</t>
        </is>
      </c>
      <c r="C197" s="10" t="inlineStr">
        <is>
          <t>本月小計</t>
        </is>
      </c>
      <c r="D197" s="10" t="inlineStr">
        <is>
          <t>收 0 / 支 0</t>
        </is>
      </c>
      <c r="E197" s="106" t="n">
        <v>1121659</v>
      </c>
    </row>
    <row r="198" ht="15" customHeight="1" s="84">
      <c r="A198" s="7" t="inlineStr">
        <is>
          <t>2025-04</t>
        </is>
      </c>
      <c r="B198" s="13" t="inlineStr">
        <is>
          <t>充電樁</t>
        </is>
      </c>
      <c r="C198" s="13" t="inlineStr">
        <is>
          <t>上期餘額</t>
        </is>
      </c>
      <c r="D198" s="7" t="n"/>
      <c r="E198" s="104" t="n">
        <v>1101048</v>
      </c>
    </row>
    <row r="199" ht="18" customHeight="1" s="84">
      <c r="A199" s="34" t="inlineStr">
        <is>
          <t>2025-04</t>
        </is>
      </c>
      <c r="B199" s="10" t="inlineStr">
        <is>
          <t>充電樁</t>
        </is>
      </c>
      <c r="C199" s="10" t="inlineStr">
        <is>
          <t>本月小計</t>
        </is>
      </c>
      <c r="D199" s="10" t="inlineStr">
        <is>
          <t>收 0 / 支 0</t>
        </is>
      </c>
      <c r="E199" s="106" t="n">
        <v>1101048</v>
      </c>
    </row>
    <row r="200" ht="15" customHeight="1" s="84">
      <c r="A200" s="7" t="inlineStr">
        <is>
          <t>2025-04</t>
        </is>
      </c>
      <c r="B200" s="13" t="inlineStr">
        <is>
          <t>電梯</t>
        </is>
      </c>
      <c r="C200" s="13" t="inlineStr">
        <is>
          <t>上期餘額</t>
        </is>
      </c>
      <c r="D200" s="7" t="n"/>
      <c r="E200" s="104" t="n">
        <v>1101048</v>
      </c>
    </row>
    <row r="201" ht="18" customHeight="1" s="84">
      <c r="A201" s="34" t="inlineStr">
        <is>
          <t>2025-04</t>
        </is>
      </c>
      <c r="B201" s="10" t="inlineStr">
        <is>
          <t>電梯</t>
        </is>
      </c>
      <c r="C201" s="10" t="inlineStr">
        <is>
          <t>本月小計</t>
        </is>
      </c>
      <c r="D201" s="10" t="inlineStr">
        <is>
          <t>收 0 / 支 0</t>
        </is>
      </c>
      <c r="E201" s="106" t="n">
        <v>1101048</v>
      </c>
    </row>
    <row r="202" ht="15" customHeight="1" s="84">
      <c r="A202" s="7" t="inlineStr">
        <is>
          <t>2025-05</t>
        </is>
      </c>
      <c r="B202" s="13" t="inlineStr">
        <is>
          <t>充電樁</t>
        </is>
      </c>
      <c r="C202" s="13" t="inlineStr">
        <is>
          <t>上期餘額</t>
        </is>
      </c>
      <c r="D202" s="7" t="n"/>
      <c r="E202" s="104" t="n">
        <v>1129182</v>
      </c>
    </row>
    <row r="203" ht="18" customHeight="1" s="84">
      <c r="A203" s="34" t="inlineStr">
        <is>
          <t>2025-05</t>
        </is>
      </c>
      <c r="B203" s="10" t="inlineStr">
        <is>
          <t>充電樁</t>
        </is>
      </c>
      <c r="C203" s="10" t="inlineStr">
        <is>
          <t>本月小計</t>
        </is>
      </c>
      <c r="D203" s="10" t="inlineStr">
        <is>
          <t>收 0 / 支 0</t>
        </is>
      </c>
      <c r="E203" s="106" t="n">
        <v>1129182</v>
      </c>
    </row>
    <row r="204" ht="15" customHeight="1" s="84">
      <c r="A204" s="7" t="inlineStr">
        <is>
          <t>2025-05</t>
        </is>
      </c>
      <c r="B204" s="13" t="inlineStr">
        <is>
          <t>電梯</t>
        </is>
      </c>
      <c r="C204" s="13" t="inlineStr">
        <is>
          <t>上期餘額</t>
        </is>
      </c>
      <c r="D204" s="7" t="n"/>
      <c r="E204" s="104" t="n">
        <v>1129182</v>
      </c>
    </row>
    <row r="205" ht="18" customHeight="1" s="84">
      <c r="A205" s="34" t="inlineStr">
        <is>
          <t>2025-05</t>
        </is>
      </c>
      <c r="B205" s="10" t="inlineStr">
        <is>
          <t>電梯</t>
        </is>
      </c>
      <c r="C205" s="10" t="inlineStr">
        <is>
          <t>本月小計</t>
        </is>
      </c>
      <c r="D205" s="10" t="inlineStr">
        <is>
          <t>收 0 / 支 0</t>
        </is>
      </c>
      <c r="E205" s="106" t="n">
        <v>1129182</v>
      </c>
    </row>
    <row r="206" ht="15" customHeight="1" s="84">
      <c r="A206" s="7" t="inlineStr">
        <is>
          <t>2025-06</t>
        </is>
      </c>
      <c r="B206" s="13" t="inlineStr">
        <is>
          <t>充電樁</t>
        </is>
      </c>
      <c r="C206" s="13" t="inlineStr">
        <is>
          <t>上期餘額</t>
        </is>
      </c>
      <c r="D206" s="7" t="n"/>
      <c r="E206" s="104" t="n">
        <v>1264573</v>
      </c>
    </row>
    <row r="207" ht="18" customHeight="1" s="84">
      <c r="A207" s="34" t="inlineStr">
        <is>
          <t>2025-06</t>
        </is>
      </c>
      <c r="B207" s="10" t="inlineStr">
        <is>
          <t>充電樁</t>
        </is>
      </c>
      <c r="C207" s="10" t="inlineStr">
        <is>
          <t>本月小計</t>
        </is>
      </c>
      <c r="D207" s="10" t="inlineStr">
        <is>
          <t>收 0 / 支 0</t>
        </is>
      </c>
      <c r="E207" s="106" t="n">
        <v>1264573</v>
      </c>
    </row>
    <row r="208" ht="15" customHeight="1" s="84">
      <c r="A208" s="7" t="inlineStr">
        <is>
          <t>2025-06</t>
        </is>
      </c>
      <c r="B208" s="13" t="inlineStr">
        <is>
          <t>電梯</t>
        </is>
      </c>
      <c r="C208" s="13" t="inlineStr">
        <is>
          <t>上期餘額</t>
        </is>
      </c>
      <c r="D208" s="7" t="n"/>
      <c r="E208" s="104" t="n">
        <v>1264573</v>
      </c>
    </row>
    <row r="209" ht="18" customHeight="1" s="84">
      <c r="A209" s="34" t="inlineStr">
        <is>
          <t>2025-06</t>
        </is>
      </c>
      <c r="B209" s="10" t="inlineStr">
        <is>
          <t>電梯</t>
        </is>
      </c>
      <c r="C209" s="10" t="inlineStr">
        <is>
          <t>本月小計</t>
        </is>
      </c>
      <c r="D209" s="10" t="inlineStr">
        <is>
          <t>收 0 / 支 0</t>
        </is>
      </c>
      <c r="E209" s="106" t="n">
        <v>1264573</v>
      </c>
    </row>
    <row r="210" ht="15" customHeight="1" s="84">
      <c r="A210" s="7" t="inlineStr">
        <is>
          <t>2025-07</t>
        </is>
      </c>
      <c r="B210" s="13" t="inlineStr">
        <is>
          <t>充電樁</t>
        </is>
      </c>
      <c r="C210" s="13" t="inlineStr">
        <is>
          <t>上期餘額</t>
        </is>
      </c>
      <c r="D210" s="7" t="n"/>
      <c r="E210" s="104" t="n">
        <v>1248400</v>
      </c>
    </row>
    <row r="211" ht="18" customHeight="1" s="84">
      <c r="A211" s="34" t="inlineStr">
        <is>
          <t>2025-07</t>
        </is>
      </c>
      <c r="B211" s="10" t="inlineStr">
        <is>
          <t>充電樁</t>
        </is>
      </c>
      <c r="C211" s="10" t="inlineStr">
        <is>
          <t>本月小計</t>
        </is>
      </c>
      <c r="D211" s="10" t="inlineStr">
        <is>
          <t>收 0 / 支 0</t>
        </is>
      </c>
      <c r="E211" s="106" t="n">
        <v>1248400</v>
      </c>
    </row>
    <row r="212" ht="15" customHeight="1" s="84">
      <c r="A212" s="7" t="inlineStr">
        <is>
          <t>2025-07</t>
        </is>
      </c>
      <c r="B212" s="13" t="inlineStr">
        <is>
          <t>電梯</t>
        </is>
      </c>
      <c r="C212" s="13" t="inlineStr">
        <is>
          <t>上期餘額</t>
        </is>
      </c>
      <c r="D212" s="7" t="n"/>
      <c r="E212" s="104" t="n">
        <v>1248400</v>
      </c>
    </row>
    <row r="213" ht="18" customHeight="1" s="84">
      <c r="A213" s="34" t="inlineStr">
        <is>
          <t>2025-07</t>
        </is>
      </c>
      <c r="B213" s="10" t="inlineStr">
        <is>
          <t>電梯</t>
        </is>
      </c>
      <c r="C213" s="10" t="inlineStr">
        <is>
          <t>本月小計</t>
        </is>
      </c>
      <c r="D213" s="10" t="inlineStr">
        <is>
          <t>收 0 / 支 0</t>
        </is>
      </c>
      <c r="E213" s="106" t="n">
        <v>1248400</v>
      </c>
    </row>
    <row r="214" ht="15" customHeight="1" s="84">
      <c r="A214" s="7" t="inlineStr">
        <is>
          <t>2025-08</t>
        </is>
      </c>
      <c r="B214" s="13" t="inlineStr">
        <is>
          <t>充電樁</t>
        </is>
      </c>
      <c r="C214" s="13" t="inlineStr">
        <is>
          <t>上期餘額</t>
        </is>
      </c>
      <c r="D214" s="7" t="n"/>
      <c r="E214" s="104" t="n">
        <v>1224613</v>
      </c>
    </row>
    <row r="215" ht="15" customHeight="1" s="84">
      <c r="A215" s="7" t="inlineStr">
        <is>
          <t>2025-08</t>
        </is>
      </c>
      <c r="B215" s="13" t="inlineStr">
        <is>
          <t>充電樁</t>
        </is>
      </c>
      <c r="C215" s="13" t="inlineStr">
        <is>
          <t>收入</t>
        </is>
      </c>
      <c r="D215" s="13" t="inlineStr">
        <is>
          <t>戶數</t>
        </is>
      </c>
      <c r="E215" s="104" t="n">
        <v>33</v>
      </c>
    </row>
    <row r="216" ht="15" customHeight="1" s="84">
      <c r="A216" s="7" t="inlineStr">
        <is>
          <t>2025-08</t>
        </is>
      </c>
      <c r="B216" s="13" t="inlineStr">
        <is>
          <t>充電樁</t>
        </is>
      </c>
      <c r="C216" s="13" t="inlineStr">
        <is>
          <t>收入</t>
        </is>
      </c>
      <c r="D216" s="13" t="inlineStr">
        <is>
          <t>未繳總金額</t>
        </is>
      </c>
      <c r="E216" s="104" t="n">
        <v>329655</v>
      </c>
    </row>
    <row r="217" ht="18" customHeight="1" s="84">
      <c r="A217" s="34" t="inlineStr">
        <is>
          <t>2025-08</t>
        </is>
      </c>
      <c r="B217" s="10" t="inlineStr">
        <is>
          <t>充電樁</t>
        </is>
      </c>
      <c r="C217" s="10" t="inlineStr">
        <is>
          <t>本月小計</t>
        </is>
      </c>
      <c r="D217" s="10" t="inlineStr">
        <is>
          <t>收 329,688 / 支 0</t>
        </is>
      </c>
      <c r="E217" s="106" t="n">
        <v>1554301</v>
      </c>
    </row>
    <row r="218" ht="15" customHeight="1" s="84">
      <c r="A218" s="7" t="inlineStr">
        <is>
          <t>2025-08</t>
        </is>
      </c>
      <c r="B218" s="13" t="inlineStr">
        <is>
          <t>電梯</t>
        </is>
      </c>
      <c r="C218" s="13" t="inlineStr">
        <is>
          <t>上期餘額</t>
        </is>
      </c>
      <c r="D218" s="7" t="n"/>
      <c r="E218" s="104" t="n">
        <v>0</v>
      </c>
    </row>
    <row r="219" ht="15" customHeight="1" s="84">
      <c r="A219" s="7" t="inlineStr">
        <is>
          <t>2025-08</t>
        </is>
      </c>
      <c r="B219" s="13" t="inlineStr">
        <is>
          <t>電梯</t>
        </is>
      </c>
      <c r="C219" s="13" t="inlineStr">
        <is>
          <t>收入</t>
        </is>
      </c>
      <c r="D219" s="13" t="inlineStr">
        <is>
          <t>戶數</t>
        </is>
      </c>
      <c r="E219" s="104" t="n">
        <v>33</v>
      </c>
    </row>
    <row r="220" ht="15" customHeight="1" s="84">
      <c r="A220" s="7" t="inlineStr">
        <is>
          <t>2025-08</t>
        </is>
      </c>
      <c r="B220" s="13" t="inlineStr">
        <is>
          <t>電梯</t>
        </is>
      </c>
      <c r="C220" s="13" t="inlineStr">
        <is>
          <t>收入</t>
        </is>
      </c>
      <c r="D220" s="13" t="inlineStr">
        <is>
          <t>未繳總金額</t>
        </is>
      </c>
      <c r="E220" s="104" t="n">
        <v>329655</v>
      </c>
    </row>
    <row r="221" ht="18" customHeight="1" s="84">
      <c r="A221" s="34" t="inlineStr">
        <is>
          <t>2025-08</t>
        </is>
      </c>
      <c r="B221" s="10" t="inlineStr">
        <is>
          <t>電梯</t>
        </is>
      </c>
      <c r="C221" s="10" t="inlineStr">
        <is>
          <t>本月小計</t>
        </is>
      </c>
      <c r="D221" s="10" t="inlineStr">
        <is>
          <t>收 329,688 / 支 0</t>
        </is>
      </c>
      <c r="E221" s="106" t="n">
        <v>329688</v>
      </c>
    </row>
    <row r="222" ht="15" customHeight="1" s="84">
      <c r="A222" s="7" t="inlineStr">
        <is>
          <t>2025-09</t>
        </is>
      </c>
      <c r="B222" s="13" t="inlineStr">
        <is>
          <t>充電樁</t>
        </is>
      </c>
      <c r="C222" s="13" t="inlineStr">
        <is>
          <t>上期餘額</t>
        </is>
      </c>
      <c r="D222" s="7" t="n"/>
      <c r="E222" s="104" t="n">
        <v>1423394</v>
      </c>
    </row>
    <row r="223" ht="15" customHeight="1" s="84">
      <c r="A223" s="7" t="inlineStr">
        <is>
          <t>2025-09</t>
        </is>
      </c>
      <c r="B223" s="13" t="inlineStr">
        <is>
          <t>充電樁</t>
        </is>
      </c>
      <c r="C223" s="13" t="inlineStr">
        <is>
          <t>收入</t>
        </is>
      </c>
      <c r="D223" s="13" t="inlineStr">
        <is>
          <t>戶數</t>
        </is>
      </c>
      <c r="E223" s="104" t="n">
        <v>33</v>
      </c>
    </row>
    <row r="224" ht="15" customHeight="1" s="84">
      <c r="A224" s="7" t="inlineStr">
        <is>
          <t>2025-09</t>
        </is>
      </c>
      <c r="B224" s="13" t="inlineStr">
        <is>
          <t>充電樁</t>
        </is>
      </c>
      <c r="C224" s="13" t="inlineStr">
        <is>
          <t>收入</t>
        </is>
      </c>
      <c r="D224" s="13" t="inlineStr">
        <is>
          <t>未繳總金額</t>
        </is>
      </c>
      <c r="E224" s="104" t="n">
        <v>329655</v>
      </c>
    </row>
    <row r="225" ht="18" customHeight="1" s="84">
      <c r="A225" s="34" t="inlineStr">
        <is>
          <t>2025-09</t>
        </is>
      </c>
      <c r="B225" s="10" t="inlineStr">
        <is>
          <t>充電樁</t>
        </is>
      </c>
      <c r="C225" s="10" t="inlineStr">
        <is>
          <t>本月小計</t>
        </is>
      </c>
      <c r="D225" s="10" t="inlineStr">
        <is>
          <t>收 329,688 / 支 0</t>
        </is>
      </c>
      <c r="E225" s="106" t="n">
        <v>1753082</v>
      </c>
    </row>
    <row r="226" ht="15" customHeight="1" s="84">
      <c r="A226" s="7" t="inlineStr">
        <is>
          <t>2025-10</t>
        </is>
      </c>
      <c r="B226" s="13" t="inlineStr">
        <is>
          <t>充電樁</t>
        </is>
      </c>
      <c r="C226" s="13" t="inlineStr">
        <is>
          <t>上期餘額</t>
        </is>
      </c>
      <c r="D226" s="7" t="n"/>
      <c r="E226" s="104" t="n">
        <v>1607714</v>
      </c>
    </row>
    <row r="227" ht="15" customHeight="1" s="84">
      <c r="A227" s="7" t="inlineStr">
        <is>
          <t>2025-10</t>
        </is>
      </c>
      <c r="B227" s="13" t="inlineStr">
        <is>
          <t>充電樁</t>
        </is>
      </c>
      <c r="C227" s="13" t="inlineStr">
        <is>
          <t>收入</t>
        </is>
      </c>
      <c r="D227" s="13" t="inlineStr">
        <is>
          <t>戶數</t>
        </is>
      </c>
      <c r="E227" s="104" t="n">
        <v>37</v>
      </c>
    </row>
    <row r="228" ht="18" customHeight="1" s="84">
      <c r="A228" s="34" t="inlineStr">
        <is>
          <t>2025-10</t>
        </is>
      </c>
      <c r="B228" s="10" t="inlineStr">
        <is>
          <t>充電樁</t>
        </is>
      </c>
      <c r="C228" s="10" t="inlineStr">
        <is>
          <t>本月小計</t>
        </is>
      </c>
      <c r="D228" s="10" t="inlineStr">
        <is>
          <t>收 37 / 支 0</t>
        </is>
      </c>
      <c r="E228" s="106" t="n">
        <v>1607751</v>
      </c>
    </row>
    <row r="229" ht="15" customHeight="1" s="84">
      <c r="A229" s="7" t="inlineStr">
        <is>
          <t>2025-11</t>
        </is>
      </c>
      <c r="B229" s="13" t="inlineStr">
        <is>
          <t>充電樁</t>
        </is>
      </c>
      <c r="C229" s="13" t="inlineStr">
        <is>
          <t>上期餘額</t>
        </is>
      </c>
      <c r="D229" s="7" t="n"/>
      <c r="E229" s="104" t="n">
        <v>1644977</v>
      </c>
    </row>
    <row r="230" ht="15" customHeight="1" s="84">
      <c r="A230" s="7" t="inlineStr">
        <is>
          <t>2025-11</t>
        </is>
      </c>
      <c r="B230" s="13" t="inlineStr">
        <is>
          <t>充電樁</t>
        </is>
      </c>
      <c r="C230" s="13" t="inlineStr">
        <is>
          <t>收入</t>
        </is>
      </c>
      <c r="D230" s="13" t="inlineStr">
        <is>
          <t>戶數</t>
        </is>
      </c>
      <c r="E230" s="104" t="n">
        <v>37</v>
      </c>
    </row>
    <row r="231" ht="15" customHeight="1" s="84">
      <c r="A231" s="7" t="inlineStr">
        <is>
          <t>2025-11</t>
        </is>
      </c>
      <c r="B231" s="13" t="inlineStr">
        <is>
          <t>充電樁</t>
        </is>
      </c>
      <c r="C231" s="13" t="inlineStr">
        <is>
          <t>收入</t>
        </is>
      </c>
      <c r="D231" s="13" t="inlineStr">
        <is>
          <t>未繳總金額</t>
        </is>
      </c>
      <c r="E231" s="104" t="n">
        <v>366408</v>
      </c>
    </row>
    <row r="232" ht="18" customHeight="1" s="84">
      <c r="A232" s="34" t="inlineStr">
        <is>
          <t>2025-11</t>
        </is>
      </c>
      <c r="B232" s="10" t="inlineStr">
        <is>
          <t>充電樁</t>
        </is>
      </c>
      <c r="C232" s="10" t="inlineStr">
        <is>
          <t>本月小計</t>
        </is>
      </c>
      <c r="D232" s="10" t="inlineStr">
        <is>
          <t>收 366,445 / 支 0</t>
        </is>
      </c>
      <c r="E232" s="106" t="n">
        <v>2011422</v>
      </c>
    </row>
    <row r="233" ht="15" customHeight="1" s="84">
      <c r="A233" s="7" t="inlineStr">
        <is>
          <t>2025-12</t>
        </is>
      </c>
      <c r="B233" s="13" t="inlineStr">
        <is>
          <t>充電樁</t>
        </is>
      </c>
      <c r="C233" s="13" t="inlineStr">
        <is>
          <t>上期餘額</t>
        </is>
      </c>
      <c r="D233" s="7" t="n"/>
      <c r="E233" s="104" t="n">
        <v>1613720</v>
      </c>
    </row>
    <row r="234" ht="18" customHeight="1" s="84">
      <c r="A234" s="34" t="inlineStr">
        <is>
          <t>2025-12</t>
        </is>
      </c>
      <c r="B234" s="10" t="inlineStr">
        <is>
          <t>充電樁</t>
        </is>
      </c>
      <c r="C234" s="10" t="inlineStr">
        <is>
          <t>本月小計</t>
        </is>
      </c>
      <c r="D234" s="10" t="inlineStr">
        <is>
          <t>收 0 / 支 0</t>
        </is>
      </c>
      <c r="E234" s="106" t="n">
        <v>1613720</v>
      </c>
    </row>
    <row r="235" ht="15" customHeight="1" s="84">
      <c r="A235" s="7" t="inlineStr">
        <is>
          <t>2026-01</t>
        </is>
      </c>
      <c r="B235" s="13" t="inlineStr">
        <is>
          <t>充電樁</t>
        </is>
      </c>
      <c r="C235" s="13" t="inlineStr">
        <is>
          <t>上期餘額</t>
        </is>
      </c>
      <c r="D235" s="7" t="n"/>
      <c r="E235" s="104" t="n">
        <v>1717714</v>
      </c>
    </row>
    <row r="236" ht="15" customHeight="1" s="84">
      <c r="A236" s="7" t="inlineStr">
        <is>
          <t>2026-01</t>
        </is>
      </c>
      <c r="B236" s="13" t="inlineStr">
        <is>
          <t>充電樁</t>
        </is>
      </c>
      <c r="C236" s="13" t="inlineStr">
        <is>
          <t>收入</t>
        </is>
      </c>
      <c r="D236" s="13" t="inlineStr">
        <is>
          <t>戶數</t>
        </is>
      </c>
      <c r="E236" s="104" t="n">
        <v>17</v>
      </c>
    </row>
    <row r="237" ht="18" customHeight="1" s="84">
      <c r="A237" s="34" t="inlineStr">
        <is>
          <t>2026-01</t>
        </is>
      </c>
      <c r="B237" s="10" t="inlineStr">
        <is>
          <t>充電樁</t>
        </is>
      </c>
      <c r="C237" s="10" t="inlineStr">
        <is>
          <t>本月小計</t>
        </is>
      </c>
      <c r="D237" s="10" t="inlineStr">
        <is>
          <t>收 17 / 支 0</t>
        </is>
      </c>
      <c r="E237" s="106" t="n">
        <v>1717731</v>
      </c>
    </row>
    <row r="238" ht="15" customHeight="1" s="84">
      <c r="A238" s="7" t="inlineStr">
        <is>
          <t>2026-02</t>
        </is>
      </c>
      <c r="B238" s="13" t="inlineStr">
        <is>
          <t>充電樁</t>
        </is>
      </c>
      <c r="C238" s="13" t="inlineStr">
        <is>
          <t>上期餘額</t>
        </is>
      </c>
      <c r="D238" s="7" t="n"/>
      <c r="E238" s="104" t="n">
        <v>1591428</v>
      </c>
    </row>
    <row r="239" ht="15" customHeight="1" s="84">
      <c r="A239" s="7" t="inlineStr">
        <is>
          <t>2026-02</t>
        </is>
      </c>
      <c r="B239" s="13" t="inlineStr">
        <is>
          <t>充電樁</t>
        </is>
      </c>
      <c r="C239" s="13" t="inlineStr">
        <is>
          <t>收入</t>
        </is>
      </c>
      <c r="D239" s="13" t="inlineStr">
        <is>
          <t>戶數</t>
        </is>
      </c>
      <c r="E239" s="104" t="n">
        <v>8</v>
      </c>
    </row>
    <row r="240" ht="15" customHeight="1" s="84">
      <c r="A240" s="7" t="inlineStr">
        <is>
          <t>2026-02</t>
        </is>
      </c>
      <c r="B240" s="13" t="inlineStr">
        <is>
          <t>充電樁</t>
        </is>
      </c>
      <c r="C240" s="13" t="inlineStr">
        <is>
          <t>收入</t>
        </is>
      </c>
      <c r="D240" s="13" t="inlineStr">
        <is>
          <t>未繳總金額</t>
        </is>
      </c>
      <c r="E240" s="104" t="n">
        <v>83391</v>
      </c>
    </row>
    <row r="241" ht="18" customHeight="1" s="84">
      <c r="A241" s="34" t="inlineStr">
        <is>
          <t>2026-02</t>
        </is>
      </c>
      <c r="B241" s="10" t="inlineStr">
        <is>
          <t>充電樁</t>
        </is>
      </c>
      <c r="C241" s="10" t="inlineStr">
        <is>
          <t>本月小計</t>
        </is>
      </c>
      <c r="D241" s="10" t="inlineStr">
        <is>
          <t>收 83,399 / 支 0</t>
        </is>
      </c>
      <c r="E241" s="106" t="n">
        <v>1674827</v>
      </c>
    </row>
    <row r="242" ht="15" customHeight="1" s="84">
      <c r="A242" s="7" t="inlineStr">
        <is>
          <t>2026-03</t>
        </is>
      </c>
      <c r="B242" s="13" t="inlineStr">
        <is>
          <t>充電樁</t>
        </is>
      </c>
      <c r="C242" s="13" t="inlineStr">
        <is>
          <t>上期餘額</t>
        </is>
      </c>
      <c r="D242" s="7" t="n"/>
      <c r="E242" s="104" t="n">
        <v>1684768</v>
      </c>
    </row>
    <row r="243" ht="15" customHeight="1" s="84">
      <c r="A243" s="7" t="inlineStr">
        <is>
          <t>2026-03</t>
        </is>
      </c>
      <c r="B243" s="13" t="inlineStr">
        <is>
          <t>充電樁</t>
        </is>
      </c>
      <c r="C243" s="13" t="inlineStr">
        <is>
          <t>收入</t>
        </is>
      </c>
      <c r="D243" s="13" t="inlineStr">
        <is>
          <t>戶數</t>
        </is>
      </c>
      <c r="E243" s="104" t="n">
        <v>8</v>
      </c>
    </row>
    <row r="244" ht="18" customHeight="1" s="84">
      <c r="A244" s="34" t="inlineStr">
        <is>
          <t>2026-03</t>
        </is>
      </c>
      <c r="B244" s="10" t="inlineStr">
        <is>
          <t>充電樁</t>
        </is>
      </c>
      <c r="C244" s="10" t="inlineStr">
        <is>
          <t>本月小計</t>
        </is>
      </c>
      <c r="D244" s="10" t="inlineStr">
        <is>
          <t>收 8 / 支 0</t>
        </is>
      </c>
      <c r="E244" s="106" t="n">
        <v>1684776</v>
      </c>
    </row>
    <row r="245" ht="15" customHeight="1" s="84">
      <c r="A245" s="7" t="inlineStr">
        <is>
          <t>2026-04</t>
        </is>
      </c>
      <c r="B245" s="13" t="inlineStr">
        <is>
          <t>充電樁</t>
        </is>
      </c>
      <c r="C245" s="13" t="inlineStr">
        <is>
          <t>上期餘額</t>
        </is>
      </c>
      <c r="D245" s="7" t="n"/>
      <c r="E245" s="104" t="n">
        <v>1816494</v>
      </c>
    </row>
    <row r="246" ht="15" customHeight="1" s="84">
      <c r="A246" s="7" t="inlineStr">
        <is>
          <t>2026-04</t>
        </is>
      </c>
      <c r="B246" s="13" t="inlineStr">
        <is>
          <t>充電樁</t>
        </is>
      </c>
      <c r="C246" s="13" t="inlineStr">
        <is>
          <t>收入</t>
        </is>
      </c>
      <c r="D246" s="13" t="inlineStr">
        <is>
          <t>戶數</t>
        </is>
      </c>
      <c r="E246" s="104" t="n">
        <v>5</v>
      </c>
    </row>
    <row r="247" ht="15" customHeight="1" s="84">
      <c r="A247" s="7" t="inlineStr">
        <is>
          <t>2026-04</t>
        </is>
      </c>
      <c r="B247" s="13" t="inlineStr">
        <is>
          <t>充電樁</t>
        </is>
      </c>
      <c r="C247" s="13" t="inlineStr">
        <is>
          <t>收入</t>
        </is>
      </c>
      <c r="D247" s="13" t="inlineStr">
        <is>
          <t>未繳總金額</t>
        </is>
      </c>
      <c r="E247" s="104" t="n">
        <v>48636</v>
      </c>
    </row>
    <row r="248" ht="18" customHeight="1" s="84">
      <c r="A248" s="34" t="inlineStr">
        <is>
          <t>2026-04</t>
        </is>
      </c>
      <c r="B248" s="10" t="inlineStr">
        <is>
          <t>充電樁</t>
        </is>
      </c>
      <c r="C248" s="10" t="inlineStr">
        <is>
          <t>本月小計</t>
        </is>
      </c>
      <c r="D248" s="10" t="inlineStr">
        <is>
          <t>收 48,641 / 支 0</t>
        </is>
      </c>
      <c r="E248" s="106" t="n">
        <v>1865135</v>
      </c>
    </row>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E65"/>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7.83203125" defaultRowHeight="17"/>
  <cols>
    <col width="11" customWidth="1" style="84" min="1" max="2"/>
    <col width="12.6640625" customWidth="1" style="84" min="3" max="3"/>
    <col width="11" customWidth="1" style="84" min="4" max="4"/>
    <col width="12.6640625" customWidth="1" style="84" min="5" max="5"/>
  </cols>
  <sheetData>
    <row r="1" ht="15" customHeight="1" s="84">
      <c r="A1" s="6" t="inlineStr">
        <is>
          <t>月份</t>
        </is>
      </c>
      <c r="B1" s="6" t="inlineStr">
        <is>
          <t>類型</t>
        </is>
      </c>
      <c r="C1" s="6" t="inlineStr">
        <is>
          <t>日期</t>
        </is>
      </c>
      <c r="D1" s="6" t="inlineStr">
        <is>
          <t>戶別</t>
        </is>
      </c>
      <c r="E1" s="6" t="inlineStr">
        <is>
          <t>金額</t>
        </is>
      </c>
    </row>
    <row r="2" ht="15" customHeight="1" s="84">
      <c r="A2" s="7" t="inlineStr">
        <is>
          <t>2021-02</t>
        </is>
      </c>
      <c r="B2" s="13" t="inlineStr">
        <is>
          <t>收暫收</t>
        </is>
      </c>
      <c r="C2" s="7" t="inlineStr">
        <is>
          <t>2021-02-17</t>
        </is>
      </c>
      <c r="D2" s="7" t="inlineStr">
        <is>
          <t>Q23</t>
        </is>
      </c>
      <c r="E2" s="104" t="n">
        <v>20000</v>
      </c>
    </row>
    <row r="3" ht="15" customHeight="1" s="84">
      <c r="A3" s="7" t="inlineStr">
        <is>
          <t>2021-02</t>
        </is>
      </c>
      <c r="B3" s="13" t="inlineStr">
        <is>
          <t>退暫收</t>
        </is>
      </c>
      <c r="C3" s="7" t="n"/>
      <c r="D3" s="7" t="inlineStr">
        <is>
          <t>H4</t>
        </is>
      </c>
      <c r="E3" s="104" t="n">
        <v>80000</v>
      </c>
    </row>
    <row r="4" ht="15" customHeight="1" s="84">
      <c r="A4" s="7" t="inlineStr">
        <is>
          <t>2021-02</t>
        </is>
      </c>
      <c r="B4" s="13" t="inlineStr">
        <is>
          <t>收暫收</t>
        </is>
      </c>
      <c r="C4" s="7" t="inlineStr">
        <is>
          <t>2021-02-25</t>
        </is>
      </c>
      <c r="D4" s="7" t="inlineStr">
        <is>
          <t>K17</t>
        </is>
      </c>
      <c r="E4" s="104" t="n">
        <v>20000</v>
      </c>
    </row>
    <row r="5" ht="15" customHeight="1" s="84">
      <c r="A5" s="7" t="inlineStr">
        <is>
          <t>2021-02</t>
        </is>
      </c>
      <c r="B5" s="13" t="inlineStr">
        <is>
          <t>收暫收</t>
        </is>
      </c>
      <c r="C5" s="13" t="inlineStr">
        <is>
          <t>總計</t>
        </is>
      </c>
      <c r="D5" s="7" t="n"/>
      <c r="E5" s="104" t="n">
        <v>40000</v>
      </c>
    </row>
    <row r="6" ht="15" customHeight="1" s="84">
      <c r="A6" s="7" t="inlineStr">
        <is>
          <t>2021-02</t>
        </is>
      </c>
      <c r="B6" s="13" t="inlineStr">
        <is>
          <t>收暫收</t>
        </is>
      </c>
      <c r="C6" s="7" t="inlineStr">
        <is>
          <t>6000000</t>
        </is>
      </c>
      <c r="D6" s="7" t="n"/>
      <c r="E6" s="104" t="n">
        <v>3157051</v>
      </c>
    </row>
    <row r="7" ht="15" customHeight="1" s="84">
      <c r="A7" s="7" t="inlineStr">
        <is>
          <t>2021-02</t>
        </is>
      </c>
      <c r="B7" s="13" t="inlineStr">
        <is>
          <t>退暫收</t>
        </is>
      </c>
      <c r="C7" s="7" t="n"/>
      <c r="D7" s="7" t="n"/>
      <c r="E7" s="104" t="n">
        <v>17382468</v>
      </c>
    </row>
    <row r="8" ht="15" customHeight="1" s="84">
      <c r="A8" s="7" t="inlineStr">
        <is>
          <t>2021-02</t>
        </is>
      </c>
      <c r="B8" s="13" t="inlineStr">
        <is>
          <t>收暫收</t>
        </is>
      </c>
      <c r="C8" s="7" t="inlineStr">
        <is>
          <t>4000000</t>
        </is>
      </c>
      <c r="D8" s="7" t="n"/>
      <c r="E8" s="104" t="n">
        <v>1915617</v>
      </c>
    </row>
    <row r="9" ht="15" customHeight="1" s="84">
      <c r="A9" s="7" t="inlineStr">
        <is>
          <t>2021-02</t>
        </is>
      </c>
      <c r="B9" s="13" t="inlineStr">
        <is>
          <t>收暫收</t>
        </is>
      </c>
      <c r="C9" s="7" t="inlineStr">
        <is>
          <t>1800000</t>
        </is>
      </c>
      <c r="D9" s="7" t="n"/>
      <c r="E9" s="104" t="n">
        <v>475479</v>
      </c>
    </row>
    <row r="10" ht="15" customHeight="1" s="84">
      <c r="A10" s="7" t="inlineStr">
        <is>
          <t>2023-12</t>
        </is>
      </c>
      <c r="B10" s="13" t="inlineStr">
        <is>
          <t>收暫收</t>
        </is>
      </c>
      <c r="C10" s="7" t="inlineStr">
        <is>
          <t>4</t>
        </is>
      </c>
      <c r="D10" s="7" t="inlineStr">
        <is>
          <t>11</t>
        </is>
      </c>
      <c r="E10" s="104" t="n">
        <v>414</v>
      </c>
    </row>
    <row r="11" ht="15" customHeight="1" s="84">
      <c r="A11" s="7" t="inlineStr">
        <is>
          <t>2023-12</t>
        </is>
      </c>
      <c r="B11" s="13" t="inlineStr">
        <is>
          <t>收暫收</t>
        </is>
      </c>
      <c r="C11" s="7" t="inlineStr">
        <is>
          <t>28437</t>
        </is>
      </c>
      <c r="D11" s="7" t="inlineStr">
        <is>
          <t>97723</t>
        </is>
      </c>
      <c r="E11" s="104" t="n">
        <v>3825979</v>
      </c>
    </row>
    <row r="12" ht="15" customHeight="1" s="84">
      <c r="A12" s="7" t="inlineStr">
        <is>
          <t>2024-01</t>
        </is>
      </c>
      <c r="B12" s="13" t="inlineStr">
        <is>
          <t>收暫收</t>
        </is>
      </c>
      <c r="C12" s="7" t="inlineStr">
        <is>
          <t>Q1</t>
        </is>
      </c>
      <c r="D12" s="7" t="n"/>
      <c r="E12" s="104" t="n">
        <v>40</v>
      </c>
    </row>
    <row r="13" ht="15" customHeight="1" s="84">
      <c r="A13" s="7" t="inlineStr">
        <is>
          <t>2024-01</t>
        </is>
      </c>
      <c r="B13" s="13" t="inlineStr">
        <is>
          <t>收暫收</t>
        </is>
      </c>
      <c r="C13" s="7" t="inlineStr">
        <is>
          <t>342471</t>
        </is>
      </c>
      <c r="D13" s="7" t="n"/>
      <c r="E13" s="104" t="n">
        <v>350247</v>
      </c>
    </row>
    <row r="14" ht="15" customHeight="1" s="84">
      <c r="A14" s="7" t="inlineStr">
        <is>
          <t>2024-02</t>
        </is>
      </c>
      <c r="B14" s="13" t="inlineStr">
        <is>
          <t>收暫收</t>
        </is>
      </c>
      <c r="C14" s="7" t="inlineStr">
        <is>
          <t>Q1</t>
        </is>
      </c>
      <c r="D14" s="7" t="n"/>
      <c r="E14" s="104" t="n">
        <v>8</v>
      </c>
    </row>
    <row r="15" ht="15" customHeight="1" s="84">
      <c r="A15" s="7" t="inlineStr">
        <is>
          <t>2024-02</t>
        </is>
      </c>
      <c r="B15" s="13" t="inlineStr">
        <is>
          <t>收暫收</t>
        </is>
      </c>
      <c r="C15" s="7" t="inlineStr">
        <is>
          <t>66411</t>
        </is>
      </c>
      <c r="D15" s="7" t="n"/>
      <c r="E15" s="104" t="n">
        <v>74187</v>
      </c>
    </row>
    <row r="16" ht="15" customHeight="1" s="84">
      <c r="A16" s="7" t="inlineStr">
        <is>
          <t>2024-03</t>
        </is>
      </c>
      <c r="B16" s="13" t="inlineStr">
        <is>
          <t>收暫收</t>
        </is>
      </c>
      <c r="C16" s="7" t="inlineStr">
        <is>
          <t>Q2</t>
        </is>
      </c>
      <c r="D16" s="7" t="n"/>
      <c r="E16" s="104" t="n">
        <v>4</v>
      </c>
    </row>
    <row r="17" ht="15" customHeight="1" s="84">
      <c r="A17" s="7" t="inlineStr">
        <is>
          <t>2024-03</t>
        </is>
      </c>
      <c r="B17" s="13" t="inlineStr">
        <is>
          <t>收暫收</t>
        </is>
      </c>
      <c r="C17" s="7" t="n"/>
      <c r="D17" s="7" t="n"/>
      <c r="E17" s="104" t="n">
        <v>29271</v>
      </c>
    </row>
    <row r="18" ht="15" customHeight="1" s="84">
      <c r="A18" s="7" t="inlineStr">
        <is>
          <t>2024-04</t>
        </is>
      </c>
      <c r="B18" s="13" t="inlineStr">
        <is>
          <t>收暫收</t>
        </is>
      </c>
      <c r="C18" s="7" t="inlineStr">
        <is>
          <t>Q2</t>
        </is>
      </c>
      <c r="D18" s="7" t="n"/>
      <c r="E18" s="104" t="n">
        <v>91</v>
      </c>
    </row>
    <row r="19" ht="15" customHeight="1" s="84">
      <c r="A19" s="7" t="inlineStr">
        <is>
          <t>2024-04</t>
        </is>
      </c>
      <c r="B19" s="13" t="inlineStr">
        <is>
          <t>收暫收</t>
        </is>
      </c>
      <c r="C19" s="7" t="inlineStr">
        <is>
          <t>802296</t>
        </is>
      </c>
      <c r="D19" s="7" t="n"/>
      <c r="E19" s="104" t="n">
        <v>815361</v>
      </c>
    </row>
    <row r="20" ht="15" customHeight="1" s="84">
      <c r="A20" s="7" t="inlineStr">
        <is>
          <t>2024-05</t>
        </is>
      </c>
      <c r="B20" s="13" t="inlineStr">
        <is>
          <t>收暫收</t>
        </is>
      </c>
      <c r="C20" s="7" t="inlineStr">
        <is>
          <t>2</t>
        </is>
      </c>
      <c r="D20" s="7" t="n"/>
      <c r="E20" s="104" t="n">
        <v>16</v>
      </c>
    </row>
    <row r="21" ht="15" customHeight="1" s="84">
      <c r="A21" s="7" t="inlineStr">
        <is>
          <t>2024-05</t>
        </is>
      </c>
      <c r="B21" s="13" t="inlineStr">
        <is>
          <t>收暫收</t>
        </is>
      </c>
      <c r="C21" s="7" t="inlineStr">
        <is>
          <t>13065</t>
        </is>
      </c>
      <c r="D21" s="7" t="n"/>
      <c r="E21" s="104" t="n">
        <v>137088</v>
      </c>
    </row>
    <row r="22" ht="15" customHeight="1" s="84">
      <c r="A22" s="7" t="inlineStr">
        <is>
          <t>2024-06</t>
        </is>
      </c>
      <c r="B22" s="13" t="inlineStr">
        <is>
          <t>收暫收</t>
        </is>
      </c>
      <c r="C22" s="7" t="inlineStr">
        <is>
          <t>2</t>
        </is>
      </c>
      <c r="D22" s="7" t="n"/>
      <c r="E22" s="104" t="n">
        <v>5</v>
      </c>
    </row>
    <row r="23" ht="15" customHeight="1" s="84">
      <c r="A23" s="7" t="inlineStr">
        <is>
          <t>2024-06</t>
        </is>
      </c>
      <c r="B23" s="13" t="inlineStr">
        <is>
          <t>收暫收</t>
        </is>
      </c>
      <c r="C23" s="7" t="inlineStr">
        <is>
          <t>13065</t>
        </is>
      </c>
      <c r="D23" s="7" t="n"/>
      <c r="E23" s="104" t="n">
        <v>36102</v>
      </c>
    </row>
    <row r="24" ht="15" customHeight="1" s="84">
      <c r="A24" s="7" t="inlineStr">
        <is>
          <t>2024-07</t>
        </is>
      </c>
      <c r="B24" s="13" t="inlineStr">
        <is>
          <t>收暫收</t>
        </is>
      </c>
      <c r="C24" s="7" t="inlineStr">
        <is>
          <t>57</t>
        </is>
      </c>
      <c r="D24" s="7" t="n"/>
      <c r="E24" s="104" t="n">
        <v>59</v>
      </c>
    </row>
    <row r="25" ht="15" customHeight="1" s="84">
      <c r="A25" s="7" t="inlineStr">
        <is>
          <t>2024-07</t>
        </is>
      </c>
      <c r="B25" s="13" t="inlineStr">
        <is>
          <t>收暫收</t>
        </is>
      </c>
      <c r="C25" s="7" t="inlineStr">
        <is>
          <t>516762</t>
        </is>
      </c>
      <c r="D25" s="7" t="n"/>
      <c r="E25" s="104" t="n">
        <v>532284</v>
      </c>
    </row>
    <row r="26" ht="15" customHeight="1" s="84">
      <c r="A26" s="7" t="inlineStr">
        <is>
          <t>2025-06</t>
        </is>
      </c>
      <c r="B26" s="13" t="inlineStr">
        <is>
          <t>收暫收</t>
        </is>
      </c>
      <c r="C26" s="7" t="inlineStr">
        <is>
          <t>S11</t>
        </is>
      </c>
      <c r="D26" s="7" t="inlineStr">
        <is>
          <t>2025-06-27 00:00:00</t>
        </is>
      </c>
      <c r="E26" s="104" t="n">
        <v>80000</v>
      </c>
    </row>
    <row r="27" ht="15" customHeight="1" s="84">
      <c r="A27" s="7" t="inlineStr">
        <is>
          <t>2025-06</t>
        </is>
      </c>
      <c r="B27" s="13" t="inlineStr">
        <is>
          <t>退暫收</t>
        </is>
      </c>
      <c r="C27" s="7" t="n"/>
      <c r="D27" s="7" t="n"/>
      <c r="E27" s="104" t="n">
        <v>140000</v>
      </c>
    </row>
    <row r="28" ht="15" customHeight="1" s="84">
      <c r="A28" s="7" t="inlineStr">
        <is>
          <t>2025-06</t>
        </is>
      </c>
      <c r="B28" s="13" t="inlineStr">
        <is>
          <t>收暫收</t>
        </is>
      </c>
      <c r="C28" s="13" t="inlineStr">
        <is>
          <t>總計</t>
        </is>
      </c>
      <c r="D28" s="7" t="n"/>
      <c r="E28" s="104" t="n">
        <v>80000</v>
      </c>
    </row>
    <row r="29" ht="15" customHeight="1" s="84">
      <c r="A29" s="7" t="inlineStr">
        <is>
          <t>2025-06</t>
        </is>
      </c>
      <c r="B29" s="13" t="inlineStr">
        <is>
          <t>收暫收</t>
        </is>
      </c>
      <c r="C29" s="7" t="inlineStr">
        <is>
          <t>5000000</t>
        </is>
      </c>
      <c r="D29" s="7" t="n"/>
      <c r="E29" s="104" t="n">
        <v>3727581</v>
      </c>
    </row>
    <row r="30" ht="15" customHeight="1" s="84">
      <c r="A30" s="7" t="inlineStr">
        <is>
          <t>2025-06</t>
        </is>
      </c>
      <c r="B30" s="13" t="inlineStr">
        <is>
          <t>退暫收</t>
        </is>
      </c>
      <c r="C30" s="7" t="n"/>
      <c r="D30" s="7" t="n"/>
      <c r="E30" s="104" t="n">
        <v>15860683</v>
      </c>
    </row>
    <row r="31" ht="15" customHeight="1" s="84">
      <c r="A31" s="7" t="inlineStr">
        <is>
          <t>2025-06</t>
        </is>
      </c>
      <c r="B31" s="13" t="inlineStr">
        <is>
          <t>收暫收</t>
        </is>
      </c>
      <c r="C31" s="7" t="inlineStr">
        <is>
          <t>4000000</t>
        </is>
      </c>
      <c r="D31" s="7" t="n"/>
      <c r="E31" s="104" t="n">
        <v>2173276</v>
      </c>
    </row>
    <row r="32" ht="15" customHeight="1" s="84">
      <c r="A32" s="7" t="inlineStr">
        <is>
          <t>2025-08</t>
        </is>
      </c>
      <c r="B32" s="13" t="inlineStr">
        <is>
          <t>收暫收</t>
        </is>
      </c>
      <c r="C32" s="7" t="inlineStr">
        <is>
          <t>2025-08-14</t>
        </is>
      </c>
      <c r="D32" s="7" t="inlineStr">
        <is>
          <t>B13</t>
        </is>
      </c>
      <c r="E32" s="104" t="n">
        <v>20000</v>
      </c>
    </row>
    <row r="33" ht="15" customHeight="1" s="84">
      <c r="A33" s="7" t="inlineStr">
        <is>
          <t>2025-08</t>
        </is>
      </c>
      <c r="B33" s="13" t="inlineStr">
        <is>
          <t>退暫收</t>
        </is>
      </c>
      <c r="C33" s="7" t="n"/>
      <c r="D33" s="7" t="n"/>
      <c r="E33" s="104" t="n">
        <v>160000</v>
      </c>
    </row>
    <row r="34" ht="15" customHeight="1" s="84">
      <c r="A34" s="7" t="inlineStr">
        <is>
          <t>2025-08</t>
        </is>
      </c>
      <c r="B34" s="13" t="inlineStr">
        <is>
          <t>收暫收</t>
        </is>
      </c>
      <c r="C34" s="13" t="inlineStr">
        <is>
          <t>總計</t>
        </is>
      </c>
      <c r="D34" s="7" t="n"/>
      <c r="E34" s="104" t="n">
        <v>20000</v>
      </c>
    </row>
    <row r="35" ht="15" customHeight="1" s="84">
      <c r="A35" s="7" t="inlineStr">
        <is>
          <t>2025-08</t>
        </is>
      </c>
      <c r="B35" s="13" t="inlineStr">
        <is>
          <t>收暫收</t>
        </is>
      </c>
      <c r="C35" s="7" t="inlineStr">
        <is>
          <t>45</t>
        </is>
      </c>
      <c r="D35" s="7" t="inlineStr">
        <is>
          <t>33</t>
        </is>
      </c>
      <c r="E35" s="104" t="n">
        <v>66</v>
      </c>
    </row>
    <row r="36" ht="15" customHeight="1" s="84">
      <c r="A36" s="7" t="inlineStr">
        <is>
          <t>2025-09</t>
        </is>
      </c>
      <c r="B36" s="13" t="inlineStr">
        <is>
          <t>收暫收</t>
        </is>
      </c>
      <c r="C36" s="7" t="inlineStr">
        <is>
          <t>2025-09-11</t>
        </is>
      </c>
      <c r="D36" s="7" t="inlineStr">
        <is>
          <t>S8</t>
        </is>
      </c>
      <c r="E36" s="104" t="n">
        <v>80000</v>
      </c>
    </row>
    <row r="37" ht="15" customHeight="1" s="84">
      <c r="A37" s="7" t="inlineStr">
        <is>
          <t>2025-09</t>
        </is>
      </c>
      <c r="B37" s="13" t="inlineStr">
        <is>
          <t>退暫收</t>
        </is>
      </c>
      <c r="C37" s="7" t="n"/>
      <c r="D37" s="7" t="n"/>
      <c r="E37" s="104" t="n">
        <v>220000</v>
      </c>
    </row>
    <row r="38" ht="15" customHeight="1" s="84">
      <c r="A38" s="7" t="inlineStr">
        <is>
          <t>2025-09</t>
        </is>
      </c>
      <c r="B38" s="13" t="inlineStr">
        <is>
          <t>收暫收</t>
        </is>
      </c>
      <c r="C38" s="13" t="inlineStr">
        <is>
          <t>總計</t>
        </is>
      </c>
      <c r="D38" s="7" t="n"/>
      <c r="E38" s="104" t="n">
        <v>80000</v>
      </c>
    </row>
    <row r="39" ht="15" customHeight="1" s="84">
      <c r="A39" s="7" t="inlineStr">
        <is>
          <t>2025-09</t>
        </is>
      </c>
      <c r="B39" s="13" t="inlineStr">
        <is>
          <t>收暫收</t>
        </is>
      </c>
      <c r="C39" s="7" t="inlineStr">
        <is>
          <t>45</t>
        </is>
      </c>
      <c r="D39" s="7" t="inlineStr">
        <is>
          <t>33</t>
        </is>
      </c>
      <c r="E39" s="104" t="n">
        <v>54</v>
      </c>
    </row>
    <row r="40" ht="15" customHeight="1" s="84">
      <c r="A40" s="7" t="inlineStr">
        <is>
          <t>2025-10</t>
        </is>
      </c>
      <c r="B40" s="13" t="inlineStr">
        <is>
          <t>退暫收</t>
        </is>
      </c>
      <c r="C40" s="7" t="n"/>
      <c r="D40" s="7" t="n"/>
      <c r="E40" s="104" t="n">
        <v>200000</v>
      </c>
    </row>
    <row r="41" ht="15" customHeight="1" s="84">
      <c r="A41" s="7" t="inlineStr">
        <is>
          <t>2025-10</t>
        </is>
      </c>
      <c r="B41" s="13" t="inlineStr">
        <is>
          <t>收暫收</t>
        </is>
      </c>
      <c r="C41" s="7" t="inlineStr">
        <is>
          <t>15</t>
        </is>
      </c>
      <c r="D41" s="7" t="inlineStr">
        <is>
          <t>37</t>
        </is>
      </c>
      <c r="E41" s="104" t="n">
        <v>45</v>
      </c>
    </row>
    <row r="42" ht="15" customHeight="1" s="84">
      <c r="A42" s="7" t="inlineStr">
        <is>
          <t>2025-11</t>
        </is>
      </c>
      <c r="B42" s="13" t="inlineStr">
        <is>
          <t>收暫收</t>
        </is>
      </c>
      <c r="C42" s="7" t="inlineStr">
        <is>
          <t>2025-11-10</t>
        </is>
      </c>
      <c r="D42" s="7" t="inlineStr">
        <is>
          <t>K4</t>
        </is>
      </c>
      <c r="E42" s="104" t="n">
        <v>20000</v>
      </c>
    </row>
    <row r="43" ht="15" customHeight="1" s="84">
      <c r="A43" s="7" t="inlineStr">
        <is>
          <t>2025-11</t>
        </is>
      </c>
      <c r="B43" s="13" t="inlineStr">
        <is>
          <t>退暫收</t>
        </is>
      </c>
      <c r="C43" s="7" t="n"/>
      <c r="D43" s="7" t="n"/>
      <c r="E43" s="104" t="n">
        <v>260000</v>
      </c>
    </row>
    <row r="44" ht="15" customHeight="1" s="84">
      <c r="A44" s="7" t="inlineStr">
        <is>
          <t>2025-11</t>
        </is>
      </c>
      <c r="B44" s="13" t="inlineStr">
        <is>
          <t>收暫收</t>
        </is>
      </c>
      <c r="C44" s="7" t="inlineStr">
        <is>
          <t>2025-11-20</t>
        </is>
      </c>
      <c r="D44" s="7" t="inlineStr">
        <is>
          <t>G5</t>
        </is>
      </c>
      <c r="E44" s="104" t="n">
        <v>20000</v>
      </c>
    </row>
    <row r="45" ht="15" customHeight="1" s="84">
      <c r="A45" s="7" t="inlineStr">
        <is>
          <t>2025-11</t>
        </is>
      </c>
      <c r="B45" s="13" t="inlineStr">
        <is>
          <t>收暫收</t>
        </is>
      </c>
      <c r="C45" s="7" t="inlineStr">
        <is>
          <t>2025-11-24</t>
        </is>
      </c>
      <c r="D45" s="7" t="inlineStr">
        <is>
          <t>J15</t>
        </is>
      </c>
      <c r="E45" s="104" t="n">
        <v>20000</v>
      </c>
    </row>
    <row r="46" ht="15" customHeight="1" s="84">
      <c r="A46" s="7" t="inlineStr">
        <is>
          <t>2025-11</t>
        </is>
      </c>
      <c r="B46" s="13" t="inlineStr">
        <is>
          <t>收暫收</t>
        </is>
      </c>
      <c r="C46" s="13" t="inlineStr">
        <is>
          <t>總計</t>
        </is>
      </c>
      <c r="D46" s="7" t="n"/>
      <c r="E46" s="104" t="n">
        <v>60000</v>
      </c>
    </row>
    <row r="47" ht="15" customHeight="1" s="84">
      <c r="A47" s="7" t="inlineStr">
        <is>
          <t>2025-11</t>
        </is>
      </c>
      <c r="B47" s="13" t="inlineStr">
        <is>
          <t>收暫收</t>
        </is>
      </c>
      <c r="C47" s="7" t="inlineStr">
        <is>
          <t>15</t>
        </is>
      </c>
      <c r="D47" s="7" t="inlineStr">
        <is>
          <t>37</t>
        </is>
      </c>
      <c r="E47" s="104" t="n">
        <v>43</v>
      </c>
    </row>
    <row r="48" ht="15" customHeight="1" s="84">
      <c r="A48" s="7" t="inlineStr">
        <is>
          <t>2025-12</t>
        </is>
      </c>
      <c r="B48" s="13" t="inlineStr">
        <is>
          <t>收暫收</t>
        </is>
      </c>
      <c r="C48" s="7" t="inlineStr">
        <is>
          <t>2026-12-03</t>
        </is>
      </c>
      <c r="D48" s="7" t="inlineStr">
        <is>
          <t>P12</t>
        </is>
      </c>
      <c r="E48" s="104" t="n">
        <v>20000</v>
      </c>
    </row>
    <row r="49" ht="15" customHeight="1" s="84">
      <c r="A49" s="7" t="inlineStr">
        <is>
          <t>2025-12</t>
        </is>
      </c>
      <c r="B49" s="13" t="inlineStr">
        <is>
          <t>退暫收</t>
        </is>
      </c>
      <c r="C49" s="7" t="n"/>
      <c r="D49" s="7" t="n"/>
      <c r="E49" s="104" t="n">
        <v>200000</v>
      </c>
    </row>
    <row r="50" ht="15" customHeight="1" s="84">
      <c r="A50" s="7" t="inlineStr">
        <is>
          <t>2025-12</t>
        </is>
      </c>
      <c r="B50" s="13" t="inlineStr">
        <is>
          <t>收暫收</t>
        </is>
      </c>
      <c r="C50" s="13" t="inlineStr">
        <is>
          <t>總計</t>
        </is>
      </c>
      <c r="D50" s="7" t="n"/>
      <c r="E50" s="104" t="n">
        <v>20000</v>
      </c>
    </row>
    <row r="51" ht="15" customHeight="1" s="84">
      <c r="A51" s="7" t="inlineStr">
        <is>
          <t>2025-12</t>
        </is>
      </c>
      <c r="B51" s="13" t="inlineStr">
        <is>
          <t>收暫收</t>
        </is>
      </c>
      <c r="C51" s="7" t="n"/>
      <c r="D51" s="7" t="inlineStr">
        <is>
          <t>34</t>
        </is>
      </c>
      <c r="E51" s="104" t="n">
        <v>26</v>
      </c>
    </row>
    <row r="52" ht="15" customHeight="1" s="84">
      <c r="A52" s="7" t="inlineStr">
        <is>
          <t>2026-01</t>
        </is>
      </c>
      <c r="B52" s="13" t="inlineStr">
        <is>
          <t>退暫收</t>
        </is>
      </c>
      <c r="C52" s="7" t="n"/>
      <c r="D52" s="7" t="n"/>
      <c r="E52" s="104" t="n">
        <v>200000</v>
      </c>
    </row>
    <row r="53" ht="15" customHeight="1" s="84">
      <c r="A53" s="7" t="inlineStr">
        <is>
          <t>2026-01</t>
        </is>
      </c>
      <c r="B53" s="13" t="inlineStr">
        <is>
          <t>收暫收</t>
        </is>
      </c>
      <c r="C53" s="7" t="inlineStr">
        <is>
          <t>14</t>
        </is>
      </c>
      <c r="D53" s="7" t="inlineStr">
        <is>
          <t>17</t>
        </is>
      </c>
      <c r="E53" s="104" t="n">
        <v>121</v>
      </c>
    </row>
    <row r="54" ht="15" customHeight="1" s="84">
      <c r="A54" s="7" t="inlineStr">
        <is>
          <t>2026-02</t>
        </is>
      </c>
      <c r="B54" s="13" t="inlineStr">
        <is>
          <t>退暫收</t>
        </is>
      </c>
      <c r="C54" s="7" t="n"/>
      <c r="D54" s="7" t="n"/>
      <c r="E54" s="104" t="n">
        <v>140000</v>
      </c>
    </row>
    <row r="55" ht="15" customHeight="1" s="84">
      <c r="A55" s="7" t="inlineStr">
        <is>
          <t>2026-02</t>
        </is>
      </c>
      <c r="B55" s="13" t="inlineStr">
        <is>
          <t>收暫收</t>
        </is>
      </c>
      <c r="C55" s="7" t="inlineStr">
        <is>
          <t>3</t>
        </is>
      </c>
      <c r="D55" s="7" t="inlineStr">
        <is>
          <t>8</t>
        </is>
      </c>
      <c r="E55" s="104" t="n">
        <v>28</v>
      </c>
    </row>
    <row r="56" ht="15" customHeight="1" s="84">
      <c r="A56" s="7" t="inlineStr">
        <is>
          <t>2026-02</t>
        </is>
      </c>
      <c r="B56" s="13" t="inlineStr">
        <is>
          <t>收暫收</t>
        </is>
      </c>
      <c r="C56" s="7" t="inlineStr">
        <is>
          <t>23568</t>
        </is>
      </c>
      <c r="D56" s="7" t="inlineStr">
        <is>
          <t>83391</t>
        </is>
      </c>
      <c r="E56" s="104" t="n">
        <v>205128</v>
      </c>
    </row>
    <row r="57" ht="15" customHeight="1" s="84">
      <c r="A57" s="7" t="inlineStr">
        <is>
          <t>2026-03</t>
        </is>
      </c>
      <c r="B57" s="13" t="inlineStr">
        <is>
          <t>退暫收</t>
        </is>
      </c>
      <c r="C57" s="7" t="n"/>
      <c r="D57" s="7" t="n"/>
      <c r="E57" s="104" t="n">
        <v>140000</v>
      </c>
    </row>
    <row r="58" ht="15" customHeight="1" s="84">
      <c r="A58" s="7" t="inlineStr">
        <is>
          <t>2026-03</t>
        </is>
      </c>
      <c r="B58" s="13" t="inlineStr">
        <is>
          <t>收暫收</t>
        </is>
      </c>
      <c r="C58" s="7" t="inlineStr">
        <is>
          <t>3</t>
        </is>
      </c>
      <c r="D58" s="7" t="inlineStr">
        <is>
          <t>8</t>
        </is>
      </c>
      <c r="E58" s="104" t="n">
        <v>27</v>
      </c>
    </row>
    <row r="59" ht="15" customHeight="1" s="84">
      <c r="A59" s="7" t="inlineStr">
        <is>
          <t>2026-03</t>
        </is>
      </c>
      <c r="B59" s="13" t="inlineStr">
        <is>
          <t>收暫收</t>
        </is>
      </c>
      <c r="C59" s="7" t="inlineStr">
        <is>
          <t>23568</t>
        </is>
      </c>
      <c r="D59" s="7" t="inlineStr">
        <is>
          <t>83391</t>
        </is>
      </c>
      <c r="E59" s="104" t="n">
        <v>204279</v>
      </c>
    </row>
    <row r="60" ht="15" customHeight="1" s="84">
      <c r="A60" s="7" t="inlineStr">
        <is>
          <t>2026-04</t>
        </is>
      </c>
      <c r="B60" s="13" t="inlineStr">
        <is>
          <t>收暫收</t>
        </is>
      </c>
      <c r="C60" s="7" t="inlineStr">
        <is>
          <t>2026-04-20</t>
        </is>
      </c>
      <c r="D60" s="7" t="inlineStr">
        <is>
          <t>D6</t>
        </is>
      </c>
      <c r="E60" s="104" t="n">
        <v>20000</v>
      </c>
    </row>
    <row r="61" ht="15" customHeight="1" s="84">
      <c r="A61" s="7" t="inlineStr">
        <is>
          <t>2026-04</t>
        </is>
      </c>
      <c r="B61" s="13" t="inlineStr">
        <is>
          <t>收暫收</t>
        </is>
      </c>
      <c r="C61" s="13" t="inlineStr">
        <is>
          <t>總計</t>
        </is>
      </c>
      <c r="D61" s="7" t="n"/>
      <c r="E61" s="104" t="n">
        <v>20000</v>
      </c>
    </row>
    <row r="62" ht="15" customHeight="1" s="84">
      <c r="A62" s="7" t="inlineStr">
        <is>
          <t>2026-04</t>
        </is>
      </c>
      <c r="B62" s="13" t="inlineStr">
        <is>
          <t>收暫收</t>
        </is>
      </c>
      <c r="C62" s="7" t="inlineStr">
        <is>
          <t>3</t>
        </is>
      </c>
      <c r="D62" s="7" t="inlineStr">
        <is>
          <t>5</t>
        </is>
      </c>
      <c r="E62" s="104" t="n">
        <v>22</v>
      </c>
    </row>
    <row r="63" ht="15" customHeight="1" s="84">
      <c r="A63" s="7" t="inlineStr">
        <is>
          <t>2026-04</t>
        </is>
      </c>
      <c r="B63" s="13" t="inlineStr">
        <is>
          <t>收暫收</t>
        </is>
      </c>
      <c r="C63" s="7" t="inlineStr">
        <is>
          <t>23568</t>
        </is>
      </c>
      <c r="D63" s="7" t="inlineStr">
        <is>
          <t>48636</t>
        </is>
      </c>
      <c r="E63" s="104" t="n">
        <v>134172</v>
      </c>
    </row>
    <row r="65" ht="15" customHeight="1" s="84">
      <c r="A65" s="86" t="inlineStr">
        <is>
          <t>📝 本期收暫收合計：NT$ 18,434,171 ／ 退暫收合計：NT$ 34,983,151 ／ 淨增加：NT$ -16,548,980</t>
        </is>
      </c>
    </row>
  </sheetData>
  <mergeCells count="1">
    <mergeCell ref="A65:E65"/>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D214"/>
  <sheetViews>
    <sheetView zoomScaleNormal="100" workbookViewId="0">
      <pane xSplit="1" ySplit="1" topLeftCell="B2" activePane="bottomRight" state="frozen"/>
      <selection pane="topRight" activeCell="B1" sqref="B1"/>
      <selection pane="bottomLeft" activeCell="A2" sqref="A2"/>
      <selection pane="bottomRight" activeCell="A1" sqref="A1"/>
    </sheetView>
  </sheetViews>
  <sheetFormatPr baseColWidth="10" defaultColWidth="7.83203125" defaultRowHeight="17"/>
  <cols>
    <col width="11" customWidth="1" style="84" min="1" max="1"/>
    <col width="14.5" customWidth="1" style="84" min="2" max="2"/>
    <col width="12.6640625" customWidth="1" style="84" min="3" max="3"/>
    <col width="14.5" customWidth="1" style="84" min="4" max="4"/>
  </cols>
  <sheetData>
    <row r="1" ht="15" customHeight="1" s="84">
      <c r="A1" s="6" t="inlineStr">
        <is>
          <t>月份</t>
        </is>
      </c>
      <c r="B1" s="6" t="inlineStr">
        <is>
          <t>季別</t>
        </is>
      </c>
      <c r="C1" s="6" t="inlineStr">
        <is>
          <t>未繳戶數</t>
        </is>
      </c>
      <c r="D1" s="6" t="inlineStr">
        <is>
          <t>未繳金額</t>
        </is>
      </c>
    </row>
    <row r="2" ht="15" customHeight="1" s="84">
      <c r="A2" s="7" t="inlineStr">
        <is>
          <t>2021-01</t>
        </is>
      </c>
      <c r="B2" s="7" t="inlineStr">
        <is>
          <t>Q1</t>
        </is>
      </c>
      <c r="C2" s="104" t="n">
        <v>0</v>
      </c>
      <c r="D2" s="104" t="n">
        <v>0</v>
      </c>
    </row>
    <row r="3" ht="15" customHeight="1" s="84">
      <c r="A3" s="7" t="inlineStr">
        <is>
          <t>2021-01</t>
        </is>
      </c>
      <c r="B3" s="7" t="inlineStr">
        <is>
          <t>Q2</t>
        </is>
      </c>
      <c r="C3" s="104" t="n">
        <v>0</v>
      </c>
      <c r="D3" s="104" t="n">
        <v>0</v>
      </c>
    </row>
    <row r="4" ht="15" customHeight="1" s="84">
      <c r="A4" s="7" t="inlineStr">
        <is>
          <t>2021-01</t>
        </is>
      </c>
      <c r="B4" s="7" t="inlineStr">
        <is>
          <t>Q3</t>
        </is>
      </c>
      <c r="C4" s="104" t="n">
        <v>1</v>
      </c>
      <c r="D4" s="104" t="n">
        <v>4350</v>
      </c>
    </row>
    <row r="5" ht="15" customHeight="1" s="84">
      <c r="A5" s="7" t="inlineStr">
        <is>
          <t>2021-01</t>
        </is>
      </c>
      <c r="B5" s="7" t="inlineStr">
        <is>
          <t>Q4</t>
        </is>
      </c>
      <c r="C5" s="104" t="n">
        <v>1</v>
      </c>
      <c r="D5" s="104" t="n">
        <v>4350</v>
      </c>
    </row>
    <row r="6" ht="15" customHeight="1" s="84">
      <c r="A6" s="7" t="inlineStr">
        <is>
          <t>2021-01</t>
        </is>
      </c>
      <c r="B6" s="7" t="inlineStr">
        <is>
          <t>Q1</t>
        </is>
      </c>
      <c r="C6" s="104" t="n">
        <v>125</v>
      </c>
      <c r="D6" s="104" t="n">
        <v>924324</v>
      </c>
    </row>
    <row r="7" ht="15" customHeight="1" s="84">
      <c r="A7" s="7" t="inlineStr">
        <is>
          <t>2021-02</t>
        </is>
      </c>
      <c r="B7" s="7" t="inlineStr">
        <is>
          <t>Q1</t>
        </is>
      </c>
      <c r="C7" s="104" t="n">
        <v>8</v>
      </c>
      <c r="D7" s="104" t="n">
        <v>62322</v>
      </c>
    </row>
    <row r="8" ht="15" customHeight="1" s="84">
      <c r="A8" s="7" t="inlineStr">
        <is>
          <t>2021-02</t>
        </is>
      </c>
      <c r="B8" s="7" t="inlineStr">
        <is>
          <t>Q2</t>
        </is>
      </c>
      <c r="C8" s="104" t="n">
        <v>0</v>
      </c>
      <c r="D8" s="104" t="n">
        <v>0</v>
      </c>
    </row>
    <row r="9" ht="15" customHeight="1" s="84">
      <c r="A9" s="7" t="inlineStr">
        <is>
          <t>2021-02</t>
        </is>
      </c>
      <c r="B9" s="7" t="inlineStr">
        <is>
          <t>Q3</t>
        </is>
      </c>
      <c r="C9" s="104" t="n">
        <v>0</v>
      </c>
      <c r="D9" s="104" t="n">
        <v>0</v>
      </c>
    </row>
    <row r="10" ht="15" customHeight="1" s="84">
      <c r="A10" s="7" t="inlineStr">
        <is>
          <t>2021-02</t>
        </is>
      </c>
      <c r="B10" s="7" t="inlineStr">
        <is>
          <t>Q4</t>
        </is>
      </c>
      <c r="C10" s="104" t="n">
        <v>0</v>
      </c>
      <c r="D10" s="104" t="n">
        <v>0</v>
      </c>
    </row>
    <row r="11" ht="15" customHeight="1" s="84">
      <c r="A11" s="7" t="inlineStr">
        <is>
          <t>2021-03</t>
        </is>
      </c>
      <c r="B11" s="7" t="inlineStr">
        <is>
          <t>Q1</t>
        </is>
      </c>
      <c r="C11" s="104" t="n">
        <v>5</v>
      </c>
      <c r="D11" s="104" t="n">
        <v>33690</v>
      </c>
    </row>
    <row r="12" ht="15" customHeight="1" s="84">
      <c r="A12" s="7" t="inlineStr">
        <is>
          <t>2021-03</t>
        </is>
      </c>
      <c r="B12" s="7" t="inlineStr">
        <is>
          <t>Q2</t>
        </is>
      </c>
      <c r="C12" s="104" t="n">
        <v>412</v>
      </c>
      <c r="D12" s="104" t="n">
        <v>3036234</v>
      </c>
    </row>
    <row r="13" ht="15" customHeight="1" s="84">
      <c r="A13" s="7" t="inlineStr">
        <is>
          <t>2021-03</t>
        </is>
      </c>
      <c r="B13" s="7" t="inlineStr">
        <is>
          <t>Q3</t>
        </is>
      </c>
      <c r="C13" s="104" t="n">
        <v>0</v>
      </c>
      <c r="D13" s="104" t="n">
        <v>0</v>
      </c>
    </row>
    <row r="14" ht="15" customHeight="1" s="84">
      <c r="A14" s="7" t="inlineStr">
        <is>
          <t>2021-03</t>
        </is>
      </c>
      <c r="B14" s="7" t="inlineStr">
        <is>
          <t>Q4</t>
        </is>
      </c>
      <c r="C14" s="104" t="n">
        <v>0</v>
      </c>
      <c r="D14" s="104" t="n">
        <v>0</v>
      </c>
    </row>
    <row r="15" ht="15" customHeight="1" s="84">
      <c r="A15" s="7" t="inlineStr">
        <is>
          <t>2021-04</t>
        </is>
      </c>
      <c r="B15" s="7" t="inlineStr">
        <is>
          <t>Q1</t>
        </is>
      </c>
      <c r="C15" s="104" t="n">
        <v>5</v>
      </c>
      <c r="D15" s="104" t="n">
        <v>33690</v>
      </c>
    </row>
    <row r="16" ht="15" customHeight="1" s="84">
      <c r="A16" s="7" t="inlineStr">
        <is>
          <t>2021-04</t>
        </is>
      </c>
      <c r="B16" s="7" t="inlineStr">
        <is>
          <t>Q2</t>
        </is>
      </c>
      <c r="C16" s="104" t="n">
        <v>101</v>
      </c>
      <c r="D16" s="104" t="n">
        <v>735224</v>
      </c>
    </row>
    <row r="17" ht="15" customHeight="1" s="84">
      <c r="A17" s="7" t="inlineStr">
        <is>
          <t>2021-04</t>
        </is>
      </c>
      <c r="B17" s="7" t="inlineStr">
        <is>
          <t>Q3</t>
        </is>
      </c>
      <c r="C17" s="104" t="n">
        <v>0</v>
      </c>
      <c r="D17" s="104" t="n">
        <v>0</v>
      </c>
    </row>
    <row r="18" ht="15" customHeight="1" s="84">
      <c r="A18" s="7" t="inlineStr">
        <is>
          <t>2021-04</t>
        </is>
      </c>
      <c r="B18" s="7" t="inlineStr">
        <is>
          <t>Q4</t>
        </is>
      </c>
      <c r="C18" s="104" t="n">
        <v>0</v>
      </c>
      <c r="D18" s="104" t="n">
        <v>0</v>
      </c>
    </row>
    <row r="19" ht="15" customHeight="1" s="84">
      <c r="A19" s="7" t="inlineStr">
        <is>
          <t>2021-05</t>
        </is>
      </c>
      <c r="B19" s="7" t="inlineStr">
        <is>
          <t>Q1</t>
        </is>
      </c>
      <c r="C19" s="104" t="n">
        <v>4</v>
      </c>
      <c r="D19" s="104" t="n">
        <v>27096</v>
      </c>
    </row>
    <row r="20" ht="15" customHeight="1" s="84">
      <c r="A20" s="7" t="inlineStr">
        <is>
          <t>2021-05</t>
        </is>
      </c>
      <c r="B20" s="7" t="inlineStr">
        <is>
          <t>Q2</t>
        </is>
      </c>
      <c r="C20" s="104" t="n">
        <v>34</v>
      </c>
      <c r="D20" s="104" t="n">
        <v>243653</v>
      </c>
    </row>
    <row r="21" ht="15" customHeight="1" s="84">
      <c r="A21" s="7" t="inlineStr">
        <is>
          <t>2021-05</t>
        </is>
      </c>
      <c r="B21" s="7" t="inlineStr">
        <is>
          <t>Q3</t>
        </is>
      </c>
      <c r="C21" s="104" t="n">
        <v>0</v>
      </c>
      <c r="D21" s="104" t="n">
        <v>0</v>
      </c>
    </row>
    <row r="22" ht="15" customHeight="1" s="84">
      <c r="A22" s="7" t="inlineStr">
        <is>
          <t>2021-05</t>
        </is>
      </c>
      <c r="B22" s="7" t="inlineStr">
        <is>
          <t>Q4</t>
        </is>
      </c>
      <c r="C22" s="104" t="n">
        <v>0</v>
      </c>
      <c r="D22" s="104" t="n">
        <v>0</v>
      </c>
    </row>
    <row r="23" ht="15" customHeight="1" s="84">
      <c r="A23" s="7" t="inlineStr">
        <is>
          <t>2021-06</t>
        </is>
      </c>
      <c r="B23" s="7" t="inlineStr">
        <is>
          <t>Q1</t>
        </is>
      </c>
      <c r="C23" s="104" t="n">
        <v>3</v>
      </c>
      <c r="D23" s="104" t="n">
        <v>18363</v>
      </c>
    </row>
    <row r="24" ht="15" customHeight="1" s="84">
      <c r="A24" s="7" t="inlineStr">
        <is>
          <t>2021-06</t>
        </is>
      </c>
      <c r="B24" s="7" t="inlineStr">
        <is>
          <t>Q2</t>
        </is>
      </c>
      <c r="C24" s="104" t="n">
        <v>21</v>
      </c>
      <c r="D24" s="104" t="n">
        <v>149723</v>
      </c>
    </row>
    <row r="25" ht="15" customHeight="1" s="84">
      <c r="A25" s="7" t="inlineStr">
        <is>
          <t>2021-06</t>
        </is>
      </c>
      <c r="B25" s="7" t="inlineStr">
        <is>
          <t>Q3</t>
        </is>
      </c>
      <c r="C25" s="104" t="n">
        <v>417</v>
      </c>
      <c r="D25" s="104" t="n">
        <v>3075105</v>
      </c>
    </row>
    <row r="26" ht="15" customHeight="1" s="84">
      <c r="A26" s="7" t="inlineStr">
        <is>
          <t>2021-06</t>
        </is>
      </c>
      <c r="B26" s="7" t="inlineStr">
        <is>
          <t>Q4</t>
        </is>
      </c>
      <c r="C26" s="104" t="n">
        <v>0</v>
      </c>
      <c r="D26" s="104" t="n">
        <v>0</v>
      </c>
    </row>
    <row r="27" ht="15" customHeight="1" s="84">
      <c r="A27" s="7" t="inlineStr">
        <is>
          <t>2021-07</t>
        </is>
      </c>
      <c r="B27" s="7" t="inlineStr">
        <is>
          <t>Q2</t>
        </is>
      </c>
      <c r="C27" s="104" t="n">
        <v>5</v>
      </c>
      <c r="D27" s="104" t="n">
        <v>43695</v>
      </c>
    </row>
    <row r="28" ht="15" customHeight="1" s="84">
      <c r="A28" s="7" t="inlineStr">
        <is>
          <t>2021-07</t>
        </is>
      </c>
      <c r="B28" s="7" t="inlineStr">
        <is>
          <t>Q3</t>
        </is>
      </c>
      <c r="C28" s="104" t="n">
        <v>83</v>
      </c>
      <c r="D28" s="104" t="n">
        <v>626121</v>
      </c>
    </row>
    <row r="29" ht="15" customHeight="1" s="84">
      <c r="A29" s="7" t="inlineStr">
        <is>
          <t>2021-07</t>
        </is>
      </c>
      <c r="B29" s="7" t="inlineStr">
        <is>
          <t>Q4</t>
        </is>
      </c>
      <c r="C29" s="104" t="n">
        <v>417</v>
      </c>
      <c r="D29" s="104" t="n">
        <v>3077652</v>
      </c>
    </row>
    <row r="30" ht="15" customHeight="1" s="84">
      <c r="A30" s="7" t="inlineStr">
        <is>
          <t>2021-07</t>
        </is>
      </c>
      <c r="B30" s="7" t="inlineStr">
        <is>
          <t>Q1</t>
        </is>
      </c>
      <c r="C30" s="104" t="n">
        <v>417</v>
      </c>
      <c r="D30" s="104" t="n">
        <v>3077652</v>
      </c>
    </row>
    <row r="31" ht="15" customHeight="1" s="84">
      <c r="A31" s="7" t="inlineStr">
        <is>
          <t>2021-08</t>
        </is>
      </c>
      <c r="B31" s="7" t="inlineStr">
        <is>
          <t>Q2</t>
        </is>
      </c>
      <c r="C31" s="104" t="n">
        <v>1</v>
      </c>
      <c r="D31" s="104" t="n">
        <v>7827</v>
      </c>
    </row>
    <row r="32" ht="15" customHeight="1" s="84">
      <c r="A32" s="7" t="inlineStr">
        <is>
          <t>2021-08</t>
        </is>
      </c>
      <c r="B32" s="7" t="inlineStr">
        <is>
          <t>Q3</t>
        </is>
      </c>
      <c r="C32" s="104" t="n">
        <v>22</v>
      </c>
      <c r="D32" s="104" t="n">
        <v>159846</v>
      </c>
    </row>
    <row r="33" ht="15" customHeight="1" s="84">
      <c r="A33" s="7" t="inlineStr">
        <is>
          <t>2021-08</t>
        </is>
      </c>
      <c r="B33" s="7" t="inlineStr">
        <is>
          <t>Q4</t>
        </is>
      </c>
      <c r="C33" s="104" t="n">
        <v>417</v>
      </c>
      <c r="D33" s="104" t="n">
        <v>3077652</v>
      </c>
    </row>
    <row r="34" ht="15" customHeight="1" s="84">
      <c r="A34" s="7" t="inlineStr">
        <is>
          <t>2021-08</t>
        </is>
      </c>
      <c r="B34" s="7" t="inlineStr">
        <is>
          <t>Q1</t>
        </is>
      </c>
      <c r="C34" s="104" t="n">
        <v>417</v>
      </c>
      <c r="D34" s="104" t="n">
        <v>3077652</v>
      </c>
    </row>
    <row r="35" ht="15" customHeight="1" s="84">
      <c r="A35" s="7" t="inlineStr">
        <is>
          <t>2021-09</t>
        </is>
      </c>
      <c r="B35" s="7" t="inlineStr">
        <is>
          <t>Q3</t>
        </is>
      </c>
      <c r="C35" s="104" t="n">
        <v>13</v>
      </c>
      <c r="D35" s="104" t="n">
        <v>94134</v>
      </c>
    </row>
    <row r="36" ht="15" customHeight="1" s="84">
      <c r="A36" s="7" t="inlineStr">
        <is>
          <t>2021-09</t>
        </is>
      </c>
      <c r="B36" s="7" t="inlineStr">
        <is>
          <t>Q4</t>
        </is>
      </c>
      <c r="C36" s="104" t="n">
        <v>417</v>
      </c>
      <c r="D36" s="104" t="n">
        <v>3077652</v>
      </c>
    </row>
    <row r="37" ht="15" customHeight="1" s="84">
      <c r="A37" s="7" t="inlineStr">
        <is>
          <t>2021-09</t>
        </is>
      </c>
      <c r="B37" s="7" t="inlineStr">
        <is>
          <t>Q1</t>
        </is>
      </c>
      <c r="C37" s="104" t="n">
        <v>417</v>
      </c>
      <c r="D37" s="104" t="n">
        <v>3077652</v>
      </c>
    </row>
    <row r="38" ht="15" customHeight="1" s="84">
      <c r="A38" s="7" t="inlineStr">
        <is>
          <t>2021-10</t>
        </is>
      </c>
      <c r="B38" s="7" t="inlineStr">
        <is>
          <t>Q3</t>
        </is>
      </c>
      <c r="C38" s="104" t="n">
        <v>4</v>
      </c>
      <c r="D38" s="104" t="n">
        <v>24462</v>
      </c>
    </row>
    <row r="39" ht="15" customHeight="1" s="84">
      <c r="A39" s="7" t="inlineStr">
        <is>
          <t>2021-10</t>
        </is>
      </c>
      <c r="B39" s="7" t="inlineStr">
        <is>
          <t>Q4</t>
        </is>
      </c>
      <c r="C39" s="104" t="n">
        <v>110</v>
      </c>
      <c r="D39" s="104" t="n">
        <v>793545</v>
      </c>
    </row>
    <row r="40" ht="15" customHeight="1" s="84">
      <c r="A40" s="7" t="inlineStr">
        <is>
          <t>2021-10</t>
        </is>
      </c>
      <c r="B40" s="7" t="inlineStr">
        <is>
          <t>Q1</t>
        </is>
      </c>
      <c r="C40" s="104" t="n">
        <v>416</v>
      </c>
      <c r="D40" s="104" t="n">
        <v>3068715</v>
      </c>
    </row>
    <row r="41" ht="15" customHeight="1" s="84">
      <c r="A41" s="7" t="inlineStr">
        <is>
          <t>2021-11</t>
        </is>
      </c>
      <c r="B41" s="7" t="inlineStr">
        <is>
          <t>Q3</t>
        </is>
      </c>
      <c r="C41" s="104" t="n">
        <v>4</v>
      </c>
      <c r="D41" s="104" t="n">
        <v>24462</v>
      </c>
    </row>
    <row r="42" ht="15" customHeight="1" s="84">
      <c r="A42" s="7" t="inlineStr">
        <is>
          <t>2021-11</t>
        </is>
      </c>
      <c r="B42" s="7" t="inlineStr">
        <is>
          <t>Q4</t>
        </is>
      </c>
      <c r="C42" s="104" t="n">
        <v>31</v>
      </c>
      <c r="D42" s="104" t="n">
        <v>209469</v>
      </c>
    </row>
    <row r="43" ht="15" customHeight="1" s="84">
      <c r="A43" s="7" t="inlineStr">
        <is>
          <t>2021-11</t>
        </is>
      </c>
      <c r="B43" s="7" t="inlineStr">
        <is>
          <t>Q1</t>
        </is>
      </c>
      <c r="C43" s="104" t="n">
        <v>416</v>
      </c>
      <c r="D43" s="104" t="n">
        <v>3068625</v>
      </c>
    </row>
    <row r="44" ht="15" customHeight="1" s="84">
      <c r="A44" s="7" t="inlineStr">
        <is>
          <t>2021-12</t>
        </is>
      </c>
      <c r="B44" s="7" t="inlineStr">
        <is>
          <t>Q3</t>
        </is>
      </c>
      <c r="C44" s="104" t="n">
        <v>2</v>
      </c>
      <c r="D44" s="104" t="n">
        <v>14145</v>
      </c>
    </row>
    <row r="45" ht="15" customHeight="1" s="84">
      <c r="A45" s="7" t="inlineStr">
        <is>
          <t>2021-12</t>
        </is>
      </c>
      <c r="B45" s="7" t="inlineStr">
        <is>
          <t>Q4</t>
        </is>
      </c>
      <c r="C45" s="104" t="n">
        <v>5</v>
      </c>
      <c r="D45" s="104" t="n">
        <v>35532</v>
      </c>
    </row>
    <row r="46" ht="15" customHeight="1" s="84">
      <c r="A46" s="7" t="inlineStr">
        <is>
          <t>2021-12</t>
        </is>
      </c>
      <c r="B46" s="7" t="inlineStr">
        <is>
          <t>Q1</t>
        </is>
      </c>
      <c r="C46" s="104" t="n">
        <v>416</v>
      </c>
      <c r="D46" s="104" t="n">
        <v>3068625</v>
      </c>
    </row>
    <row r="47" ht="15" customHeight="1" s="84">
      <c r="A47" s="7" t="inlineStr">
        <is>
          <t>2022-01</t>
        </is>
      </c>
      <c r="B47" s="7" t="inlineStr">
        <is>
          <t>Q4</t>
        </is>
      </c>
      <c r="C47" s="104" t="n">
        <v>2</v>
      </c>
      <c r="D47" s="104" t="n">
        <v>12219</v>
      </c>
    </row>
    <row r="48" ht="15" customHeight="1" s="84">
      <c r="A48" s="7" t="inlineStr">
        <is>
          <t>2022-01</t>
        </is>
      </c>
      <c r="B48" s="7" t="inlineStr">
        <is>
          <t>Q1</t>
        </is>
      </c>
      <c r="C48" s="104" t="n">
        <v>98</v>
      </c>
      <c r="D48" s="104" t="n">
        <v>711651</v>
      </c>
    </row>
    <row r="49" ht="15" customHeight="1" s="84">
      <c r="A49" s="7" t="inlineStr">
        <is>
          <t>2022-02</t>
        </is>
      </c>
      <c r="B49" s="7" t="inlineStr">
        <is>
          <t>Q4</t>
        </is>
      </c>
      <c r="C49" s="104" t="n">
        <v>1</v>
      </c>
      <c r="D49" s="104" t="n">
        <v>5919</v>
      </c>
    </row>
    <row r="50" ht="15" customHeight="1" s="84">
      <c r="A50" s="7" t="inlineStr">
        <is>
          <t>2022-02</t>
        </is>
      </c>
      <c r="B50" s="7" t="inlineStr">
        <is>
          <t>Q1</t>
        </is>
      </c>
      <c r="C50" s="104" t="n">
        <v>10</v>
      </c>
      <c r="D50" s="104" t="n">
        <v>62199</v>
      </c>
    </row>
    <row r="51" ht="15" customHeight="1" s="84">
      <c r="A51" s="7" t="inlineStr">
        <is>
          <t>2022-03</t>
        </is>
      </c>
      <c r="B51" s="7" t="inlineStr">
        <is>
          <t>Q1</t>
        </is>
      </c>
      <c r="C51" s="104" t="n">
        <v>2</v>
      </c>
      <c r="D51" s="104" t="n">
        <v>12318</v>
      </c>
    </row>
    <row r="52" ht="15" customHeight="1" s="84">
      <c r="A52" s="7" t="inlineStr">
        <is>
          <t>2022-03</t>
        </is>
      </c>
      <c r="B52" s="7" t="inlineStr">
        <is>
          <t>Q2</t>
        </is>
      </c>
      <c r="C52" s="104" t="n">
        <v>415</v>
      </c>
      <c r="D52" s="104" t="n">
        <v>3836767</v>
      </c>
    </row>
    <row r="53" ht="15" customHeight="1" s="84">
      <c r="A53" s="7" t="inlineStr">
        <is>
          <t>2022-04</t>
        </is>
      </c>
      <c r="B53" s="7" t="inlineStr">
        <is>
          <t>Q1</t>
        </is>
      </c>
      <c r="C53" s="104" t="n">
        <v>1</v>
      </c>
      <c r="D53" s="104" t="n">
        <v>6141</v>
      </c>
    </row>
    <row r="54" ht="15" customHeight="1" s="84">
      <c r="A54" s="7" t="inlineStr">
        <is>
          <t>2022-04</t>
        </is>
      </c>
      <c r="B54" s="7" t="inlineStr">
        <is>
          <t>Q2</t>
        </is>
      </c>
      <c r="C54" s="104" t="n">
        <v>96</v>
      </c>
      <c r="D54" s="104" t="n">
        <v>887563</v>
      </c>
    </row>
    <row r="55" ht="15" customHeight="1" s="84">
      <c r="A55" s="7" t="inlineStr">
        <is>
          <t>2022-05</t>
        </is>
      </c>
      <c r="B55" s="7" t="inlineStr">
        <is>
          <t>Q1</t>
        </is>
      </c>
      <c r="C55" s="104" t="n">
        <v>1</v>
      </c>
      <c r="D55" s="104" t="n">
        <v>6141</v>
      </c>
    </row>
    <row r="56" ht="15" customHeight="1" s="84">
      <c r="A56" s="7" t="inlineStr">
        <is>
          <t>2022-05</t>
        </is>
      </c>
      <c r="B56" s="7" t="inlineStr">
        <is>
          <t>Q2</t>
        </is>
      </c>
      <c r="C56" s="104" t="n">
        <v>23</v>
      </c>
      <c r="D56" s="104" t="n">
        <v>183670</v>
      </c>
    </row>
    <row r="57" ht="15" customHeight="1" s="84">
      <c r="A57" s="7" t="inlineStr">
        <is>
          <t>2022-06</t>
        </is>
      </c>
      <c r="B57" s="7" t="inlineStr">
        <is>
          <t>Q2</t>
        </is>
      </c>
      <c r="C57" s="104" t="n">
        <v>12</v>
      </c>
      <c r="D57" s="104" t="n">
        <v>104359</v>
      </c>
    </row>
    <row r="58" ht="15" customHeight="1" s="84">
      <c r="A58" s="7" t="inlineStr">
        <is>
          <t>2022-07</t>
        </is>
      </c>
      <c r="B58" s="7" t="inlineStr">
        <is>
          <t>Q2</t>
        </is>
      </c>
      <c r="C58" s="104" t="n">
        <v>4</v>
      </c>
      <c r="D58" s="104" t="n">
        <v>33135</v>
      </c>
    </row>
    <row r="59" ht="15" customHeight="1" s="84">
      <c r="A59" s="7" t="inlineStr">
        <is>
          <t>2022-07</t>
        </is>
      </c>
      <c r="B59" s="7" t="inlineStr">
        <is>
          <t>Q3</t>
        </is>
      </c>
      <c r="C59" s="104" t="n">
        <v>108</v>
      </c>
      <c r="D59" s="104" t="n">
        <v>981279</v>
      </c>
    </row>
    <row r="60" ht="15" customHeight="1" s="84">
      <c r="A60" s="7" t="inlineStr">
        <is>
          <t>2022-07</t>
        </is>
      </c>
      <c r="B60" s="7" t="inlineStr">
        <is>
          <t>Q2</t>
        </is>
      </c>
      <c r="C60" s="104" t="n">
        <v>0</v>
      </c>
      <c r="D60" s="104" t="n">
        <v>0</v>
      </c>
    </row>
    <row r="61" ht="15" customHeight="1" s="84">
      <c r="A61" s="7" t="inlineStr">
        <is>
          <t>2022-08</t>
        </is>
      </c>
      <c r="B61" s="7" t="inlineStr">
        <is>
          <t>Q2</t>
        </is>
      </c>
      <c r="C61" s="104" t="n">
        <v>1</v>
      </c>
      <c r="D61" s="104" t="n">
        <v>7776</v>
      </c>
    </row>
    <row r="62" ht="15" customHeight="1" s="84">
      <c r="A62" s="7" t="inlineStr">
        <is>
          <t>2022-08</t>
        </is>
      </c>
      <c r="B62" s="7" t="inlineStr">
        <is>
          <t>Q3</t>
        </is>
      </c>
      <c r="C62" s="104" t="n">
        <v>21</v>
      </c>
      <c r="D62" s="104" t="n">
        <v>170748</v>
      </c>
    </row>
    <row r="63" ht="15" customHeight="1" s="84">
      <c r="A63" s="7" t="inlineStr">
        <is>
          <t>2022-08</t>
        </is>
      </c>
      <c r="B63" s="7" t="inlineStr">
        <is>
          <t>Q2</t>
        </is>
      </c>
      <c r="C63" s="104" t="n">
        <v>0</v>
      </c>
      <c r="D63" s="104" t="n">
        <v>0</v>
      </c>
    </row>
    <row r="64" ht="15" customHeight="1" s="84">
      <c r="A64" s="7" t="inlineStr">
        <is>
          <t>2022-09</t>
        </is>
      </c>
      <c r="B64" s="7" t="inlineStr">
        <is>
          <t>Q2</t>
        </is>
      </c>
      <c r="C64" s="104" t="n">
        <v>1</v>
      </c>
      <c r="D64" s="104" t="n">
        <v>7776</v>
      </c>
    </row>
    <row r="65" ht="15" customHeight="1" s="84">
      <c r="A65" s="7" t="inlineStr">
        <is>
          <t>2022-09</t>
        </is>
      </c>
      <c r="B65" s="7" t="inlineStr">
        <is>
          <t>Q3</t>
        </is>
      </c>
      <c r="C65" s="104" t="n">
        <v>5</v>
      </c>
      <c r="D65" s="104" t="n">
        <v>38136</v>
      </c>
    </row>
    <row r="66" ht="15" customHeight="1" s="84">
      <c r="A66" s="7" t="inlineStr">
        <is>
          <t>2022-09</t>
        </is>
      </c>
      <c r="B66" s="7" t="inlineStr">
        <is>
          <t>Q2</t>
        </is>
      </c>
      <c r="C66" s="104" t="n">
        <v>0</v>
      </c>
      <c r="D66" s="104" t="n">
        <v>0</v>
      </c>
    </row>
    <row r="67" ht="15" customHeight="1" s="84">
      <c r="A67" s="7" t="inlineStr">
        <is>
          <t>2022-10</t>
        </is>
      </c>
      <c r="B67" s="7" t="inlineStr">
        <is>
          <t>Q3</t>
        </is>
      </c>
      <c r="C67" s="104" t="n">
        <v>3</v>
      </c>
      <c r="D67" s="104" t="n">
        <v>20562</v>
      </c>
    </row>
    <row r="68" ht="15" customHeight="1" s="84">
      <c r="A68" s="7" t="inlineStr">
        <is>
          <t>2022-10</t>
        </is>
      </c>
      <c r="B68" s="7" t="inlineStr">
        <is>
          <t>Q4</t>
        </is>
      </c>
      <c r="C68" s="104" t="n">
        <v>73</v>
      </c>
      <c r="D68" s="104" t="n">
        <v>659844</v>
      </c>
    </row>
    <row r="69" ht="15" customHeight="1" s="84">
      <c r="A69" s="7" t="inlineStr">
        <is>
          <t>2022-10</t>
        </is>
      </c>
      <c r="B69" s="7" t="inlineStr">
        <is>
          <t>Q3</t>
        </is>
      </c>
      <c r="C69" s="104" t="n">
        <v>0</v>
      </c>
      <c r="D69" s="104" t="n">
        <v>0</v>
      </c>
    </row>
    <row r="70" ht="15" customHeight="1" s="84">
      <c r="A70" s="7" t="inlineStr">
        <is>
          <t>2022-11</t>
        </is>
      </c>
      <c r="B70" s="7" t="inlineStr">
        <is>
          <t>Q3</t>
        </is>
      </c>
      <c r="C70" s="104" t="n">
        <v>2</v>
      </c>
      <c r="D70" s="104" t="n">
        <v>13065</v>
      </c>
    </row>
    <row r="71" ht="15" customHeight="1" s="84">
      <c r="A71" s="7" t="inlineStr">
        <is>
          <t>2022-11</t>
        </is>
      </c>
      <c r="B71" s="7" t="inlineStr">
        <is>
          <t>Q4</t>
        </is>
      </c>
      <c r="C71" s="104" t="n">
        <v>21</v>
      </c>
      <c r="D71" s="104" t="n">
        <v>182508</v>
      </c>
    </row>
    <row r="72" ht="15" customHeight="1" s="84">
      <c r="A72" s="7" t="inlineStr">
        <is>
          <t>2022-11</t>
        </is>
      </c>
      <c r="B72" s="7" t="inlineStr">
        <is>
          <t>Q3</t>
        </is>
      </c>
      <c r="C72" s="104" t="n">
        <v>0</v>
      </c>
      <c r="D72" s="104" t="n">
        <v>0</v>
      </c>
    </row>
    <row r="73" ht="15" customHeight="1" s="84">
      <c r="A73" s="7" t="inlineStr">
        <is>
          <t>2022-12</t>
        </is>
      </c>
      <c r="B73" s="7" t="inlineStr">
        <is>
          <t>Q3</t>
        </is>
      </c>
      <c r="C73" s="104" t="n">
        <v>2</v>
      </c>
      <c r="D73" s="104" t="n">
        <v>13065</v>
      </c>
    </row>
    <row r="74" ht="15" customHeight="1" s="84">
      <c r="A74" s="7" t="inlineStr">
        <is>
          <t>2022-12</t>
        </is>
      </c>
      <c r="B74" s="7" t="inlineStr">
        <is>
          <t>Q4</t>
        </is>
      </c>
      <c r="C74" s="104" t="n">
        <v>13</v>
      </c>
      <c r="D74" s="104" t="n">
        <v>114174</v>
      </c>
    </row>
    <row r="75" ht="15" customHeight="1" s="84">
      <c r="A75" s="7" t="inlineStr">
        <is>
          <t>2022-12</t>
        </is>
      </c>
      <c r="B75" s="7" t="inlineStr">
        <is>
          <t>Q3</t>
        </is>
      </c>
      <c r="C75" s="104" t="n">
        <v>0</v>
      </c>
      <c r="D75" s="104" t="n">
        <v>0</v>
      </c>
    </row>
    <row r="76" ht="15" customHeight="1" s="84">
      <c r="A76" s="7" t="inlineStr">
        <is>
          <t>2023-01</t>
        </is>
      </c>
      <c r="B76" s="7" t="inlineStr">
        <is>
          <t>Q3</t>
        </is>
      </c>
      <c r="C76" s="104" t="n">
        <v>2</v>
      </c>
      <c r="D76" s="104" t="n">
        <v>13065</v>
      </c>
    </row>
    <row r="77" ht="15" customHeight="1" s="84">
      <c r="A77" s="7" t="inlineStr">
        <is>
          <t>2023-01</t>
        </is>
      </c>
      <c r="B77" s="7" t="inlineStr">
        <is>
          <t>Q4</t>
        </is>
      </c>
      <c r="C77" s="104" t="n">
        <v>5</v>
      </c>
      <c r="D77" s="104" t="n">
        <v>38721</v>
      </c>
    </row>
    <row r="78" ht="15" customHeight="1" s="84">
      <c r="A78" s="7" t="inlineStr">
        <is>
          <t>2023-01</t>
        </is>
      </c>
      <c r="B78" s="7" t="inlineStr">
        <is>
          <t>Q1</t>
        </is>
      </c>
      <c r="C78" s="104" t="n">
        <v>77</v>
      </c>
      <c r="D78" s="104" t="n">
        <v>706716</v>
      </c>
    </row>
    <row r="79" ht="15" customHeight="1" s="84">
      <c r="A79" s="7" t="inlineStr">
        <is>
          <t>2023-01</t>
        </is>
      </c>
      <c r="B79" s="7" t="inlineStr">
        <is>
          <t>Q3</t>
        </is>
      </c>
      <c r="C79" s="104" t="n">
        <v>0</v>
      </c>
      <c r="D79" s="104" t="n">
        <v>0</v>
      </c>
    </row>
    <row r="80" ht="15" customHeight="1" s="84">
      <c r="A80" s="7" t="inlineStr">
        <is>
          <t>2023-02</t>
        </is>
      </c>
      <c r="B80" s="7" t="inlineStr">
        <is>
          <t>Q3</t>
        </is>
      </c>
      <c r="C80" s="104" t="n">
        <v>2</v>
      </c>
      <c r="D80" s="104" t="n">
        <v>13065</v>
      </c>
    </row>
    <row r="81" ht="15" customHeight="1" s="84">
      <c r="A81" s="7" t="inlineStr">
        <is>
          <t>2023-02</t>
        </is>
      </c>
      <c r="B81" s="7" t="inlineStr">
        <is>
          <t>Q4</t>
        </is>
      </c>
      <c r="C81" s="104" t="n">
        <v>3</v>
      </c>
      <c r="D81" s="104" t="n">
        <v>20940</v>
      </c>
    </row>
    <row r="82" ht="15" customHeight="1" s="84">
      <c r="A82" s="7" t="inlineStr">
        <is>
          <t>2023-02</t>
        </is>
      </c>
      <c r="B82" s="7" t="inlineStr">
        <is>
          <t>Q1</t>
        </is>
      </c>
      <c r="C82" s="104" t="n">
        <v>23</v>
      </c>
      <c r="D82" s="104" t="n">
        <v>200301</v>
      </c>
    </row>
    <row r="83" ht="15" customHeight="1" s="84">
      <c r="A83" s="7" t="inlineStr">
        <is>
          <t>2023-02</t>
        </is>
      </c>
      <c r="B83" s="7" t="inlineStr">
        <is>
          <t>Q3</t>
        </is>
      </c>
      <c r="C83" s="104" t="n">
        <v>0</v>
      </c>
      <c r="D83" s="104" t="n">
        <v>0</v>
      </c>
    </row>
    <row r="84" ht="15" customHeight="1" s="84">
      <c r="A84" s="7" t="inlineStr">
        <is>
          <t>2023-03</t>
        </is>
      </c>
      <c r="B84" s="7" t="inlineStr">
        <is>
          <t>Q1</t>
        </is>
      </c>
      <c r="C84" s="104" t="n">
        <v>12</v>
      </c>
      <c r="D84" s="104" t="n">
        <v>107196</v>
      </c>
    </row>
    <row r="85" ht="15" customHeight="1" s="84">
      <c r="A85" s="7" t="inlineStr">
        <is>
          <t>2023-03</t>
        </is>
      </c>
      <c r="B85" s="7" t="inlineStr">
        <is>
          <t>Q2</t>
        </is>
      </c>
      <c r="C85" s="104" t="n">
        <v>417</v>
      </c>
      <c r="D85" s="104" t="n">
        <v>3846441</v>
      </c>
    </row>
    <row r="86" ht="15" customHeight="1" s="84">
      <c r="A86" s="7" t="inlineStr">
        <is>
          <t>2023-03</t>
        </is>
      </c>
      <c r="B86" s="7" t="inlineStr">
        <is>
          <t>Q1</t>
        </is>
      </c>
      <c r="C86" s="104" t="n">
        <v>0</v>
      </c>
      <c r="D86" s="104" t="n">
        <v>0</v>
      </c>
    </row>
    <row r="87" ht="15" customHeight="1" s="84">
      <c r="A87" s="7" t="inlineStr">
        <is>
          <t>2023-04</t>
        </is>
      </c>
      <c r="B87" s="7" t="inlineStr">
        <is>
          <t>Q1</t>
        </is>
      </c>
      <c r="C87" s="104" t="n">
        <v>7</v>
      </c>
      <c r="D87" s="104" t="n">
        <v>65316</v>
      </c>
    </row>
    <row r="88" ht="15" customHeight="1" s="84">
      <c r="A88" s="7" t="inlineStr">
        <is>
          <t>2023-04</t>
        </is>
      </c>
      <c r="B88" s="7" t="inlineStr">
        <is>
          <t>Q2</t>
        </is>
      </c>
      <c r="C88" s="104" t="n">
        <v>106</v>
      </c>
      <c r="D88" s="104" t="n">
        <v>957012</v>
      </c>
    </row>
    <row r="89" ht="15" customHeight="1" s="84">
      <c r="A89" s="7" t="inlineStr">
        <is>
          <t>2023-04</t>
        </is>
      </c>
      <c r="B89" s="7" t="inlineStr">
        <is>
          <t>Q1</t>
        </is>
      </c>
      <c r="C89" s="104" t="n">
        <v>0</v>
      </c>
      <c r="D89" s="104" t="n">
        <v>0</v>
      </c>
    </row>
    <row r="90" ht="15" customHeight="1" s="84">
      <c r="A90" s="7" t="inlineStr">
        <is>
          <t>2023-05</t>
        </is>
      </c>
      <c r="B90" s="7" t="inlineStr">
        <is>
          <t>Q1</t>
        </is>
      </c>
      <c r="C90" s="104" t="n">
        <v>4</v>
      </c>
      <c r="D90" s="104" t="n">
        <v>37002</v>
      </c>
    </row>
    <row r="91" ht="15" customHeight="1" s="84">
      <c r="A91" s="7" t="inlineStr">
        <is>
          <t>2023-05</t>
        </is>
      </c>
      <c r="B91" s="7" t="inlineStr">
        <is>
          <t>Q2</t>
        </is>
      </c>
      <c r="C91" s="104" t="n">
        <v>16</v>
      </c>
      <c r="D91" s="104" t="n">
        <v>137757</v>
      </c>
    </row>
    <row r="92" ht="15" customHeight="1" s="84">
      <c r="A92" s="7" t="inlineStr">
        <is>
          <t>2023-05</t>
        </is>
      </c>
      <c r="B92" s="7" t="inlineStr">
        <is>
          <t>Q3</t>
        </is>
      </c>
      <c r="C92" s="104" t="n">
        <v>417</v>
      </c>
      <c r="D92" s="104" t="n">
        <v>3849843</v>
      </c>
    </row>
    <row r="93" ht="15" customHeight="1" s="84">
      <c r="A93" s="7" t="inlineStr">
        <is>
          <t>2023-05</t>
        </is>
      </c>
      <c r="B93" s="7" t="inlineStr">
        <is>
          <t>Q1</t>
        </is>
      </c>
      <c r="C93" s="104" t="n">
        <v>0</v>
      </c>
      <c r="D93" s="104" t="n">
        <v>0</v>
      </c>
    </row>
    <row r="94" ht="15" customHeight="1" s="84">
      <c r="A94" s="7" t="inlineStr">
        <is>
          <t>2023-06</t>
        </is>
      </c>
      <c r="B94" s="7" t="inlineStr">
        <is>
          <t>Q1</t>
        </is>
      </c>
      <c r="C94" s="104" t="n">
        <v>2</v>
      </c>
      <c r="D94" s="104" t="n">
        <v>21432</v>
      </c>
    </row>
    <row r="95" ht="15" customHeight="1" s="84">
      <c r="A95" s="7" t="inlineStr">
        <is>
          <t>2023-06</t>
        </is>
      </c>
      <c r="B95" s="7" t="inlineStr">
        <is>
          <t>Q2</t>
        </is>
      </c>
      <c r="C95" s="104" t="n">
        <v>5</v>
      </c>
      <c r="D95" s="104" t="n">
        <v>42063</v>
      </c>
    </row>
    <row r="96" ht="15" customHeight="1" s="84">
      <c r="A96" s="7" t="inlineStr">
        <is>
          <t>2023-06</t>
        </is>
      </c>
      <c r="B96" s="7" t="inlineStr">
        <is>
          <t>Q3</t>
        </is>
      </c>
      <c r="C96" s="104" t="n">
        <v>416</v>
      </c>
      <c r="D96" s="104" t="n">
        <v>3842328</v>
      </c>
    </row>
    <row r="97" ht="15" customHeight="1" s="84">
      <c r="A97" s="7" t="inlineStr">
        <is>
          <t>2023-06</t>
        </is>
      </c>
      <c r="B97" s="7" t="inlineStr">
        <is>
          <t>Q1</t>
        </is>
      </c>
      <c r="C97" s="104" t="n">
        <v>0</v>
      </c>
      <c r="D97" s="104" t="n">
        <v>0</v>
      </c>
    </row>
    <row r="98" ht="15" customHeight="1" s="84">
      <c r="A98" s="7" t="inlineStr">
        <is>
          <t>2023-07</t>
        </is>
      </c>
      <c r="B98" s="7" t="inlineStr">
        <is>
          <t>Q2</t>
        </is>
      </c>
      <c r="C98" s="104" t="n">
        <v>5</v>
      </c>
      <c r="D98" s="104" t="n">
        <v>42063</v>
      </c>
    </row>
    <row r="99" ht="15" customHeight="1" s="84">
      <c r="A99" s="7" t="inlineStr">
        <is>
          <t>2023-07</t>
        </is>
      </c>
      <c r="B99" s="7" t="inlineStr">
        <is>
          <t>Q3</t>
        </is>
      </c>
      <c r="C99" s="104" t="n">
        <v>80</v>
      </c>
      <c r="D99" s="104" t="n">
        <v>726183</v>
      </c>
    </row>
    <row r="100" ht="15" customHeight="1" s="84">
      <c r="A100" s="7" t="inlineStr">
        <is>
          <t>2023-07</t>
        </is>
      </c>
      <c r="B100" s="7" t="inlineStr">
        <is>
          <t>Q4</t>
        </is>
      </c>
      <c r="C100" s="104" t="n">
        <v>417</v>
      </c>
      <c r="D100" s="104" t="n">
        <v>3848613</v>
      </c>
    </row>
    <row r="101" ht="15" customHeight="1" s="84">
      <c r="A101" s="7" t="inlineStr">
        <is>
          <t>2023-07</t>
        </is>
      </c>
      <c r="B101" s="7" t="inlineStr">
        <is>
          <t>Q2</t>
        </is>
      </c>
      <c r="C101" s="104" t="n">
        <v>0</v>
      </c>
      <c r="D101" s="104" t="n">
        <v>0</v>
      </c>
    </row>
    <row r="102" ht="15" customHeight="1" s="84">
      <c r="A102" s="7" t="inlineStr">
        <is>
          <t>2023-08</t>
        </is>
      </c>
      <c r="B102" s="7" t="inlineStr">
        <is>
          <t>Q2</t>
        </is>
      </c>
      <c r="C102" s="104" t="n">
        <v>3</v>
      </c>
      <c r="D102" s="104" t="n">
        <v>23148</v>
      </c>
    </row>
    <row r="103" ht="15" customHeight="1" s="84">
      <c r="A103" s="7" t="inlineStr">
        <is>
          <t>2023-08</t>
        </is>
      </c>
      <c r="B103" s="7" t="inlineStr">
        <is>
          <t>Q3</t>
        </is>
      </c>
      <c r="C103" s="104" t="n">
        <v>31</v>
      </c>
      <c r="D103" s="104" t="n">
        <v>264681</v>
      </c>
    </row>
    <row r="104" ht="15" customHeight="1" s="84">
      <c r="A104" s="7" t="inlineStr">
        <is>
          <t>2023-08</t>
        </is>
      </c>
      <c r="B104" s="7" t="inlineStr">
        <is>
          <t>Q4</t>
        </is>
      </c>
      <c r="C104" s="104" t="n">
        <v>417</v>
      </c>
      <c r="D104" s="104" t="n">
        <v>3848613</v>
      </c>
    </row>
    <row r="105" ht="15" customHeight="1" s="84">
      <c r="A105" s="7" t="inlineStr">
        <is>
          <t>2023-08</t>
        </is>
      </c>
      <c r="B105" s="7" t="inlineStr">
        <is>
          <t>Q2</t>
        </is>
      </c>
      <c r="C105" s="104" t="n">
        <v>0</v>
      </c>
      <c r="D105" s="104" t="n">
        <v>0</v>
      </c>
    </row>
    <row r="106" ht="15" customHeight="1" s="84">
      <c r="A106" s="7" t="inlineStr">
        <is>
          <t>2023-09</t>
        </is>
      </c>
      <c r="B106" s="7" t="inlineStr">
        <is>
          <t>Q2</t>
        </is>
      </c>
      <c r="C106" s="104" t="n">
        <v>2</v>
      </c>
      <c r="D106" s="104" t="n">
        <v>15651</v>
      </c>
    </row>
    <row r="107" ht="15" customHeight="1" s="84">
      <c r="A107" s="7" t="inlineStr">
        <is>
          <t>2023-09</t>
        </is>
      </c>
      <c r="B107" s="7" t="inlineStr">
        <is>
          <t>Q3</t>
        </is>
      </c>
      <c r="C107" s="104" t="n">
        <v>22</v>
      </c>
      <c r="D107" s="104" t="n">
        <v>196434</v>
      </c>
    </row>
    <row r="108" ht="15" customHeight="1" s="84">
      <c r="A108" s="7" t="inlineStr">
        <is>
          <t>2023-09</t>
        </is>
      </c>
      <c r="B108" s="7" t="inlineStr">
        <is>
          <t>Q4</t>
        </is>
      </c>
      <c r="C108" s="104" t="n">
        <v>417</v>
      </c>
      <c r="D108" s="104" t="n">
        <v>3848613</v>
      </c>
    </row>
    <row r="109" ht="15" customHeight="1" s="84">
      <c r="A109" s="7" t="inlineStr">
        <is>
          <t>2023-09</t>
        </is>
      </c>
      <c r="B109" s="7" t="inlineStr">
        <is>
          <t>Q2</t>
        </is>
      </c>
      <c r="C109" s="104" t="n">
        <v>0</v>
      </c>
      <c r="D109" s="104" t="n">
        <v>0</v>
      </c>
    </row>
    <row r="110" ht="15" customHeight="1" s="84">
      <c r="A110" s="7" t="inlineStr">
        <is>
          <t>2023-10</t>
        </is>
      </c>
      <c r="B110" s="7" t="inlineStr">
        <is>
          <t>Q2</t>
        </is>
      </c>
      <c r="C110" s="104" t="n">
        <v>1</v>
      </c>
      <c r="D110" s="104" t="n">
        <v>7776</v>
      </c>
    </row>
    <row r="111" ht="15" customHeight="1" s="84">
      <c r="A111" s="7" t="inlineStr">
        <is>
          <t>2023-10</t>
        </is>
      </c>
      <c r="B111" s="7" t="inlineStr">
        <is>
          <t>Q3</t>
        </is>
      </c>
      <c r="C111" s="104" t="n">
        <v>5</v>
      </c>
      <c r="D111" s="104" t="n">
        <v>36462</v>
      </c>
    </row>
    <row r="112" ht="15" customHeight="1" s="84">
      <c r="A112" s="7" t="inlineStr">
        <is>
          <t>2023-10</t>
        </is>
      </c>
      <c r="B112" s="7" t="inlineStr">
        <is>
          <t>Q4</t>
        </is>
      </c>
      <c r="C112" s="104" t="n">
        <v>63</v>
      </c>
      <c r="D112" s="104" t="n">
        <v>574179</v>
      </c>
    </row>
    <row r="113" ht="15" customHeight="1" s="84">
      <c r="A113" s="7" t="inlineStr">
        <is>
          <t>2023-10</t>
        </is>
      </c>
      <c r="B113" s="7" t="inlineStr">
        <is>
          <t>Q1</t>
        </is>
      </c>
      <c r="C113" s="104" t="n">
        <v>415</v>
      </c>
      <c r="D113" s="104" t="n">
        <v>3833571</v>
      </c>
    </row>
    <row r="114" ht="15" customHeight="1" s="84">
      <c r="A114" s="7" t="inlineStr">
        <is>
          <t>2023-10</t>
        </is>
      </c>
      <c r="B114" s="7" t="inlineStr">
        <is>
          <t>Q2</t>
        </is>
      </c>
      <c r="C114" s="104" t="n">
        <v>0</v>
      </c>
      <c r="D114" s="104" t="n">
        <v>0</v>
      </c>
    </row>
    <row r="115" ht="15" customHeight="1" s="84">
      <c r="A115" s="7" t="inlineStr">
        <is>
          <t>2023-11</t>
        </is>
      </c>
      <c r="B115" s="7" t="inlineStr">
        <is>
          <t>Q2</t>
        </is>
      </c>
      <c r="C115" s="104" t="n">
        <v>1</v>
      </c>
      <c r="D115" s="104" t="n">
        <v>7776</v>
      </c>
    </row>
    <row r="116" ht="15" customHeight="1" s="84">
      <c r="A116" s="7" t="inlineStr">
        <is>
          <t>2023-11</t>
        </is>
      </c>
      <c r="B116" s="7" t="inlineStr">
        <is>
          <t>Q3</t>
        </is>
      </c>
      <c r="C116" s="104" t="n">
        <v>4</v>
      </c>
      <c r="D116" s="104" t="n">
        <v>28437</v>
      </c>
    </row>
    <row r="117" ht="15" customHeight="1" s="84">
      <c r="A117" s="7" t="inlineStr">
        <is>
          <t>2023-11</t>
        </is>
      </c>
      <c r="B117" s="7" t="inlineStr">
        <is>
          <t>Q4</t>
        </is>
      </c>
      <c r="C117" s="104" t="n">
        <v>13</v>
      </c>
      <c r="D117" s="104" t="n">
        <v>113251</v>
      </c>
    </row>
    <row r="118" ht="15" customHeight="1" s="84">
      <c r="A118" s="7" t="inlineStr">
        <is>
          <t>2023-11</t>
        </is>
      </c>
      <c r="B118" s="7" t="inlineStr">
        <is>
          <t>Q1</t>
        </is>
      </c>
      <c r="C118" s="104" t="n">
        <v>414</v>
      </c>
      <c r="D118" s="104" t="n">
        <v>3825979</v>
      </c>
    </row>
    <row r="119" ht="15" customHeight="1" s="84">
      <c r="A119" s="7" t="inlineStr">
        <is>
          <t>2023-11</t>
        </is>
      </c>
      <c r="B119" s="7" t="inlineStr">
        <is>
          <t>Q2</t>
        </is>
      </c>
      <c r="C119" s="104" t="n">
        <v>0</v>
      </c>
      <c r="D119" s="104" t="n">
        <v>0</v>
      </c>
    </row>
    <row r="120" ht="15" customHeight="1" s="84">
      <c r="A120" s="7" t="inlineStr">
        <is>
          <t>2023-12</t>
        </is>
      </c>
      <c r="B120" s="7" t="inlineStr">
        <is>
          <t>Q2</t>
        </is>
      </c>
      <c r="C120" s="104" t="n">
        <v>1</v>
      </c>
      <c r="D120" s="104" t="n">
        <v>7776</v>
      </c>
    </row>
    <row r="121" ht="15" customHeight="1" s="84">
      <c r="A121" s="7" t="inlineStr">
        <is>
          <t>2023-12</t>
        </is>
      </c>
      <c r="B121" s="7" t="inlineStr">
        <is>
          <t>Q3</t>
        </is>
      </c>
      <c r="C121" s="104" t="n">
        <v>4</v>
      </c>
      <c r="D121" s="104" t="n">
        <v>28437</v>
      </c>
    </row>
    <row r="122" ht="15" customHeight="1" s="84">
      <c r="A122" s="7" t="inlineStr">
        <is>
          <t>2023-12</t>
        </is>
      </c>
      <c r="B122" s="7" t="inlineStr">
        <is>
          <t>Q4</t>
        </is>
      </c>
      <c r="C122" s="104" t="n">
        <v>11</v>
      </c>
      <c r="D122" s="104" t="n">
        <v>97723</v>
      </c>
    </row>
    <row r="123" ht="15" customHeight="1" s="84">
      <c r="A123" s="7" t="inlineStr">
        <is>
          <t>2023-12</t>
        </is>
      </c>
      <c r="B123" s="7" t="inlineStr">
        <is>
          <t>Q1</t>
        </is>
      </c>
      <c r="C123" s="104" t="n">
        <v>414</v>
      </c>
      <c r="D123" s="104" t="n">
        <v>3825979</v>
      </c>
    </row>
    <row r="124" ht="15" customHeight="1" s="84">
      <c r="A124" s="7" t="inlineStr">
        <is>
          <t>2023-12</t>
        </is>
      </c>
      <c r="B124" s="7" t="inlineStr">
        <is>
          <t>Q2</t>
        </is>
      </c>
      <c r="C124" s="104" t="n">
        <v>0</v>
      </c>
      <c r="D124" s="104" t="n">
        <v>0</v>
      </c>
    </row>
    <row r="125" ht="15" customHeight="1" s="84">
      <c r="A125" s="7" t="inlineStr">
        <is>
          <t>2024-01</t>
        </is>
      </c>
      <c r="B125" s="7" t="inlineStr">
        <is>
          <t>Q4</t>
        </is>
      </c>
      <c r="C125" s="104" t="n">
        <v>1</v>
      </c>
      <c r="D125" s="104" t="n">
        <v>7776</v>
      </c>
    </row>
    <row r="126" ht="15" customHeight="1" s="84">
      <c r="A126" s="7" t="inlineStr">
        <is>
          <t>2024-01</t>
        </is>
      </c>
      <c r="B126" s="7" t="inlineStr">
        <is>
          <t>Q1</t>
        </is>
      </c>
      <c r="C126" s="104" t="n">
        <v>39</v>
      </c>
      <c r="D126" s="104" t="n">
        <v>342471</v>
      </c>
    </row>
    <row r="127" ht="15" customHeight="1" s="84">
      <c r="A127" s="7" t="inlineStr">
        <is>
          <t>2024-01</t>
        </is>
      </c>
      <c r="B127" s="7" t="inlineStr">
        <is>
          <t>Q4</t>
        </is>
      </c>
      <c r="C127" s="104" t="n">
        <v>0</v>
      </c>
      <c r="D127" s="104" t="n">
        <v>0</v>
      </c>
    </row>
    <row r="128" ht="15" customHeight="1" s="84">
      <c r="A128" s="7" t="inlineStr">
        <is>
          <t>2024-02</t>
        </is>
      </c>
      <c r="B128" s="7" t="inlineStr">
        <is>
          <t>Q4</t>
        </is>
      </c>
      <c r="C128" s="104" t="n">
        <v>1</v>
      </c>
      <c r="D128" s="104" t="n">
        <v>7776</v>
      </c>
    </row>
    <row r="129" ht="15" customHeight="1" s="84">
      <c r="A129" s="7" t="inlineStr">
        <is>
          <t>2024-02</t>
        </is>
      </c>
      <c r="B129" s="7" t="inlineStr">
        <is>
          <t>Q1</t>
        </is>
      </c>
      <c r="C129" s="104" t="n">
        <v>7</v>
      </c>
      <c r="D129" s="104" t="n">
        <v>66411</v>
      </c>
    </row>
    <row r="130" ht="15" customHeight="1" s="84">
      <c r="A130" s="7" t="inlineStr">
        <is>
          <t>2024-02</t>
        </is>
      </c>
      <c r="B130" s="7" t="inlineStr">
        <is>
          <t>Q4</t>
        </is>
      </c>
      <c r="C130" s="104" t="n">
        <v>0</v>
      </c>
      <c r="D130" s="104" t="n">
        <v>0</v>
      </c>
    </row>
    <row r="131" ht="15" customHeight="1" s="84">
      <c r="A131" s="7" t="inlineStr">
        <is>
          <t>2024-03</t>
        </is>
      </c>
      <c r="B131" s="7" t="inlineStr">
        <is>
          <t>Q1</t>
        </is>
      </c>
      <c r="C131" s="104" t="n">
        <v>4</v>
      </c>
      <c r="D131" s="104" t="n">
        <v>29271</v>
      </c>
    </row>
    <row r="132" ht="15" customHeight="1" s="84">
      <c r="A132" s="7" t="inlineStr">
        <is>
          <t>2024-03</t>
        </is>
      </c>
      <c r="B132" s="7" t="inlineStr">
        <is>
          <t>Q2</t>
        </is>
      </c>
      <c r="C132" s="104" t="n">
        <v>0</v>
      </c>
      <c r="D132" s="104" t="n">
        <v>0</v>
      </c>
    </row>
    <row r="133" ht="15" customHeight="1" s="84">
      <c r="A133" s="7" t="inlineStr">
        <is>
          <t>2024-03</t>
        </is>
      </c>
      <c r="B133" s="7" t="inlineStr">
        <is>
          <t>Q4</t>
        </is>
      </c>
      <c r="C133" s="104" t="n">
        <v>0</v>
      </c>
      <c r="D133" s="104" t="n">
        <v>0</v>
      </c>
    </row>
    <row r="134" ht="15" customHeight="1" s="84">
      <c r="A134" s="7" t="inlineStr">
        <is>
          <t>2024-04</t>
        </is>
      </c>
      <c r="B134" s="7" t="inlineStr">
        <is>
          <t>Q1</t>
        </is>
      </c>
      <c r="C134" s="104" t="n">
        <v>2</v>
      </c>
      <c r="D134" s="104" t="n">
        <v>13065</v>
      </c>
    </row>
    <row r="135" ht="15" customHeight="1" s="84">
      <c r="A135" s="7" t="inlineStr">
        <is>
          <t>2024-04</t>
        </is>
      </c>
      <c r="B135" s="7" t="inlineStr">
        <is>
          <t>Q2</t>
        </is>
      </c>
      <c r="C135" s="104" t="n">
        <v>89</v>
      </c>
      <c r="D135" s="104" t="n">
        <v>802296</v>
      </c>
    </row>
    <row r="136" ht="15" customHeight="1" s="84">
      <c r="A136" s="7" t="inlineStr">
        <is>
          <t>2024-04</t>
        </is>
      </c>
      <c r="B136" s="7" t="inlineStr">
        <is>
          <t>Q1</t>
        </is>
      </c>
      <c r="C136" s="104" t="n">
        <v>0</v>
      </c>
      <c r="D136" s="104" t="n">
        <v>0</v>
      </c>
    </row>
    <row r="137" ht="15" customHeight="1" s="84">
      <c r="A137" s="7" t="inlineStr">
        <is>
          <t>2024-05</t>
        </is>
      </c>
      <c r="B137" s="7" t="inlineStr">
        <is>
          <t>Q4</t>
        </is>
      </c>
      <c r="C137" s="104" t="n">
        <v>1</v>
      </c>
      <c r="D137" s="104" t="n">
        <v>7776</v>
      </c>
    </row>
    <row r="138" ht="15" customHeight="1" s="84">
      <c r="A138" s="7" t="inlineStr">
        <is>
          <t>2024-05</t>
        </is>
      </c>
      <c r="B138" s="7" t="inlineStr">
        <is>
          <t>Q1</t>
        </is>
      </c>
      <c r="C138" s="104" t="n">
        <v>2</v>
      </c>
      <c r="D138" s="104" t="n">
        <v>13065</v>
      </c>
    </row>
    <row r="139" ht="15" customHeight="1" s="84">
      <c r="A139" s="7" t="inlineStr">
        <is>
          <t>2024-05</t>
        </is>
      </c>
      <c r="B139" s="7" t="inlineStr">
        <is>
          <t>Q2</t>
        </is>
      </c>
      <c r="C139" s="104" t="n">
        <v>16</v>
      </c>
      <c r="D139" s="104" t="n">
        <v>137088</v>
      </c>
    </row>
    <row r="140" ht="15" customHeight="1" s="84">
      <c r="A140" s="7" t="inlineStr">
        <is>
          <t>2024-05</t>
        </is>
      </c>
      <c r="B140" s="7" t="inlineStr">
        <is>
          <t>Q3</t>
        </is>
      </c>
      <c r="C140" s="104" t="n">
        <v>417</v>
      </c>
      <c r="D140" s="104" t="n">
        <v>3849735</v>
      </c>
    </row>
    <row r="141" ht="15" customHeight="1" s="84">
      <c r="A141" s="7" t="inlineStr">
        <is>
          <t>2024-05</t>
        </is>
      </c>
      <c r="B141" s="7" t="inlineStr">
        <is>
          <t>Q4</t>
        </is>
      </c>
      <c r="C141" s="104" t="n">
        <v>0</v>
      </c>
      <c r="D141" s="104" t="n">
        <v>0</v>
      </c>
    </row>
    <row r="142" ht="15" customHeight="1" s="84">
      <c r="A142" s="7" t="inlineStr">
        <is>
          <t>2024-06</t>
        </is>
      </c>
      <c r="B142" s="7" t="inlineStr">
        <is>
          <t>Q4</t>
        </is>
      </c>
      <c r="C142" s="104" t="n">
        <v>1</v>
      </c>
      <c r="D142" s="104" t="n">
        <v>7776</v>
      </c>
    </row>
    <row r="143" ht="15" customHeight="1" s="84">
      <c r="A143" s="7" t="inlineStr">
        <is>
          <t>2024-06</t>
        </is>
      </c>
      <c r="B143" s="7" t="inlineStr">
        <is>
          <t>Q1</t>
        </is>
      </c>
      <c r="C143" s="104" t="n">
        <v>2</v>
      </c>
      <c r="D143" s="104" t="n">
        <v>13065</v>
      </c>
    </row>
    <row r="144" ht="15" customHeight="1" s="84">
      <c r="A144" s="7" t="inlineStr">
        <is>
          <t>2024-06</t>
        </is>
      </c>
      <c r="B144" s="7" t="inlineStr">
        <is>
          <t>Q2</t>
        </is>
      </c>
      <c r="C144" s="104" t="n">
        <v>5</v>
      </c>
      <c r="D144" s="104" t="n">
        <v>36102</v>
      </c>
    </row>
    <row r="145" ht="15" customHeight="1" s="84">
      <c r="A145" s="7" t="inlineStr">
        <is>
          <t>2024-06</t>
        </is>
      </c>
      <c r="B145" s="7" t="inlineStr">
        <is>
          <t>Q3</t>
        </is>
      </c>
      <c r="C145" s="104" t="n">
        <v>417</v>
      </c>
      <c r="D145" s="104" t="n">
        <v>3849735</v>
      </c>
    </row>
    <row r="146" ht="15" customHeight="1" s="84">
      <c r="A146" s="7" t="inlineStr">
        <is>
          <t>2024-06</t>
        </is>
      </c>
      <c r="B146" s="7" t="inlineStr">
        <is>
          <t>Q4</t>
        </is>
      </c>
      <c r="C146" s="104" t="n">
        <v>0</v>
      </c>
      <c r="D146" s="104" t="n">
        <v>0</v>
      </c>
    </row>
    <row r="147" ht="15" customHeight="1" s="84">
      <c r="A147" s="7" t="inlineStr">
        <is>
          <t>2024-07</t>
        </is>
      </c>
      <c r="B147" s="7" t="inlineStr">
        <is>
          <t>Q2</t>
        </is>
      </c>
      <c r="C147" s="104" t="n">
        <v>2</v>
      </c>
      <c r="D147" s="104" t="n">
        <v>15522</v>
      </c>
    </row>
    <row r="148" ht="15" customHeight="1" s="84">
      <c r="A148" s="7" t="inlineStr">
        <is>
          <t>2024-07</t>
        </is>
      </c>
      <c r="B148" s="7" t="inlineStr">
        <is>
          <t>Q3</t>
        </is>
      </c>
      <c r="C148" s="104" t="n">
        <v>57</v>
      </c>
      <c r="D148" s="104" t="n">
        <v>516762</v>
      </c>
    </row>
    <row r="149" ht="15" customHeight="1" s="84">
      <c r="A149" s="7" t="inlineStr">
        <is>
          <t>2024-07</t>
        </is>
      </c>
      <c r="B149" s="7" t="inlineStr">
        <is>
          <t>Q2</t>
        </is>
      </c>
      <c r="C149" s="104" t="n">
        <v>0</v>
      </c>
      <c r="D149" s="104" t="n">
        <v>0</v>
      </c>
    </row>
    <row r="150" ht="15" customHeight="1" s="84">
      <c r="A150" s="7" t="inlineStr">
        <is>
          <t>2024-08</t>
        </is>
      </c>
      <c r="B150" s="7" t="inlineStr">
        <is>
          <t>Q2</t>
        </is>
      </c>
      <c r="C150" s="104" t="n">
        <v>1</v>
      </c>
      <c r="D150" s="104" t="n">
        <v>8025</v>
      </c>
    </row>
    <row r="151" ht="15" customHeight="1" s="84">
      <c r="A151" s="7" t="inlineStr">
        <is>
          <t>2024-08</t>
        </is>
      </c>
      <c r="B151" s="7" t="inlineStr">
        <is>
          <t>Q3</t>
        </is>
      </c>
      <c r="C151" s="104" t="n">
        <v>9</v>
      </c>
      <c r="D151" s="104" t="n">
        <v>81516</v>
      </c>
    </row>
    <row r="152" ht="15" customHeight="1" s="84">
      <c r="A152" s="7" t="inlineStr">
        <is>
          <t>2024-09</t>
        </is>
      </c>
      <c r="B152" s="7" t="inlineStr">
        <is>
          <t>Q2</t>
        </is>
      </c>
      <c r="C152" s="104" t="n">
        <v>1</v>
      </c>
      <c r="D152" s="104" t="n">
        <v>8025</v>
      </c>
    </row>
    <row r="153" ht="15" customHeight="1" s="84">
      <c r="A153" s="7" t="inlineStr">
        <is>
          <t>2024-09</t>
        </is>
      </c>
      <c r="B153" s="7" t="inlineStr">
        <is>
          <t>Q3</t>
        </is>
      </c>
      <c r="C153" s="104" t="n">
        <v>3</v>
      </c>
      <c r="D153" s="104" t="n">
        <v>27579</v>
      </c>
    </row>
    <row r="154" ht="15" customHeight="1" s="84">
      <c r="A154" s="7" t="inlineStr">
        <is>
          <t>2024-11</t>
        </is>
      </c>
      <c r="B154" s="7" t="inlineStr">
        <is>
          <t>Q3</t>
        </is>
      </c>
      <c r="C154" s="104" t="n">
        <v>1</v>
      </c>
      <c r="D154" s="104" t="n">
        <v>10284</v>
      </c>
    </row>
    <row r="155" ht="15" customHeight="1" s="84">
      <c r="A155" s="7" t="inlineStr">
        <is>
          <t>2024-11</t>
        </is>
      </c>
      <c r="B155" s="7" t="inlineStr">
        <is>
          <t>Q4</t>
        </is>
      </c>
      <c r="C155" s="104" t="n">
        <v>23</v>
      </c>
      <c r="D155" s="104" t="n">
        <v>191721</v>
      </c>
    </row>
    <row r="156" ht="15" customHeight="1" s="84">
      <c r="A156" s="7" t="inlineStr">
        <is>
          <t>2024-12</t>
        </is>
      </c>
      <c r="B156" s="7" t="inlineStr">
        <is>
          <t>Q4</t>
        </is>
      </c>
      <c r="C156" s="104" t="n">
        <v>11</v>
      </c>
      <c r="D156" s="104" t="n">
        <v>90384</v>
      </c>
    </row>
    <row r="157" ht="15" customHeight="1" s="84">
      <c r="A157" s="7" t="inlineStr">
        <is>
          <t>2025-01</t>
        </is>
      </c>
      <c r="B157" s="7" t="inlineStr">
        <is>
          <t>Q4</t>
        </is>
      </c>
      <c r="C157" s="104" t="n">
        <v>11</v>
      </c>
      <c r="D157" s="104" t="n">
        <v>90384</v>
      </c>
    </row>
    <row r="158" ht="15" customHeight="1" s="84">
      <c r="A158" s="7" t="inlineStr">
        <is>
          <t>2025-01</t>
        </is>
      </c>
      <c r="B158" s="7" t="inlineStr">
        <is>
          <t>Q1</t>
        </is>
      </c>
      <c r="C158" s="104" t="n">
        <v>223</v>
      </c>
      <c r="D158" s="104" t="n">
        <v>2033505</v>
      </c>
    </row>
    <row r="159" ht="15" customHeight="1" s="84">
      <c r="A159" s="7" t="inlineStr">
        <is>
          <t>2025-02</t>
        </is>
      </c>
      <c r="B159" s="7" t="inlineStr">
        <is>
          <t>Q4</t>
        </is>
      </c>
      <c r="C159" s="104" t="n">
        <v>11</v>
      </c>
      <c r="D159" s="104" t="n">
        <v>90384</v>
      </c>
    </row>
    <row r="160" ht="15" customHeight="1" s="84">
      <c r="A160" s="7" t="inlineStr">
        <is>
          <t>2025-02</t>
        </is>
      </c>
      <c r="B160" s="7" t="inlineStr">
        <is>
          <t>Q1</t>
        </is>
      </c>
      <c r="C160" s="104" t="n">
        <v>46</v>
      </c>
      <c r="D160" s="104" t="n">
        <v>394191</v>
      </c>
    </row>
    <row r="161" ht="15" customHeight="1" s="84">
      <c r="A161" s="7" t="inlineStr">
        <is>
          <t>2025-03</t>
        </is>
      </c>
      <c r="B161" s="7" t="inlineStr">
        <is>
          <t>Q4</t>
        </is>
      </c>
      <c r="C161" s="104" t="n">
        <v>6</v>
      </c>
      <c r="D161" s="104" t="n">
        <v>50991</v>
      </c>
    </row>
    <row r="162" ht="15" customHeight="1" s="84">
      <c r="A162" s="7" t="inlineStr">
        <is>
          <t>2025-03</t>
        </is>
      </c>
      <c r="B162" s="7" t="inlineStr">
        <is>
          <t>Q1</t>
        </is>
      </c>
      <c r="C162" s="104" t="n">
        <v>38</v>
      </c>
      <c r="D162" s="104" t="n">
        <v>325377</v>
      </c>
    </row>
    <row r="163" ht="15" customHeight="1" s="84">
      <c r="A163" s="7" t="inlineStr">
        <is>
          <t>2025-04</t>
        </is>
      </c>
      <c r="B163" s="7" t="inlineStr">
        <is>
          <t>Q4</t>
        </is>
      </c>
      <c r="C163" s="104" t="n">
        <v>6</v>
      </c>
      <c r="D163" s="104" t="n">
        <v>50991</v>
      </c>
    </row>
    <row r="164" ht="15" customHeight="1" s="84">
      <c r="A164" s="7" t="inlineStr">
        <is>
          <t>2025-04</t>
        </is>
      </c>
      <c r="B164" s="7" t="inlineStr">
        <is>
          <t>Q1</t>
        </is>
      </c>
      <c r="C164" s="104" t="n">
        <v>33</v>
      </c>
      <c r="D164" s="104" t="n">
        <v>277773</v>
      </c>
    </row>
    <row r="165" ht="15" customHeight="1" s="84">
      <c r="A165" s="7" t="inlineStr">
        <is>
          <t>2025-04</t>
        </is>
      </c>
      <c r="B165" s="7" t="inlineStr">
        <is>
          <t>Q2</t>
        </is>
      </c>
      <c r="C165" s="104" t="n">
        <v>180</v>
      </c>
      <c r="D165" s="104" t="n">
        <v>1824969</v>
      </c>
    </row>
    <row r="166" ht="15" customHeight="1" s="84">
      <c r="A166" s="7" t="inlineStr">
        <is>
          <t>2025-05</t>
        </is>
      </c>
      <c r="B166" s="7" t="inlineStr">
        <is>
          <t>Q4</t>
        </is>
      </c>
      <c r="C166" s="104" t="n">
        <v>6</v>
      </c>
      <c r="D166" s="104" t="n">
        <v>50991</v>
      </c>
    </row>
    <row r="167" ht="15" customHeight="1" s="84">
      <c r="A167" s="7" t="inlineStr">
        <is>
          <t>2025-05</t>
        </is>
      </c>
      <c r="B167" s="7" t="inlineStr">
        <is>
          <t>Q1</t>
        </is>
      </c>
      <c r="C167" s="104" t="n">
        <v>31</v>
      </c>
      <c r="D167" s="104" t="n">
        <v>260259</v>
      </c>
    </row>
    <row r="168" ht="15" customHeight="1" s="84">
      <c r="A168" s="7" t="inlineStr">
        <is>
          <t>2025-05</t>
        </is>
      </c>
      <c r="B168" s="7" t="inlineStr">
        <is>
          <t>Q2</t>
        </is>
      </c>
      <c r="C168" s="104" t="n">
        <v>40</v>
      </c>
      <c r="D168" s="104" t="n">
        <v>393840</v>
      </c>
    </row>
    <row r="169" ht="15" customHeight="1" s="84">
      <c r="A169" s="7" t="inlineStr">
        <is>
          <t>2025-06</t>
        </is>
      </c>
      <c r="B169" s="7" t="inlineStr">
        <is>
          <t>Q4</t>
        </is>
      </c>
      <c r="C169" s="104" t="n">
        <v>6</v>
      </c>
      <c r="D169" s="104" t="n">
        <v>50991</v>
      </c>
    </row>
    <row r="170" ht="15" customHeight="1" s="84">
      <c r="A170" s="7" t="inlineStr">
        <is>
          <t>2025-06</t>
        </is>
      </c>
      <c r="B170" s="7" t="inlineStr">
        <is>
          <t>Q1</t>
        </is>
      </c>
      <c r="C170" s="104" t="n">
        <v>27</v>
      </c>
      <c r="D170" s="104" t="n">
        <v>225258</v>
      </c>
    </row>
    <row r="171" ht="15" customHeight="1" s="84">
      <c r="A171" s="7" t="inlineStr">
        <is>
          <t>2025-06</t>
        </is>
      </c>
      <c r="B171" s="7" t="inlineStr">
        <is>
          <t>Q2</t>
        </is>
      </c>
      <c r="C171" s="104" t="n">
        <v>31</v>
      </c>
      <c r="D171" s="104" t="n">
        <v>306684</v>
      </c>
    </row>
    <row r="172" ht="15" customHeight="1" s="84">
      <c r="A172" s="7" t="inlineStr">
        <is>
          <t>2025-07</t>
        </is>
      </c>
      <c r="B172" s="7" t="inlineStr">
        <is>
          <t>Q4</t>
        </is>
      </c>
      <c r="C172" s="104" t="n">
        <v>4</v>
      </c>
      <c r="D172" s="104" t="n">
        <v>50991</v>
      </c>
    </row>
    <row r="173" ht="15" customHeight="1" s="84">
      <c r="A173" s="7" t="inlineStr">
        <is>
          <t>2025-07</t>
        </is>
      </c>
      <c r="B173" s="7" t="inlineStr">
        <is>
          <t>Q1</t>
        </is>
      </c>
      <c r="C173" s="104" t="n">
        <v>26</v>
      </c>
      <c r="D173" s="104" t="n">
        <v>225258</v>
      </c>
    </row>
    <row r="174" ht="15" customHeight="1" s="84">
      <c r="A174" s="7" t="inlineStr">
        <is>
          <t>2025-07</t>
        </is>
      </c>
      <c r="B174" s="7" t="inlineStr">
        <is>
          <t>Q2</t>
        </is>
      </c>
      <c r="C174" s="104" t="n">
        <v>28</v>
      </c>
      <c r="D174" s="104" t="n">
        <v>306684</v>
      </c>
    </row>
    <row r="175" ht="15" customHeight="1" s="84">
      <c r="A175" s="7" t="inlineStr">
        <is>
          <t>2025-08</t>
        </is>
      </c>
      <c r="B175" s="7" t="inlineStr">
        <is>
          <t>Q4</t>
        </is>
      </c>
      <c r="C175" s="104" t="n">
        <v>17</v>
      </c>
      <c r="D175" s="104" t="n">
        <v>169791</v>
      </c>
    </row>
    <row r="176" ht="15" customHeight="1" s="84">
      <c r="A176" s="7" t="inlineStr">
        <is>
          <t>2025-08</t>
        </is>
      </c>
      <c r="B176" s="7" t="inlineStr">
        <is>
          <t>Q1</t>
        </is>
      </c>
      <c r="C176" s="104" t="n">
        <v>45</v>
      </c>
      <c r="D176" s="104" t="n">
        <v>379875</v>
      </c>
    </row>
    <row r="177" ht="15" customHeight="1" s="84">
      <c r="A177" s="7" t="inlineStr">
        <is>
          <t>2025-08</t>
        </is>
      </c>
      <c r="B177" s="7" t="inlineStr">
        <is>
          <t>Q2</t>
        </is>
      </c>
      <c r="C177" s="104" t="n">
        <v>33</v>
      </c>
      <c r="D177" s="104" t="n">
        <v>329655</v>
      </c>
    </row>
    <row r="178" ht="15" customHeight="1" s="84">
      <c r="A178" s="7" t="inlineStr">
        <is>
          <t>2025-08</t>
        </is>
      </c>
      <c r="B178" s="7" t="inlineStr">
        <is>
          <t>Q3</t>
        </is>
      </c>
      <c r="C178" s="104" t="n">
        <v>66</v>
      </c>
      <c r="D178" s="104" t="n">
        <v>673926</v>
      </c>
    </row>
    <row r="179" ht="15" customHeight="1" s="84">
      <c r="A179" s="7" t="inlineStr">
        <is>
          <t>2025-09</t>
        </is>
      </c>
      <c r="B179" s="7" t="inlineStr">
        <is>
          <t>Q4</t>
        </is>
      </c>
      <c r="C179" s="104" t="n">
        <v>17</v>
      </c>
      <c r="D179" s="104" t="n">
        <v>169791</v>
      </c>
    </row>
    <row r="180" ht="15" customHeight="1" s="84">
      <c r="A180" s="7" t="inlineStr">
        <is>
          <t>2025-09</t>
        </is>
      </c>
      <c r="B180" s="7" t="inlineStr">
        <is>
          <t>Q1</t>
        </is>
      </c>
      <c r="C180" s="104" t="n">
        <v>45</v>
      </c>
      <c r="D180" s="104" t="n">
        <v>379875</v>
      </c>
    </row>
    <row r="181" ht="15" customHeight="1" s="84">
      <c r="A181" s="7" t="inlineStr">
        <is>
          <t>2025-09</t>
        </is>
      </c>
      <c r="B181" s="7" t="inlineStr">
        <is>
          <t>Q2</t>
        </is>
      </c>
      <c r="C181" s="104" t="n">
        <v>33</v>
      </c>
      <c r="D181" s="104" t="n">
        <v>329655</v>
      </c>
    </row>
    <row r="182" ht="15" customHeight="1" s="84">
      <c r="A182" s="7" t="inlineStr">
        <is>
          <t>2025-09</t>
        </is>
      </c>
      <c r="B182" s="7" t="inlineStr">
        <is>
          <t>Q3</t>
        </is>
      </c>
      <c r="C182" s="104" t="n">
        <v>54</v>
      </c>
      <c r="D182" s="104" t="n">
        <v>554709</v>
      </c>
    </row>
    <row r="183" ht="15" customHeight="1" s="84">
      <c r="A183" s="7" t="inlineStr">
        <is>
          <t>2025-10</t>
        </is>
      </c>
      <c r="B183" s="7" t="inlineStr">
        <is>
          <t>Q4</t>
        </is>
      </c>
      <c r="C183" s="104" t="n">
        <v>1</v>
      </c>
      <c r="D183" s="104" t="n">
        <v>8025</v>
      </c>
    </row>
    <row r="184" ht="15" customHeight="1" s="84">
      <c r="A184" s="7" t="inlineStr">
        <is>
          <t>2025-10</t>
        </is>
      </c>
      <c r="B184" s="7" t="inlineStr">
        <is>
          <t>Q1</t>
        </is>
      </c>
      <c r="C184" s="104" t="n">
        <v>15</v>
      </c>
      <c r="D184" s="104" t="n">
        <v>130698</v>
      </c>
    </row>
    <row r="185" ht="15" customHeight="1" s="84">
      <c r="A185" s="7" t="inlineStr">
        <is>
          <t>2025-10</t>
        </is>
      </c>
      <c r="B185" s="7" t="inlineStr">
        <is>
          <t>Q2</t>
        </is>
      </c>
      <c r="C185" s="104" t="n">
        <v>37</v>
      </c>
      <c r="D185" s="104" t="n">
        <v>366408</v>
      </c>
    </row>
    <row r="186" ht="15" customHeight="1" s="84">
      <c r="A186" s="7" t="inlineStr">
        <is>
          <t>2025-10</t>
        </is>
      </c>
      <c r="B186" s="7" t="inlineStr">
        <is>
          <t>Q3</t>
        </is>
      </c>
      <c r="C186" s="104" t="n">
        <v>45</v>
      </c>
      <c r="D186" s="104" t="n">
        <v>467751</v>
      </c>
    </row>
    <row r="187" ht="15" customHeight="1" s="84">
      <c r="A187" s="7" t="inlineStr">
        <is>
          <t>2025-10</t>
        </is>
      </c>
      <c r="B187" s="7" t="inlineStr">
        <is>
          <t>Q4</t>
        </is>
      </c>
      <c r="C187" s="104" t="n">
        <v>147</v>
      </c>
      <c r="D187" s="104" t="n">
        <v>1765626</v>
      </c>
    </row>
    <row r="188" ht="15" customHeight="1" s="84">
      <c r="A188" s="7" t="inlineStr">
        <is>
          <t>2025-11</t>
        </is>
      </c>
      <c r="B188" s="7" t="inlineStr">
        <is>
          <t>Q4</t>
        </is>
      </c>
      <c r="C188" s="104" t="n">
        <v>1</v>
      </c>
      <c r="D188" s="104" t="n">
        <v>8025</v>
      </c>
    </row>
    <row r="189" ht="15" customHeight="1" s="84">
      <c r="A189" s="7" t="inlineStr">
        <is>
          <t>2025-11</t>
        </is>
      </c>
      <c r="B189" s="7" t="inlineStr">
        <is>
          <t>Q1</t>
        </is>
      </c>
      <c r="C189" s="104" t="n">
        <v>15</v>
      </c>
      <c r="D189" s="104" t="n">
        <v>130698</v>
      </c>
    </row>
    <row r="190" ht="15" customHeight="1" s="84">
      <c r="A190" s="7" t="inlineStr">
        <is>
          <t>2025-11</t>
        </is>
      </c>
      <c r="B190" s="7" t="inlineStr">
        <is>
          <t>Q2</t>
        </is>
      </c>
      <c r="C190" s="104" t="n">
        <v>37</v>
      </c>
      <c r="D190" s="104" t="n">
        <v>366408</v>
      </c>
    </row>
    <row r="191" ht="15" customHeight="1" s="84">
      <c r="A191" s="7" t="inlineStr">
        <is>
          <t>2025-11</t>
        </is>
      </c>
      <c r="B191" s="7" t="inlineStr">
        <is>
          <t>Q3</t>
        </is>
      </c>
      <c r="C191" s="104" t="n">
        <v>43</v>
      </c>
      <c r="D191" s="104" t="n">
        <v>445473</v>
      </c>
    </row>
    <row r="192" ht="15" customHeight="1" s="84">
      <c r="A192" s="7" t="inlineStr">
        <is>
          <t>2025-11</t>
        </is>
      </c>
      <c r="B192" s="7" t="inlineStr">
        <is>
          <t>Q4</t>
        </is>
      </c>
      <c r="C192" s="104" t="n">
        <v>59</v>
      </c>
      <c r="D192" s="104" t="n">
        <v>698580</v>
      </c>
    </row>
    <row r="193" ht="15" customHeight="1" s="84">
      <c r="A193" s="7" t="inlineStr">
        <is>
          <t>2025-12</t>
        </is>
      </c>
      <c r="B193" s="7" t="inlineStr">
        <is>
          <t>Q4</t>
        </is>
      </c>
      <c r="C193" s="104" t="n">
        <v>0</v>
      </c>
      <c r="D193" s="104" t="n">
        <v>0</v>
      </c>
    </row>
    <row r="194" ht="15" customHeight="1" s="84">
      <c r="A194" s="7" t="inlineStr">
        <is>
          <t>2025-12</t>
        </is>
      </c>
      <c r="B194" s="7" t="inlineStr">
        <is>
          <t>Q1</t>
        </is>
      </c>
      <c r="C194" s="104" t="n">
        <v>0</v>
      </c>
      <c r="D194" s="104" t="n">
        <v>0</v>
      </c>
    </row>
    <row r="195" ht="15" customHeight="1" s="84">
      <c r="A195" s="7" t="inlineStr">
        <is>
          <t>2025-12</t>
        </is>
      </c>
      <c r="B195" s="7" t="inlineStr">
        <is>
          <t>Q2</t>
        </is>
      </c>
      <c r="C195" s="104" t="n">
        <v>34</v>
      </c>
      <c r="D195" s="104" t="n">
        <v>328599</v>
      </c>
    </row>
    <row r="196" ht="15" customHeight="1" s="84">
      <c r="A196" s="7" t="inlineStr">
        <is>
          <t>2025-12</t>
        </is>
      </c>
      <c r="B196" s="7" t="inlineStr">
        <is>
          <t>Q3</t>
        </is>
      </c>
      <c r="C196" s="104" t="n">
        <v>26</v>
      </c>
      <c r="D196" s="104" t="n">
        <v>275142</v>
      </c>
    </row>
    <row r="197" ht="15" customHeight="1" s="84">
      <c r="A197" s="7" t="inlineStr">
        <is>
          <t>2025-12</t>
        </is>
      </c>
      <c r="B197" s="7" t="inlineStr">
        <is>
          <t>Q4</t>
        </is>
      </c>
      <c r="C197" s="104" t="n">
        <v>32</v>
      </c>
      <c r="D197" s="104" t="n">
        <v>392052</v>
      </c>
    </row>
    <row r="198" ht="15" customHeight="1" s="84">
      <c r="A198" s="7" t="inlineStr">
        <is>
          <t>2026-01</t>
        </is>
      </c>
      <c r="B198" s="7" t="inlineStr">
        <is>
          <t>Q2</t>
        </is>
      </c>
      <c r="C198" s="104" t="n">
        <v>12</v>
      </c>
      <c r="D198" s="104" t="n">
        <v>116145</v>
      </c>
    </row>
    <row r="199" ht="15" customHeight="1" s="84">
      <c r="A199" s="7" t="inlineStr">
        <is>
          <t>2026-01</t>
        </is>
      </c>
      <c r="B199" s="7" t="inlineStr">
        <is>
          <t>Q3</t>
        </is>
      </c>
      <c r="C199" s="104" t="n">
        <v>14</v>
      </c>
      <c r="D199" s="104" t="n">
        <v>142731</v>
      </c>
    </row>
    <row r="200" ht="15" customHeight="1" s="84">
      <c r="A200" s="7" t="inlineStr">
        <is>
          <t>2026-01</t>
        </is>
      </c>
      <c r="B200" s="7" t="inlineStr">
        <is>
          <t>Q4</t>
        </is>
      </c>
      <c r="C200" s="104" t="n">
        <v>17</v>
      </c>
      <c r="D200" s="104" t="n">
        <v>196119</v>
      </c>
    </row>
    <row r="201" ht="15" customHeight="1" s="84">
      <c r="A201" s="7" t="inlineStr">
        <is>
          <t>2026-01</t>
        </is>
      </c>
      <c r="B201" s="7" t="inlineStr">
        <is>
          <t>Q1</t>
        </is>
      </c>
      <c r="C201" s="104" t="n">
        <v>121</v>
      </c>
      <c r="D201" s="104" t="n">
        <v>1359858</v>
      </c>
    </row>
    <row r="202" ht="15" customHeight="1" s="84">
      <c r="A202" s="7" t="inlineStr">
        <is>
          <t>2026-02</t>
        </is>
      </c>
      <c r="B202" s="7" t="inlineStr">
        <is>
          <t>Q2</t>
        </is>
      </c>
      <c r="C202" s="104" t="n">
        <v>3</v>
      </c>
      <c r="D202" s="104" t="n">
        <v>30660</v>
      </c>
    </row>
    <row r="203" ht="15" customHeight="1" s="84">
      <c r="A203" s="7" t="inlineStr">
        <is>
          <t>2026-02</t>
        </is>
      </c>
      <c r="B203" s="7" t="inlineStr">
        <is>
          <t>Q3</t>
        </is>
      </c>
      <c r="C203" s="104" t="n">
        <v>3</v>
      </c>
      <c r="D203" s="104" t="n">
        <v>23568</v>
      </c>
    </row>
    <row r="204" ht="15" customHeight="1" s="84">
      <c r="A204" s="7" t="inlineStr">
        <is>
          <t>2026-02</t>
        </is>
      </c>
      <c r="B204" s="7" t="inlineStr">
        <is>
          <t>Q4</t>
        </is>
      </c>
      <c r="C204" s="104" t="n">
        <v>8</v>
      </c>
      <c r="D204" s="104" t="n">
        <v>83391</v>
      </c>
    </row>
    <row r="205" ht="15" customHeight="1" s="84">
      <c r="A205" s="7" t="inlineStr">
        <is>
          <t>2026-02</t>
        </is>
      </c>
      <c r="B205" s="7" t="inlineStr">
        <is>
          <t>Q1</t>
        </is>
      </c>
      <c r="C205" s="104" t="n">
        <v>28</v>
      </c>
      <c r="D205" s="104" t="n">
        <v>205128</v>
      </c>
    </row>
    <row r="206" ht="15" customHeight="1" s="84">
      <c r="A206" s="7" t="inlineStr">
        <is>
          <t>2026-03</t>
        </is>
      </c>
      <c r="B206" s="7" t="inlineStr">
        <is>
          <t>Q2</t>
        </is>
      </c>
      <c r="C206" s="104" t="n">
        <v>3</v>
      </c>
      <c r="D206" s="104" t="n">
        <v>30660</v>
      </c>
    </row>
    <row r="207" ht="15" customHeight="1" s="84">
      <c r="A207" s="7" t="inlineStr">
        <is>
          <t>2026-03</t>
        </is>
      </c>
      <c r="B207" s="7" t="inlineStr">
        <is>
          <t>Q3</t>
        </is>
      </c>
      <c r="C207" s="104" t="n">
        <v>3</v>
      </c>
      <c r="D207" s="104" t="n">
        <v>23568</v>
      </c>
    </row>
    <row r="208" ht="15" customHeight="1" s="84">
      <c r="A208" s="7" t="inlineStr">
        <is>
          <t>2026-03</t>
        </is>
      </c>
      <c r="B208" s="7" t="inlineStr">
        <is>
          <t>Q4</t>
        </is>
      </c>
      <c r="C208" s="104" t="n">
        <v>8</v>
      </c>
      <c r="D208" s="104" t="n">
        <v>83391</v>
      </c>
    </row>
    <row r="209" ht="15" customHeight="1" s="84">
      <c r="A209" s="7" t="inlineStr">
        <is>
          <t>2026-03</t>
        </is>
      </c>
      <c r="B209" s="7" t="inlineStr">
        <is>
          <t>Q1</t>
        </is>
      </c>
      <c r="C209" s="104" t="n">
        <v>27</v>
      </c>
      <c r="D209" s="104" t="n">
        <v>204279</v>
      </c>
    </row>
    <row r="210" ht="15" customHeight="1" s="84">
      <c r="A210" s="7" t="inlineStr">
        <is>
          <t>2026-04</t>
        </is>
      </c>
      <c r="B210" s="7" t="inlineStr">
        <is>
          <t>Q2</t>
        </is>
      </c>
      <c r="C210" s="104" t="n">
        <v>2</v>
      </c>
      <c r="D210" s="104" t="n">
        <v>21147</v>
      </c>
    </row>
    <row r="211" ht="15" customHeight="1" s="84">
      <c r="A211" s="7" t="inlineStr">
        <is>
          <t>2026-04</t>
        </is>
      </c>
      <c r="B211" s="7" t="inlineStr">
        <is>
          <t>Q3</t>
        </is>
      </c>
      <c r="C211" s="104" t="n">
        <v>3</v>
      </c>
      <c r="D211" s="104" t="n">
        <v>23568</v>
      </c>
    </row>
    <row r="212" ht="15" customHeight="1" s="84">
      <c r="A212" s="7" t="inlineStr">
        <is>
          <t>2026-04</t>
        </is>
      </c>
      <c r="B212" s="7" t="inlineStr">
        <is>
          <t>Q4</t>
        </is>
      </c>
      <c r="C212" s="104" t="n">
        <v>5</v>
      </c>
      <c r="D212" s="104" t="n">
        <v>48636</v>
      </c>
    </row>
    <row r="213" ht="15" customHeight="1" s="84">
      <c r="A213" s="7" t="inlineStr">
        <is>
          <t>2026-04</t>
        </is>
      </c>
      <c r="B213" s="7" t="inlineStr">
        <is>
          <t>Q1</t>
        </is>
      </c>
      <c r="C213" s="104" t="n">
        <v>22</v>
      </c>
      <c r="D213" s="104" t="n">
        <v>134172</v>
      </c>
    </row>
    <row r="214" ht="15" customHeight="1" s="84">
      <c r="A214" s="7" t="inlineStr">
        <is>
          <t>2026-04</t>
        </is>
      </c>
      <c r="B214" s="7" t="inlineStr">
        <is>
          <t>Q2</t>
        </is>
      </c>
      <c r="C214" s="104" t="n">
        <v>51</v>
      </c>
      <c r="D214" s="104" t="n">
        <v>576294</v>
      </c>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30"/>
  <sheetViews>
    <sheetView zoomScaleNormal="100" workbookViewId="0">
      <selection activeCell="A1" sqref="A1"/>
    </sheetView>
  </sheetViews>
  <sheetFormatPr baseColWidth="10" defaultColWidth="7.83203125" defaultRowHeight="17"/>
  <cols>
    <col width="4.5" customWidth="1" style="84" min="1" max="1"/>
    <col width="11" customWidth="1" style="84" min="2" max="3"/>
    <col width="12.6640625" customWidth="1" style="84" min="4" max="5"/>
    <col width="54.6640625" customWidth="1" style="84" min="6" max="6"/>
  </cols>
  <sheetData>
    <row r="1" ht="31.5" customHeight="1" s="84">
      <c r="A1" s="99" t="inlineStr">
        <is>
          <t>議案 — 電梯主鋼索更換歷史 (10 次)</t>
        </is>
      </c>
    </row>
    <row r="2" ht="16.5" customHeight="1" s="84">
      <c r="A2" s="97" t="inlineStr">
        <is>
          <t>資料來源: 電梯專戶明細 sheet (世界島電梯專戶(威) 0413-僅電梯專戶表格.xlsx)</t>
        </is>
      </c>
    </row>
    <row r="4" ht="15" customHeight="1" s="84">
      <c r="A4" s="35" t="inlineStr">
        <is>
          <t>◆ 統計</t>
        </is>
      </c>
    </row>
    <row r="5" ht="16.5" customHeight="1" s="84">
      <c r="A5" s="1" t="inlineStr">
        <is>
          <t>總次數</t>
        </is>
      </c>
      <c r="B5" s="36" t="inlineStr">
        <is>
          <t>10 次</t>
        </is>
      </c>
    </row>
    <row r="6" ht="15" customHeight="1" s="84">
      <c r="A6" s="1" t="inlineStr">
        <is>
          <t>累計支出</t>
        </is>
      </c>
      <c r="B6" s="36" t="inlineStr">
        <is>
          <t>NT$ 4,725,550</t>
        </is>
      </c>
    </row>
    <row r="7" ht="15" customHeight="1" s="84">
      <c r="A7" s="1" t="inlineStr">
        <is>
          <t>平均每次</t>
        </is>
      </c>
      <c r="B7" s="36" t="inlineStr">
        <is>
          <t>NT$ 472,555</t>
        </is>
      </c>
    </row>
    <row r="8" ht="16.5" customHeight="1" s="84">
      <c r="A8" s="1" t="inlineStr">
        <is>
          <t>時間區間</t>
        </is>
      </c>
      <c r="B8" s="36" t="inlineStr">
        <is>
          <t>2020-10-06 ~ 2025-07-21 (橫跨 6 年)</t>
        </is>
      </c>
    </row>
    <row r="9" ht="16.5" customHeight="1" s="84">
      <c r="A9" s="1" t="inlineStr">
        <is>
          <t>峰值年度</t>
        </is>
      </c>
      <c r="B9" s="36" t="inlineStr">
        <is>
          <t>2025 年: 4 條 ($2,080,000)</t>
        </is>
      </c>
    </row>
    <row r="11" ht="17.25" customHeight="1" s="84">
      <c r="A11" s="35" t="inlineStr">
        <is>
          <t>◆ 逐筆明細 (依時間順序)</t>
        </is>
      </c>
    </row>
    <row r="12" ht="15" customHeight="1" s="84">
      <c r="A12" s="37" t="inlineStr">
        <is>
          <t>#</t>
        </is>
      </c>
      <c r="B12" s="38" t="inlineStr">
        <is>
          <t>民國日期</t>
        </is>
      </c>
      <c r="C12" s="38" t="inlineStr">
        <is>
          <t>西元日期</t>
        </is>
      </c>
      <c r="D12" s="38" t="inlineStr">
        <is>
          <t>主鋼索編號</t>
        </is>
      </c>
      <c r="E12" s="38" t="inlineStr">
        <is>
          <t>金額</t>
        </is>
      </c>
      <c r="F12" s="38" t="inlineStr">
        <is>
          <t>備註</t>
        </is>
      </c>
    </row>
    <row r="13" ht="16.5" customHeight="1" s="84">
      <c r="A13" s="39" t="n">
        <v>1</v>
      </c>
      <c r="B13" s="39" t="inlineStr">
        <is>
          <t>109.10.06</t>
        </is>
      </c>
      <c r="C13" s="39" t="inlineStr">
        <is>
          <t>2020-10-06</t>
        </is>
      </c>
      <c r="D13" s="40" t="inlineStr">
        <is>
          <t>主鋼索1</t>
        </is>
      </c>
      <c r="E13" s="41" t="n">
        <v>242550</v>
      </c>
      <c r="F13" s="42" t="inlineStr">
        <is>
          <t>首次更換，金額較低 (可能為小範圍維修而非全套)</t>
        </is>
      </c>
    </row>
    <row r="14" ht="16.5" customHeight="1" s="84">
      <c r="A14" s="40" t="n">
        <v>2</v>
      </c>
      <c r="B14" s="39" t="inlineStr">
        <is>
          <t>111.02.24</t>
        </is>
      </c>
      <c r="C14" s="39" t="inlineStr">
        <is>
          <t>2022-02-24</t>
        </is>
      </c>
      <c r="D14" s="40" t="inlineStr">
        <is>
          <t>主鋼索3</t>
        </is>
      </c>
      <c r="E14" s="41" t="n">
        <v>378000</v>
      </c>
      <c r="F14" s="42" t="inlineStr">
        <is>
          <t>同步整理檔已記錄 (鑫禾機電)</t>
        </is>
      </c>
    </row>
    <row r="15" ht="16.5" customHeight="1" s="84">
      <c r="A15" s="40" t="n">
        <v>3</v>
      </c>
      <c r="B15" s="39" t="inlineStr">
        <is>
          <t>112.02.24</t>
        </is>
      </c>
      <c r="C15" s="39" t="inlineStr">
        <is>
          <t>2023-02-24</t>
        </is>
      </c>
      <c r="D15" s="40" t="inlineStr">
        <is>
          <t>主鋼索2</t>
        </is>
      </c>
      <c r="E15" s="41" t="n">
        <v>465000</v>
      </c>
      <c r="F15" s="42" t="inlineStr">
        <is>
          <t>次年更換編號 2</t>
        </is>
      </c>
    </row>
    <row r="16" ht="16.5" customHeight="1" s="84">
      <c r="A16" s="40" t="n">
        <v>4</v>
      </c>
      <c r="B16" s="39" t="inlineStr">
        <is>
          <t>112.09.27</t>
        </is>
      </c>
      <c r="C16" s="39" t="inlineStr">
        <is>
          <t>2023-09-27</t>
        </is>
      </c>
      <c r="D16" s="40" t="inlineStr">
        <is>
          <t>主鋼索8</t>
        </is>
      </c>
      <c r="E16" s="41" t="n">
        <v>520000</v>
      </c>
      <c r="F16" s="42" t="inlineStr">
        <is>
          <t>單價跳升至 52 萬</t>
        </is>
      </c>
    </row>
    <row r="17" ht="16.5" customHeight="1" s="84">
      <c r="A17" s="40" t="n">
        <v>5</v>
      </c>
      <c r="B17" s="39" t="inlineStr">
        <is>
          <t>113.02.26</t>
        </is>
      </c>
      <c r="C17" s="39" t="inlineStr">
        <is>
          <t>2024-02-26</t>
        </is>
      </c>
      <c r="D17" s="40" t="inlineStr">
        <is>
          <t>主鋼索6</t>
        </is>
      </c>
      <c r="E17" s="41" t="n">
        <v>520000</v>
      </c>
      <c r="F17" s="42" t="n"/>
    </row>
    <row r="18" ht="16.5" customHeight="1" s="84">
      <c r="A18" s="43" t="n">
        <v>6</v>
      </c>
      <c r="B18" s="43" t="inlineStr">
        <is>
          <t>113.10.28</t>
        </is>
      </c>
      <c r="C18" s="43" t="inlineStr">
        <is>
          <t>2024-10-28</t>
        </is>
      </c>
      <c r="D18" s="44" t="inlineStr">
        <is>
          <t>主鋼索10</t>
        </is>
      </c>
      <c r="E18" s="45" t="n">
        <v>520000</v>
      </c>
      <c r="F18" s="46" t="inlineStr">
        <is>
          <t>⚠️ 物業交接前最後一筆</t>
        </is>
      </c>
    </row>
    <row r="19" ht="31.25" customHeight="1" s="84">
      <c r="A19" s="47" t="n">
        <v>7</v>
      </c>
      <c r="B19" s="47" t="inlineStr">
        <is>
          <t>114.05.02</t>
        </is>
      </c>
      <c r="C19" s="47" t="inlineStr">
        <is>
          <t>2025-05-02</t>
        </is>
      </c>
      <c r="D19" s="48" t="inlineStr">
        <is>
          <t>主鋼索5</t>
        </is>
      </c>
      <c r="E19" s="49" t="n">
        <v>520000</v>
      </c>
      <c r="F19" s="50" t="inlineStr">
        <is>
          <t>🔴 同日 3 條 (5、4、7)，合計 $1,560,000，可能配合 解定存 $1.8M 進行</t>
        </is>
      </c>
    </row>
    <row r="20" ht="16.5" customHeight="1" s="84">
      <c r="A20" s="48" t="n">
        <v>8</v>
      </c>
      <c r="B20" s="47" t="inlineStr">
        <is>
          <t>114.05.02</t>
        </is>
      </c>
      <c r="C20" s="47" t="inlineStr">
        <is>
          <t>2025-05-02</t>
        </is>
      </c>
      <c r="D20" s="48" t="inlineStr">
        <is>
          <t>主鋼索4</t>
        </is>
      </c>
      <c r="E20" s="49" t="n">
        <v>520000</v>
      </c>
      <c r="F20" s="50" t="inlineStr">
        <is>
          <t>🔴 同上</t>
        </is>
      </c>
    </row>
    <row r="21" ht="16.5" customHeight="1" s="84">
      <c r="A21" s="48" t="n">
        <v>9</v>
      </c>
      <c r="B21" s="47" t="inlineStr">
        <is>
          <t>114.05.02</t>
        </is>
      </c>
      <c r="C21" s="47" t="inlineStr">
        <is>
          <t>2025-05-02</t>
        </is>
      </c>
      <c r="D21" s="48" t="inlineStr">
        <is>
          <t>主鋼索7</t>
        </is>
      </c>
      <c r="E21" s="49" t="n">
        <v>520000</v>
      </c>
      <c r="F21" s="50" t="inlineStr">
        <is>
          <t>🔴 同上</t>
        </is>
      </c>
    </row>
    <row r="22" ht="16.5" customHeight="1" s="84">
      <c r="A22" s="40" t="n">
        <v>10</v>
      </c>
      <c r="B22" s="39" t="inlineStr">
        <is>
          <t>114.07.21</t>
        </is>
      </c>
      <c r="C22" s="39" t="inlineStr">
        <is>
          <t>2025-07-21</t>
        </is>
      </c>
      <c r="D22" s="40" t="inlineStr">
        <is>
          <t>主鋼索9</t>
        </is>
      </c>
      <c r="E22" s="41" t="n">
        <v>520000</v>
      </c>
      <c r="F22" s="42" t="inlineStr">
        <is>
          <t>整理檔 2025-07 元大-電梯 變動漏記 — 帳上仍顯示 912,597</t>
        </is>
      </c>
    </row>
    <row r="23" ht="17.25" customHeight="1" s="84">
      <c r="A23" s="51" t="inlineStr">
        <is>
          <t>合計</t>
        </is>
      </c>
      <c r="B23" s="52" t="n"/>
      <c r="C23" s="52" t="n"/>
      <c r="D23" s="53" t="inlineStr">
        <is>
          <t>10 次</t>
        </is>
      </c>
      <c r="E23" s="54" t="n">
        <v>4725550</v>
      </c>
      <c r="F23" s="52" t="n"/>
    </row>
    <row r="25" ht="15" customHeight="1" s="84">
      <c r="A25" s="35" t="inlineStr">
        <is>
          <t>◆ 觀察與建議</t>
        </is>
      </c>
    </row>
    <row r="26" ht="21.75" customHeight="1" s="84">
      <c r="A26" s="100" t="inlineStr">
        <is>
          <t>• 主鋼索更換從 2020 年首次後，逐漸密集。2022/2023/2024 每年 1-3 條，2025 年 5 月一次 3 條。</t>
        </is>
      </c>
    </row>
    <row r="27" ht="21.75" customHeight="1" s="84">
      <c r="A27" s="100" t="inlineStr">
        <is>
          <t>• 平均每年從電梯專戶撥出 ~$800K 用於主鋼索更換 (2022 後)，遠超月撥款 50K-100K 的累積速度。</t>
        </is>
      </c>
    </row>
    <row r="28" ht="21.75" customHeight="1" s="84">
      <c r="A28" s="98" t="inlineStr">
        <is>
          <t>• 2025-05 同日 3 條 + 2025-07 1 條 = 共 4 條 ($2.08M)，與 解定存 1,799,331 時間吻合 — 可能是規劃性維修。</t>
        </is>
      </c>
    </row>
    <row r="29" ht="21.75" customHeight="1" s="84">
      <c r="A29" s="100" t="inlineStr">
        <is>
          <t>• 期末活儲 1,345,251 (2026-03)，定存已全部解約。資金水位需注意。</t>
        </is>
      </c>
    </row>
    <row r="30" ht="21.75" customHeight="1" s="84">
      <c r="A30" s="100" t="inlineStr">
        <is>
          <t>• 整理檔 2025-07 元大-電梯 變動漏記 NT$ 320,000 (該補入)。</t>
        </is>
      </c>
    </row>
  </sheetData>
  <mergeCells count="7">
    <mergeCell ref="A2:F2"/>
    <mergeCell ref="A28:F28"/>
    <mergeCell ref="A1:F1"/>
    <mergeCell ref="A27:F27"/>
    <mergeCell ref="A26:F26"/>
    <mergeCell ref="A30:F30"/>
    <mergeCell ref="A29:F29"/>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H180"/>
  <sheetViews>
    <sheetView zoomScaleNormal="100" workbookViewId="0">
      <selection activeCell="A1" sqref="A1"/>
    </sheetView>
  </sheetViews>
  <sheetFormatPr baseColWidth="10" defaultColWidth="7.83203125" defaultRowHeight="17"/>
  <cols>
    <col width="11" customWidth="1" style="84" min="1" max="2"/>
    <col width="9.1640625" customWidth="1" style="84" min="3" max="3"/>
    <col width="11" customWidth="1" style="84" min="4" max="5"/>
    <col width="12.6640625" customWidth="1" style="84" min="6" max="6"/>
    <col width="45.5" customWidth="1" style="84" min="7" max="7"/>
    <col width="14.5" customWidth="1" style="84" min="8" max="8"/>
  </cols>
  <sheetData>
    <row r="1" ht="15" customHeight="1" s="84">
      <c r="A1" s="55" t="inlineStr">
        <is>
          <t>民國日期</t>
        </is>
      </c>
      <c r="B1" s="55" t="inlineStr">
        <is>
          <t>西元日期</t>
        </is>
      </c>
      <c r="C1" s="55" t="inlineStr">
        <is>
          <t>月份</t>
        </is>
      </c>
      <c r="D1" s="55" t="inlineStr">
        <is>
          <t>收入</t>
        </is>
      </c>
      <c r="E1" s="55" t="inlineStr">
        <is>
          <t>支出</t>
        </is>
      </c>
      <c r="F1" s="55" t="inlineStr">
        <is>
          <t>餘額</t>
        </is>
      </c>
      <c r="G1" s="55" t="inlineStr">
        <is>
          <t>說明</t>
        </is>
      </c>
      <c r="H1" s="55" t="inlineStr">
        <is>
          <t>分類</t>
        </is>
      </c>
    </row>
    <row r="2" ht="16.5" customHeight="1" s="84">
      <c r="A2" s="56" t="inlineStr">
        <is>
          <t>108.04.12</t>
        </is>
      </c>
      <c r="B2" s="56" t="inlineStr">
        <is>
          <t>2019-04-12</t>
        </is>
      </c>
      <c r="C2" s="56" t="inlineStr">
        <is>
          <t>2019-04</t>
        </is>
      </c>
      <c r="D2" s="57" t="n">
        <v>50000</v>
      </c>
      <c r="E2" s="57" t="n"/>
      <c r="F2" s="57" t="n">
        <v>50000</v>
      </c>
      <c r="G2" s="56" t="inlineStr">
        <is>
          <t>108/04管理費撥款電梯專戶</t>
        </is>
      </c>
      <c r="H2" s="58" t="inlineStr">
        <is>
          <t>管理費撥款</t>
        </is>
      </c>
    </row>
    <row r="3" ht="15" customHeight="1" s="84">
      <c r="A3" s="56" t="inlineStr">
        <is>
          <t>108.04.12</t>
        </is>
      </c>
      <c r="B3" s="56" t="inlineStr">
        <is>
          <t>2019-04-12</t>
        </is>
      </c>
      <c r="C3" s="56" t="inlineStr">
        <is>
          <t>2019-04</t>
        </is>
      </c>
      <c r="D3" s="57" t="n">
        <v>1250000</v>
      </c>
      <c r="E3" s="57" t="n"/>
      <c r="F3" s="57" t="n">
        <v>1300000</v>
      </c>
      <c r="G3" s="58" t="inlineStr">
        <is>
          <t>昌禾提撥款</t>
        </is>
      </c>
      <c r="H3" s="58" t="inlineStr">
        <is>
          <t>昌禾初始提撥</t>
        </is>
      </c>
    </row>
    <row r="4" ht="16.5" customHeight="1" s="84">
      <c r="A4" s="56" t="inlineStr">
        <is>
          <t>108.05.09</t>
        </is>
      </c>
      <c r="B4" s="56" t="inlineStr">
        <is>
          <t>2019-05-09</t>
        </is>
      </c>
      <c r="C4" s="56" t="inlineStr">
        <is>
          <t>2019-05</t>
        </is>
      </c>
      <c r="D4" s="57" t="n">
        <v>50000</v>
      </c>
      <c r="E4" s="57" t="n"/>
      <c r="F4" s="57" t="n">
        <v>1350000</v>
      </c>
      <c r="G4" s="56" t="inlineStr">
        <is>
          <t>108/05管理費撥款電梯專戶</t>
        </is>
      </c>
      <c r="H4" s="58" t="inlineStr">
        <is>
          <t>管理費撥款</t>
        </is>
      </c>
    </row>
    <row r="5" ht="16.5" customHeight="1" s="84">
      <c r="A5" s="56" t="inlineStr">
        <is>
          <t>108.06.04</t>
        </is>
      </c>
      <c r="B5" s="56" t="inlineStr">
        <is>
          <t>2019-06-04</t>
        </is>
      </c>
      <c r="C5" s="56" t="inlineStr">
        <is>
          <t>2019-06</t>
        </is>
      </c>
      <c r="D5" s="57" t="n">
        <v>50000</v>
      </c>
      <c r="E5" s="57" t="n"/>
      <c r="F5" s="57" t="n">
        <v>1400000</v>
      </c>
      <c r="G5" s="56" t="inlineStr">
        <is>
          <t>108/06管理費撥款電梯專戶</t>
        </is>
      </c>
      <c r="H5" s="58" t="inlineStr">
        <is>
          <t>管理費撥款</t>
        </is>
      </c>
    </row>
    <row r="6" ht="15" customHeight="1" s="84">
      <c r="A6" s="56" t="inlineStr">
        <is>
          <t>108.06.21</t>
        </is>
      </c>
      <c r="B6" s="56" t="inlineStr">
        <is>
          <t>2019-06-21</t>
        </is>
      </c>
      <c r="C6" s="56" t="inlineStr">
        <is>
          <t>2019-06</t>
        </is>
      </c>
      <c r="D6" s="57" t="n">
        <v>129</v>
      </c>
      <c r="E6" s="57" t="n"/>
      <c r="F6" s="57" t="n">
        <v>1400129</v>
      </c>
      <c r="G6" s="58" t="inlineStr">
        <is>
          <t>存款息</t>
        </is>
      </c>
      <c r="H6" s="58" t="inlineStr">
        <is>
          <t>存款利息</t>
        </is>
      </c>
    </row>
    <row r="7" ht="16.5" customHeight="1" s="84">
      <c r="A7" s="56" t="inlineStr">
        <is>
          <t>108.07.08</t>
        </is>
      </c>
      <c r="B7" s="56" t="inlineStr">
        <is>
          <t>2019-07-08</t>
        </is>
      </c>
      <c r="C7" s="56" t="inlineStr">
        <is>
          <t>2019-07</t>
        </is>
      </c>
      <c r="D7" s="57" t="n">
        <v>50000</v>
      </c>
      <c r="E7" s="57" t="n"/>
      <c r="F7" s="57" t="n">
        <v>1450129</v>
      </c>
      <c r="G7" s="56" t="inlineStr">
        <is>
          <t>108/07管理費撥款電梯專戶</t>
        </is>
      </c>
      <c r="H7" s="58" t="inlineStr">
        <is>
          <t>管理費撥款</t>
        </is>
      </c>
    </row>
    <row r="8" ht="16.5" customHeight="1" s="84">
      <c r="A8" s="56" t="inlineStr">
        <is>
          <t>108.07.09</t>
        </is>
      </c>
      <c r="B8" s="56" t="inlineStr">
        <is>
          <t>2019-07-09</t>
        </is>
      </c>
      <c r="C8" s="56" t="inlineStr">
        <is>
          <t>2019-07</t>
        </is>
      </c>
      <c r="D8" s="57" t="n">
        <v>100000</v>
      </c>
      <c r="E8" s="57" t="n"/>
      <c r="F8" s="57" t="n">
        <v>1550129</v>
      </c>
      <c r="G8" s="56" t="inlineStr">
        <is>
          <t>108/07管理費重複撥款電梯專戶</t>
        </is>
      </c>
      <c r="H8" s="58" t="inlineStr">
        <is>
          <t>其他</t>
        </is>
      </c>
    </row>
    <row r="9" ht="16.5" customHeight="1" s="84">
      <c r="A9" s="56" t="inlineStr">
        <is>
          <t>108.08.06</t>
        </is>
      </c>
      <c r="B9" s="56" t="inlineStr">
        <is>
          <t>2019-08-06</t>
        </is>
      </c>
      <c r="C9" s="56" t="inlineStr">
        <is>
          <t>2019-08</t>
        </is>
      </c>
      <c r="D9" s="57" t="n">
        <v>50000</v>
      </c>
      <c r="E9" s="57" t="n"/>
      <c r="F9" s="57" t="n">
        <v>1600129</v>
      </c>
      <c r="G9" s="56" t="inlineStr">
        <is>
          <t>108/08管理費撥款電梯專戶</t>
        </is>
      </c>
      <c r="H9" s="58" t="inlineStr">
        <is>
          <t>管理費撥款</t>
        </is>
      </c>
    </row>
    <row r="10" ht="16.5" customHeight="1" s="84">
      <c r="A10" s="56" t="inlineStr">
        <is>
          <t>108.09.09</t>
        </is>
      </c>
      <c r="B10" s="56" t="inlineStr">
        <is>
          <t>2019-09-09</t>
        </is>
      </c>
      <c r="C10" s="56" t="inlineStr">
        <is>
          <t>2019-09</t>
        </is>
      </c>
      <c r="D10" s="57" t="n">
        <v>50000</v>
      </c>
      <c r="E10" s="57" t="n"/>
      <c r="F10" s="57" t="n">
        <v>1650129</v>
      </c>
      <c r="G10" s="56" t="inlineStr">
        <is>
          <t>108/09管理費撥款電梯專戶</t>
        </is>
      </c>
      <c r="H10" s="58" t="inlineStr">
        <is>
          <t>管理費撥款</t>
        </is>
      </c>
    </row>
    <row r="11" ht="16.5" customHeight="1" s="84">
      <c r="A11" s="56" t="inlineStr">
        <is>
          <t>108.10.04</t>
        </is>
      </c>
      <c r="B11" s="56" t="inlineStr">
        <is>
          <t>2019-10-04</t>
        </is>
      </c>
      <c r="C11" s="56" t="inlineStr">
        <is>
          <t>2019-10</t>
        </is>
      </c>
      <c r="D11" s="57" t="n">
        <v>50000</v>
      </c>
      <c r="E11" s="57" t="n"/>
      <c r="F11" s="57" t="n">
        <v>1700129</v>
      </c>
      <c r="G11" s="56" t="inlineStr">
        <is>
          <t>108/10管理費撥款電梯專戶</t>
        </is>
      </c>
      <c r="H11" s="58" t="inlineStr">
        <is>
          <t>管理費撥款</t>
        </is>
      </c>
    </row>
    <row r="12" ht="16.5" customHeight="1" s="84">
      <c r="A12" s="56" t="inlineStr">
        <is>
          <t>108.11.08</t>
        </is>
      </c>
      <c r="B12" s="56" t="inlineStr">
        <is>
          <t>2019-11-08</t>
        </is>
      </c>
      <c r="C12" s="56" t="inlineStr">
        <is>
          <t>2019-11</t>
        </is>
      </c>
      <c r="D12" s="57" t="n">
        <v>50000</v>
      </c>
      <c r="E12" s="57" t="n"/>
      <c r="F12" s="57" t="n">
        <v>1750129</v>
      </c>
      <c r="G12" s="56" t="inlineStr">
        <is>
          <t>108/11管理費撥款電梯專戶</t>
        </is>
      </c>
      <c r="H12" s="58" t="inlineStr">
        <is>
          <t>管理費撥款</t>
        </is>
      </c>
    </row>
    <row r="13" ht="16.5" customHeight="1" s="84">
      <c r="A13" s="56" t="inlineStr">
        <is>
          <t>108.12.10</t>
        </is>
      </c>
      <c r="B13" s="56" t="inlineStr">
        <is>
          <t>2019-12-10</t>
        </is>
      </c>
      <c r="C13" s="56" t="inlineStr">
        <is>
          <t>2019-12</t>
        </is>
      </c>
      <c r="D13" s="57" t="n">
        <v>50000</v>
      </c>
      <c r="E13" s="57" t="n"/>
      <c r="F13" s="57" t="n">
        <v>1800129</v>
      </c>
      <c r="G13" s="56" t="inlineStr">
        <is>
          <t>108/12管理費撥款電梯專戶</t>
        </is>
      </c>
      <c r="H13" s="58" t="inlineStr">
        <is>
          <t>管理費撥款</t>
        </is>
      </c>
    </row>
    <row r="14" ht="15" customHeight="1" s="84">
      <c r="A14" s="56" t="inlineStr">
        <is>
          <t>108.12.21</t>
        </is>
      </c>
      <c r="B14" s="56" t="inlineStr">
        <is>
          <t>2019-12-21</t>
        </is>
      </c>
      <c r="C14" s="56" t="inlineStr">
        <is>
          <t>2019-12</t>
        </is>
      </c>
      <c r="D14" s="57" t="n">
        <v>410</v>
      </c>
      <c r="E14" s="57" t="n"/>
      <c r="F14" s="57" t="n">
        <v>1800539</v>
      </c>
      <c r="G14" s="58" t="inlineStr">
        <is>
          <t>存款息</t>
        </is>
      </c>
      <c r="H14" s="58" t="inlineStr">
        <is>
          <t>存款利息</t>
        </is>
      </c>
    </row>
    <row r="15" ht="16.5" customHeight="1" s="84">
      <c r="A15" s="56" t="inlineStr">
        <is>
          <t>109.01.02</t>
        </is>
      </c>
      <c r="B15" s="56" t="inlineStr">
        <is>
          <t>2020-01-02</t>
        </is>
      </c>
      <c r="C15" s="56" t="inlineStr">
        <is>
          <t>2020-01</t>
        </is>
      </c>
      <c r="D15" s="57" t="n">
        <v>50000</v>
      </c>
      <c r="E15" s="57" t="n"/>
      <c r="F15" s="57" t="n">
        <v>1850539</v>
      </c>
      <c r="G15" s="56" t="inlineStr">
        <is>
          <t>109/01管理費撥款電梯專戶</t>
        </is>
      </c>
      <c r="H15" s="58" t="inlineStr">
        <is>
          <t>管理費撥款</t>
        </is>
      </c>
    </row>
    <row r="16" ht="16.5" customHeight="1" s="84">
      <c r="A16" s="56" t="inlineStr">
        <is>
          <t>109.01.21</t>
        </is>
      </c>
      <c r="B16" s="56" t="inlineStr">
        <is>
          <t>2020-01-21</t>
        </is>
      </c>
      <c r="C16" s="56" t="inlineStr">
        <is>
          <t>2020-01</t>
        </is>
      </c>
      <c r="D16" s="57" t="n">
        <v>50000</v>
      </c>
      <c r="E16" s="57" t="n"/>
      <c r="F16" s="57" t="n">
        <v>1900539</v>
      </c>
      <c r="G16" s="56" t="inlineStr">
        <is>
          <t>109/02管理費撥款電梯專戶</t>
        </is>
      </c>
      <c r="H16" s="58" t="inlineStr">
        <is>
          <t>管理費撥款</t>
        </is>
      </c>
    </row>
    <row r="17" ht="15" customHeight="1" s="84">
      <c r="A17" s="59" t="inlineStr">
        <is>
          <t>109.02.04</t>
        </is>
      </c>
      <c r="B17" s="59" t="inlineStr">
        <is>
          <t>2020-02-04</t>
        </is>
      </c>
      <c r="C17" s="59" t="inlineStr">
        <is>
          <t>2020-02</t>
        </is>
      </c>
      <c r="D17" s="60" t="n"/>
      <c r="E17" s="60" t="n">
        <v>1800000</v>
      </c>
      <c r="F17" s="60" t="n">
        <v>100539</v>
      </c>
      <c r="G17" s="61" t="inlineStr">
        <is>
          <t>轉定存</t>
        </is>
      </c>
      <c r="H17" s="61" t="inlineStr">
        <is>
          <t>轉定存</t>
        </is>
      </c>
    </row>
    <row r="18" ht="15" customHeight="1" s="84">
      <c r="A18" s="56" t="inlineStr">
        <is>
          <t>109.03.04</t>
        </is>
      </c>
      <c r="B18" s="56" t="inlineStr">
        <is>
          <t>2020-03-04</t>
        </is>
      </c>
      <c r="C18" s="56" t="inlineStr">
        <is>
          <t>2020-03</t>
        </is>
      </c>
      <c r="D18" s="57" t="n">
        <v>1502</v>
      </c>
      <c r="E18" s="57" t="n"/>
      <c r="F18" s="57" t="n">
        <v>102041</v>
      </c>
      <c r="G18" s="58" t="inlineStr">
        <is>
          <t>存款息</t>
        </is>
      </c>
      <c r="H18" s="58" t="inlineStr">
        <is>
          <t>存款利息</t>
        </is>
      </c>
    </row>
    <row r="19" ht="16.5" customHeight="1" s="84">
      <c r="A19" s="56" t="inlineStr">
        <is>
          <t>109.03.06</t>
        </is>
      </c>
      <c r="B19" s="56" t="inlineStr">
        <is>
          <t>2020-03-06</t>
        </is>
      </c>
      <c r="C19" s="56" t="inlineStr">
        <is>
          <t>2020-03</t>
        </is>
      </c>
      <c r="D19" s="57" t="n">
        <v>50000</v>
      </c>
      <c r="E19" s="57" t="n"/>
      <c r="F19" s="57" t="n">
        <v>152041</v>
      </c>
      <c r="G19" s="56" t="inlineStr">
        <is>
          <t>109/03管理費撥款電梯專戶</t>
        </is>
      </c>
      <c r="H19" s="58" t="inlineStr">
        <is>
          <t>管理費撥款</t>
        </is>
      </c>
    </row>
    <row r="20" ht="15" customHeight="1" s="84">
      <c r="A20" s="56" t="inlineStr">
        <is>
          <t>109.04.06</t>
        </is>
      </c>
      <c r="B20" s="56" t="inlineStr">
        <is>
          <t>2020-04-06</t>
        </is>
      </c>
      <c r="C20" s="56" t="inlineStr">
        <is>
          <t>2020-04</t>
        </is>
      </c>
      <c r="D20" s="57" t="n">
        <v>1605</v>
      </c>
      <c r="E20" s="57" t="n"/>
      <c r="F20" s="57" t="n">
        <v>153646</v>
      </c>
      <c r="G20" s="58" t="inlineStr">
        <is>
          <t>存款息</t>
        </is>
      </c>
      <c r="H20" s="58" t="inlineStr">
        <is>
          <t>存款利息</t>
        </is>
      </c>
    </row>
    <row r="21" ht="16.5" customHeight="1" s="84">
      <c r="A21" s="56" t="inlineStr">
        <is>
          <t>109.04.07</t>
        </is>
      </c>
      <c r="B21" s="56" t="inlineStr">
        <is>
          <t>2020-04-07</t>
        </is>
      </c>
      <c r="C21" s="56" t="inlineStr">
        <is>
          <t>2020-04</t>
        </is>
      </c>
      <c r="D21" s="57" t="n">
        <v>50000</v>
      </c>
      <c r="E21" s="57" t="n"/>
      <c r="F21" s="57" t="n">
        <v>203646</v>
      </c>
      <c r="G21" s="56" t="inlineStr">
        <is>
          <t>109/04管理費撥款電梯專戶</t>
        </is>
      </c>
      <c r="H21" s="58" t="inlineStr">
        <is>
          <t>管理費撥款</t>
        </is>
      </c>
    </row>
    <row r="22" ht="15" customHeight="1" s="84">
      <c r="A22" s="56" t="inlineStr">
        <is>
          <t>109.05.04</t>
        </is>
      </c>
      <c r="B22" s="56" t="inlineStr">
        <is>
          <t>2020-05-04</t>
        </is>
      </c>
      <c r="C22" s="56" t="inlineStr">
        <is>
          <t>2020-05</t>
        </is>
      </c>
      <c r="D22" s="57" t="n">
        <v>1553</v>
      </c>
      <c r="E22" s="57" t="n"/>
      <c r="F22" s="57" t="n">
        <v>205199</v>
      </c>
      <c r="G22" s="58" t="inlineStr">
        <is>
          <t>存款息</t>
        </is>
      </c>
      <c r="H22" s="58" t="inlineStr">
        <is>
          <t>存款利息</t>
        </is>
      </c>
    </row>
    <row r="23" ht="16.5" customHeight="1" s="84">
      <c r="A23" s="56" t="inlineStr">
        <is>
          <t>109.05.04</t>
        </is>
      </c>
      <c r="B23" s="56" t="inlineStr">
        <is>
          <t>2020-05-04</t>
        </is>
      </c>
      <c r="C23" s="56" t="inlineStr">
        <is>
          <t>2020-05</t>
        </is>
      </c>
      <c r="D23" s="57" t="n">
        <v>50000</v>
      </c>
      <c r="E23" s="57" t="n"/>
      <c r="F23" s="57" t="n">
        <v>255199</v>
      </c>
      <c r="G23" s="56" t="inlineStr">
        <is>
          <t>109/05管理費撥款電梯專戶</t>
        </is>
      </c>
      <c r="H23" s="58" t="inlineStr">
        <is>
          <t>管理費撥款</t>
        </is>
      </c>
    </row>
    <row r="24" ht="16.5" customHeight="1" s="84">
      <c r="A24" s="56" t="inlineStr">
        <is>
          <t>109.06.01</t>
        </is>
      </c>
      <c r="B24" s="56" t="inlineStr">
        <is>
          <t>2020-06-01</t>
        </is>
      </c>
      <c r="C24" s="56" t="inlineStr">
        <is>
          <t>2020-06</t>
        </is>
      </c>
      <c r="D24" s="57" t="n">
        <v>50000</v>
      </c>
      <c r="E24" s="57" t="n"/>
      <c r="F24" s="57" t="n">
        <v>305199</v>
      </c>
      <c r="G24" s="56" t="inlineStr">
        <is>
          <t>109/06管理費撥款電梯專戶</t>
        </is>
      </c>
      <c r="H24" s="58" t="inlineStr">
        <is>
          <t>管理費撥款</t>
        </is>
      </c>
    </row>
    <row r="25" ht="15" customHeight="1" s="84">
      <c r="A25" s="56" t="inlineStr">
        <is>
          <t>109.06.04</t>
        </is>
      </c>
      <c r="B25" s="56" t="inlineStr">
        <is>
          <t>2020-06-04</t>
        </is>
      </c>
      <c r="C25" s="56" t="inlineStr">
        <is>
          <t>2020-06</t>
        </is>
      </c>
      <c r="D25" s="57" t="n">
        <v>1605</v>
      </c>
      <c r="E25" s="57" t="n"/>
      <c r="F25" s="57" t="n">
        <v>306804</v>
      </c>
      <c r="G25" s="58" t="inlineStr">
        <is>
          <t>存款息</t>
        </is>
      </c>
      <c r="H25" s="58" t="inlineStr">
        <is>
          <t>存款利息</t>
        </is>
      </c>
    </row>
    <row r="26" ht="15" customHeight="1" s="84">
      <c r="A26" s="56" t="inlineStr">
        <is>
          <t>109.06.21</t>
        </is>
      </c>
      <c r="B26" s="56" t="inlineStr">
        <is>
          <t>2020-06-21</t>
        </is>
      </c>
      <c r="C26" s="56" t="inlineStr">
        <is>
          <t>2020-06</t>
        </is>
      </c>
      <c r="D26" s="57" t="n">
        <v>128</v>
      </c>
      <c r="E26" s="57" t="n"/>
      <c r="F26" s="57" t="n">
        <v>306932</v>
      </c>
      <c r="G26" s="58" t="inlineStr">
        <is>
          <t>存款息</t>
        </is>
      </c>
      <c r="H26" s="58" t="inlineStr">
        <is>
          <t>存款利息</t>
        </is>
      </c>
    </row>
    <row r="27" ht="15" customHeight="1" s="84">
      <c r="A27" s="56" t="inlineStr">
        <is>
          <t>109.07.06</t>
        </is>
      </c>
      <c r="B27" s="56" t="inlineStr">
        <is>
          <t>2020-07-06</t>
        </is>
      </c>
      <c r="C27" s="56" t="inlineStr">
        <is>
          <t>2020-07</t>
        </is>
      </c>
      <c r="D27" s="57" t="n">
        <v>1553</v>
      </c>
      <c r="E27" s="57" t="n"/>
      <c r="F27" s="57" t="n">
        <v>308485</v>
      </c>
      <c r="G27" s="58" t="inlineStr">
        <is>
          <t>存款息</t>
        </is>
      </c>
      <c r="H27" s="58" t="inlineStr">
        <is>
          <t>存款利息</t>
        </is>
      </c>
    </row>
    <row r="28" ht="16.5" customHeight="1" s="84">
      <c r="A28" s="56" t="inlineStr">
        <is>
          <t>109.07.08</t>
        </is>
      </c>
      <c r="B28" s="56" t="inlineStr">
        <is>
          <t>2020-07-08</t>
        </is>
      </c>
      <c r="C28" s="56" t="inlineStr">
        <is>
          <t>2020-07</t>
        </is>
      </c>
      <c r="D28" s="57" t="n">
        <v>50000</v>
      </c>
      <c r="E28" s="57" t="n"/>
      <c r="F28" s="57" t="n">
        <v>358485</v>
      </c>
      <c r="G28" s="56" t="inlineStr">
        <is>
          <t>109/07管理費撥款電梯專戶</t>
        </is>
      </c>
      <c r="H28" s="58" t="inlineStr">
        <is>
          <t>管理費撥款</t>
        </is>
      </c>
    </row>
    <row r="29" ht="15" customHeight="1" s="84">
      <c r="A29" s="56" t="inlineStr">
        <is>
          <t>109.08.04</t>
        </is>
      </c>
      <c r="B29" s="56" t="inlineStr">
        <is>
          <t>2020-08-04</t>
        </is>
      </c>
      <c r="C29" s="56" t="inlineStr">
        <is>
          <t>2020-08</t>
        </is>
      </c>
      <c r="D29" s="57" t="n">
        <v>1605</v>
      </c>
      <c r="E29" s="57" t="n"/>
      <c r="F29" s="57" t="n">
        <v>360090</v>
      </c>
      <c r="G29" s="58" t="inlineStr">
        <is>
          <t>存款息</t>
        </is>
      </c>
      <c r="H29" s="58" t="inlineStr">
        <is>
          <t>存款利息</t>
        </is>
      </c>
    </row>
    <row r="30" ht="16.5" customHeight="1" s="84">
      <c r="A30" s="56" t="inlineStr">
        <is>
          <t>109.08.05</t>
        </is>
      </c>
      <c r="B30" s="56" t="inlineStr">
        <is>
          <t>2020-08-05</t>
        </is>
      </c>
      <c r="C30" s="56" t="inlineStr">
        <is>
          <t>2020-08</t>
        </is>
      </c>
      <c r="D30" s="57" t="n">
        <v>50000</v>
      </c>
      <c r="E30" s="57" t="n"/>
      <c r="F30" s="57" t="n">
        <v>410090</v>
      </c>
      <c r="G30" s="56" t="inlineStr">
        <is>
          <t>109/08管理費撥款電梯專戶</t>
        </is>
      </c>
      <c r="H30" s="58" t="inlineStr">
        <is>
          <t>管理費撥款</t>
        </is>
      </c>
    </row>
    <row r="31" ht="15" customHeight="1" s="84">
      <c r="A31" s="56" t="inlineStr">
        <is>
          <t>109.09.04</t>
        </is>
      </c>
      <c r="B31" s="56" t="inlineStr">
        <is>
          <t>2020-09-04</t>
        </is>
      </c>
      <c r="C31" s="56" t="inlineStr">
        <is>
          <t>2020-09</t>
        </is>
      </c>
      <c r="D31" s="57" t="n">
        <v>1605</v>
      </c>
      <c r="E31" s="57" t="n"/>
      <c r="F31" s="57" t="n">
        <v>411695</v>
      </c>
      <c r="G31" s="58" t="inlineStr">
        <is>
          <t>存款息</t>
        </is>
      </c>
      <c r="H31" s="58" t="inlineStr">
        <is>
          <t>存款利息</t>
        </is>
      </c>
    </row>
    <row r="32" ht="16.5" customHeight="1" s="84">
      <c r="A32" s="56" t="inlineStr">
        <is>
          <t>109.09.07</t>
        </is>
      </c>
      <c r="B32" s="56" t="inlineStr">
        <is>
          <t>2020-09-07</t>
        </is>
      </c>
      <c r="C32" s="56" t="inlineStr">
        <is>
          <t>2020-09</t>
        </is>
      </c>
      <c r="D32" s="57" t="n">
        <v>50000</v>
      </c>
      <c r="E32" s="57" t="n"/>
      <c r="F32" s="57" t="n">
        <v>461695</v>
      </c>
      <c r="G32" s="56" t="inlineStr">
        <is>
          <t>109/09管理費撥款電梯專戶</t>
        </is>
      </c>
      <c r="H32" s="58" t="inlineStr">
        <is>
          <t>管理費撥款</t>
        </is>
      </c>
    </row>
    <row r="33" ht="15" customHeight="1" s="84">
      <c r="A33" s="56" t="inlineStr">
        <is>
          <t>109.10.05</t>
        </is>
      </c>
      <c r="B33" s="56" t="inlineStr">
        <is>
          <t>2020-10-05</t>
        </is>
      </c>
      <c r="C33" s="56" t="inlineStr">
        <is>
          <t>2020-10</t>
        </is>
      </c>
      <c r="D33" s="57" t="n">
        <v>1553</v>
      </c>
      <c r="E33" s="57" t="n"/>
      <c r="F33" s="57" t="n">
        <v>463248</v>
      </c>
      <c r="G33" s="58" t="inlineStr">
        <is>
          <t>存款息</t>
        </is>
      </c>
      <c r="H33" s="58" t="inlineStr">
        <is>
          <t>存款利息</t>
        </is>
      </c>
    </row>
    <row r="34" ht="16.5" customHeight="1" s="84">
      <c r="A34" s="62" t="inlineStr">
        <is>
          <t>109.10.06</t>
        </is>
      </c>
      <c r="B34" s="62" t="inlineStr">
        <is>
          <t>2020-10-06</t>
        </is>
      </c>
      <c r="C34" s="62" t="inlineStr">
        <is>
          <t>2020-10</t>
        </is>
      </c>
      <c r="D34" s="63" t="n"/>
      <c r="E34" s="63" t="n">
        <v>242550</v>
      </c>
      <c r="F34" s="63" t="n">
        <v>220698</v>
      </c>
      <c r="G34" s="52" t="inlineStr">
        <is>
          <t>更換主鋼索1</t>
        </is>
      </c>
      <c r="H34" s="52" t="inlineStr">
        <is>
          <t>主鋼索更換</t>
        </is>
      </c>
    </row>
    <row r="35" ht="16.5" customHeight="1" s="84">
      <c r="A35" s="56" t="inlineStr">
        <is>
          <t>109.10.06</t>
        </is>
      </c>
      <c r="B35" s="56" t="inlineStr">
        <is>
          <t>2020-10-06</t>
        </is>
      </c>
      <c r="C35" s="56" t="inlineStr">
        <is>
          <t>2020-10</t>
        </is>
      </c>
      <c r="D35" s="57" t="n">
        <v>50000</v>
      </c>
      <c r="E35" s="57" t="n"/>
      <c r="F35" s="57" t="n">
        <v>270698</v>
      </c>
      <c r="G35" s="56" t="inlineStr">
        <is>
          <t>109/10管理費撥款電梯專戶</t>
        </is>
      </c>
      <c r="H35" s="58" t="inlineStr">
        <is>
          <t>管理費撥款</t>
        </is>
      </c>
    </row>
    <row r="36" ht="15" customHeight="1" s="84">
      <c r="A36" s="56" t="inlineStr">
        <is>
          <t>109.11.04</t>
        </is>
      </c>
      <c r="B36" s="56" t="inlineStr">
        <is>
          <t>2020-11-04</t>
        </is>
      </c>
      <c r="C36" s="56" t="inlineStr">
        <is>
          <t>2020-11</t>
        </is>
      </c>
      <c r="D36" s="57" t="n">
        <v>1605</v>
      </c>
      <c r="E36" s="57" t="n"/>
      <c r="F36" s="57" t="n">
        <v>272303</v>
      </c>
      <c r="G36" s="58" t="inlineStr">
        <is>
          <t>存款息</t>
        </is>
      </c>
      <c r="H36" s="58" t="inlineStr">
        <is>
          <t>存款利息</t>
        </is>
      </c>
    </row>
    <row r="37" ht="16.5" customHeight="1" s="84">
      <c r="A37" s="56" t="inlineStr">
        <is>
          <t>109.11.04</t>
        </is>
      </c>
      <c r="B37" s="56" t="inlineStr">
        <is>
          <t>2020-11-04</t>
        </is>
      </c>
      <c r="C37" s="56" t="inlineStr">
        <is>
          <t>2020-11</t>
        </is>
      </c>
      <c r="D37" s="57" t="n">
        <v>50000</v>
      </c>
      <c r="E37" s="57" t="n"/>
      <c r="F37" s="57" t="n">
        <v>322303</v>
      </c>
      <c r="G37" s="56" t="inlineStr">
        <is>
          <t>109/11管理費撥款電梯專戶</t>
        </is>
      </c>
      <c r="H37" s="58" t="inlineStr">
        <is>
          <t>管理費撥款</t>
        </is>
      </c>
    </row>
    <row r="38" ht="15" customHeight="1" s="84">
      <c r="A38" s="56" t="inlineStr">
        <is>
          <t>109.12.04</t>
        </is>
      </c>
      <c r="B38" s="56" t="inlineStr">
        <is>
          <t>2020-12-04</t>
        </is>
      </c>
      <c r="C38" s="56" t="inlineStr">
        <is>
          <t>2020-12</t>
        </is>
      </c>
      <c r="D38" s="57" t="n">
        <v>1553</v>
      </c>
      <c r="E38" s="57" t="n"/>
      <c r="F38" s="57" t="n">
        <v>323856</v>
      </c>
      <c r="G38" s="58" t="inlineStr">
        <is>
          <t>存款息</t>
        </is>
      </c>
      <c r="H38" s="58" t="inlineStr">
        <is>
          <t>存款利息</t>
        </is>
      </c>
    </row>
    <row r="39" ht="16.5" customHeight="1" s="84">
      <c r="A39" s="56" t="inlineStr">
        <is>
          <t>109.12.04</t>
        </is>
      </c>
      <c r="B39" s="56" t="inlineStr">
        <is>
          <t>2020-12-04</t>
        </is>
      </c>
      <c r="C39" s="56" t="inlineStr">
        <is>
          <t>2020-12</t>
        </is>
      </c>
      <c r="D39" s="57" t="n">
        <v>50000</v>
      </c>
      <c r="E39" s="57" t="n"/>
      <c r="F39" s="57" t="n">
        <v>373856</v>
      </c>
      <c r="G39" s="56" t="inlineStr">
        <is>
          <t>109/12管理費撥款電梯專戶</t>
        </is>
      </c>
      <c r="H39" s="58" t="inlineStr">
        <is>
          <t>管理費撥款</t>
        </is>
      </c>
    </row>
    <row r="40" ht="15" customHeight="1" s="84">
      <c r="A40" s="56" t="inlineStr">
        <is>
          <t>109.12.21</t>
        </is>
      </c>
      <c r="B40" s="56" t="inlineStr">
        <is>
          <t>2020-12-21</t>
        </is>
      </c>
      <c r="C40" s="56" t="inlineStr">
        <is>
          <t>2020-12</t>
        </is>
      </c>
      <c r="D40" s="57" t="n">
        <v>18</v>
      </c>
      <c r="E40" s="57" t="n"/>
      <c r="F40" s="57" t="n">
        <v>373874</v>
      </c>
      <c r="G40" s="58" t="inlineStr">
        <is>
          <t>存款息</t>
        </is>
      </c>
      <c r="H40" s="58" t="inlineStr">
        <is>
          <t>存款利息</t>
        </is>
      </c>
    </row>
    <row r="41" ht="15" customHeight="1" s="84">
      <c r="A41" s="56" t="inlineStr">
        <is>
          <t>110.01.04</t>
        </is>
      </c>
      <c r="B41" s="56" t="inlineStr">
        <is>
          <t>2021-01-04</t>
        </is>
      </c>
      <c r="C41" s="56" t="inlineStr">
        <is>
          <t>2021-01</t>
        </is>
      </c>
      <c r="D41" s="57" t="n">
        <v>1605</v>
      </c>
      <c r="E41" s="57" t="n"/>
      <c r="F41" s="57" t="n">
        <v>375479</v>
      </c>
      <c r="G41" s="58" t="inlineStr">
        <is>
          <t>存款息</t>
        </is>
      </c>
      <c r="H41" s="58" t="inlineStr">
        <is>
          <t>存款利息</t>
        </is>
      </c>
    </row>
    <row r="42" ht="16.5" customHeight="1" s="84">
      <c r="A42" s="56" t="inlineStr">
        <is>
          <t>110.01.04</t>
        </is>
      </c>
      <c r="B42" s="56" t="inlineStr">
        <is>
          <t>2021-01-04</t>
        </is>
      </c>
      <c r="C42" s="56" t="inlineStr">
        <is>
          <t>2021-01</t>
        </is>
      </c>
      <c r="D42" s="57" t="n">
        <v>50000</v>
      </c>
      <c r="E42" s="57" t="n"/>
      <c r="F42" s="57" t="n">
        <v>425479</v>
      </c>
      <c r="G42" s="56" t="inlineStr">
        <is>
          <t>110/01管理費撥款電梯專戶</t>
        </is>
      </c>
      <c r="H42" s="58" t="inlineStr">
        <is>
          <t>管理費撥款</t>
        </is>
      </c>
    </row>
    <row r="43" ht="16.5" customHeight="1" s="84">
      <c r="A43" s="56" t="inlineStr">
        <is>
          <t>110.02.01</t>
        </is>
      </c>
      <c r="B43" s="56" t="inlineStr">
        <is>
          <t>2021-02-01</t>
        </is>
      </c>
      <c r="C43" s="56" t="inlineStr">
        <is>
          <t>2021-02</t>
        </is>
      </c>
      <c r="D43" s="57" t="n">
        <v>50000</v>
      </c>
      <c r="E43" s="57" t="n"/>
      <c r="F43" s="57" t="n">
        <v>475479</v>
      </c>
      <c r="G43" s="56" t="inlineStr">
        <is>
          <t>110/02管理費撥款電梯專戶</t>
        </is>
      </c>
      <c r="H43" s="58" t="inlineStr">
        <is>
          <t>管理費撥款</t>
        </is>
      </c>
    </row>
    <row r="44" ht="15" customHeight="1" s="84">
      <c r="A44" s="56" t="inlineStr">
        <is>
          <t>110.02.04</t>
        </is>
      </c>
      <c r="B44" s="56" t="inlineStr">
        <is>
          <t>2021-02-04</t>
        </is>
      </c>
      <c r="C44" s="56" t="inlineStr">
        <is>
          <t>2021-02</t>
        </is>
      </c>
      <c r="D44" s="57" t="n">
        <v>1605</v>
      </c>
      <c r="E44" s="57" t="n"/>
      <c r="F44" s="57" t="n">
        <v>477084</v>
      </c>
      <c r="G44" s="58" t="inlineStr">
        <is>
          <t>存款息</t>
        </is>
      </c>
      <c r="H44" s="58" t="inlineStr">
        <is>
          <t>存款利息</t>
        </is>
      </c>
    </row>
    <row r="45" ht="15" customHeight="1" s="84">
      <c r="A45" s="56" t="inlineStr">
        <is>
          <t>110.03.04</t>
        </is>
      </c>
      <c r="B45" s="56" t="inlineStr">
        <is>
          <t>2021-03-04</t>
        </is>
      </c>
      <c r="C45" s="56" t="inlineStr">
        <is>
          <t>2021-03</t>
        </is>
      </c>
      <c r="D45" s="57" t="n">
        <v>1091</v>
      </c>
      <c r="E45" s="57" t="n"/>
      <c r="F45" s="57" t="n">
        <v>478175</v>
      </c>
      <c r="G45" s="58" t="inlineStr">
        <is>
          <t>存款息</t>
        </is>
      </c>
      <c r="H45" s="58" t="inlineStr">
        <is>
          <t>存款利息</t>
        </is>
      </c>
    </row>
    <row r="46" ht="16.5" customHeight="1" s="84">
      <c r="A46" s="56" t="inlineStr">
        <is>
          <t>110.03.29</t>
        </is>
      </c>
      <c r="B46" s="56" t="inlineStr">
        <is>
          <t>2021-03-29</t>
        </is>
      </c>
      <c r="C46" s="56" t="inlineStr">
        <is>
          <t>2021-03</t>
        </is>
      </c>
      <c r="D46" s="57" t="n">
        <v>50000</v>
      </c>
      <c r="E46" s="57" t="n"/>
      <c r="F46" s="57" t="n">
        <v>528175</v>
      </c>
      <c r="G46" s="56" t="inlineStr">
        <is>
          <t>110/03管理費撥款電梯專戶</t>
        </is>
      </c>
      <c r="H46" s="58" t="inlineStr">
        <is>
          <t>管理費撥款</t>
        </is>
      </c>
    </row>
    <row r="47" ht="15" customHeight="1" s="84">
      <c r="A47" s="56" t="inlineStr">
        <is>
          <t>110.04.06</t>
        </is>
      </c>
      <c r="B47" s="56" t="inlineStr">
        <is>
          <t>2021-04-06</t>
        </is>
      </c>
      <c r="C47" s="56" t="inlineStr">
        <is>
          <t>2021-04</t>
        </is>
      </c>
      <c r="D47" s="57" t="n">
        <v>1208</v>
      </c>
      <c r="E47" s="57" t="n"/>
      <c r="F47" s="57" t="n">
        <v>529383</v>
      </c>
      <c r="G47" s="58" t="inlineStr">
        <is>
          <t>存款息</t>
        </is>
      </c>
      <c r="H47" s="58" t="inlineStr">
        <is>
          <t>存款利息</t>
        </is>
      </c>
    </row>
    <row r="48" ht="16.5" customHeight="1" s="84">
      <c r="A48" s="56" t="inlineStr">
        <is>
          <t>110.04.23</t>
        </is>
      </c>
      <c r="B48" s="56" t="inlineStr">
        <is>
          <t>2021-04-23</t>
        </is>
      </c>
      <c r="C48" s="56" t="inlineStr">
        <is>
          <t>2021-04</t>
        </is>
      </c>
      <c r="D48" s="57" t="n">
        <v>50000</v>
      </c>
      <c r="E48" s="57" t="n"/>
      <c r="F48" s="57" t="n">
        <v>579383</v>
      </c>
      <c r="G48" s="56" t="inlineStr">
        <is>
          <t>110/04管理費撥款電梯專戶</t>
        </is>
      </c>
      <c r="H48" s="58" t="inlineStr">
        <is>
          <t>管理費撥款</t>
        </is>
      </c>
    </row>
    <row r="49" ht="15" customHeight="1" s="84">
      <c r="A49" s="56" t="inlineStr">
        <is>
          <t>110.05.04</t>
        </is>
      </c>
      <c r="B49" s="56" t="inlineStr">
        <is>
          <t>2021-05-04</t>
        </is>
      </c>
      <c r="C49" s="56" t="inlineStr">
        <is>
          <t>2021-05</t>
        </is>
      </c>
      <c r="D49" s="57" t="n">
        <v>1169</v>
      </c>
      <c r="E49" s="57" t="n"/>
      <c r="F49" s="57" t="n">
        <v>580552</v>
      </c>
      <c r="G49" s="58" t="inlineStr">
        <is>
          <t>存款息</t>
        </is>
      </c>
      <c r="H49" s="58" t="inlineStr">
        <is>
          <t>存款利息</t>
        </is>
      </c>
    </row>
    <row r="50" ht="16.5" customHeight="1" s="84">
      <c r="A50" s="56" t="inlineStr">
        <is>
          <t>110.05.26</t>
        </is>
      </c>
      <c r="B50" s="56" t="inlineStr">
        <is>
          <t>2021-05-26</t>
        </is>
      </c>
      <c r="C50" s="56" t="inlineStr">
        <is>
          <t>2021-05</t>
        </is>
      </c>
      <c r="D50" s="57" t="n">
        <v>50000</v>
      </c>
      <c r="E50" s="57" t="n"/>
      <c r="F50" s="57" t="n">
        <v>630552</v>
      </c>
      <c r="G50" s="56" t="inlineStr">
        <is>
          <t>110/05管理費撥款電梯專戶</t>
        </is>
      </c>
      <c r="H50" s="58" t="inlineStr">
        <is>
          <t>管理費撥款</t>
        </is>
      </c>
    </row>
    <row r="51" ht="15" customHeight="1" s="84">
      <c r="A51" s="56" t="inlineStr">
        <is>
          <t>110.06.04</t>
        </is>
      </c>
      <c r="B51" s="56" t="inlineStr">
        <is>
          <t>2021-06-04</t>
        </is>
      </c>
      <c r="C51" s="56" t="inlineStr">
        <is>
          <t>2021-06</t>
        </is>
      </c>
      <c r="D51" s="57" t="n">
        <v>1208</v>
      </c>
      <c r="E51" s="57" t="n"/>
      <c r="F51" s="57" t="n">
        <v>631760</v>
      </c>
      <c r="G51" s="58" t="inlineStr">
        <is>
          <t>存款息</t>
        </is>
      </c>
      <c r="H51" s="58" t="inlineStr">
        <is>
          <t>存款利息</t>
        </is>
      </c>
    </row>
    <row r="52" ht="15" customHeight="1" s="84">
      <c r="A52" s="56" t="inlineStr">
        <is>
          <t>110.06.21</t>
        </is>
      </c>
      <c r="B52" s="56" t="inlineStr">
        <is>
          <t>2021-06-21</t>
        </is>
      </c>
      <c r="C52" s="56" t="inlineStr">
        <is>
          <t>2021-06</t>
        </is>
      </c>
      <c r="D52" s="57" t="n">
        <v>25</v>
      </c>
      <c r="E52" s="57" t="n"/>
      <c r="F52" s="57" t="n">
        <v>631785</v>
      </c>
      <c r="G52" s="58" t="inlineStr">
        <is>
          <t>存款息</t>
        </is>
      </c>
      <c r="H52" s="58" t="inlineStr">
        <is>
          <t>存款利息</t>
        </is>
      </c>
    </row>
    <row r="53" ht="16.5" customHeight="1" s="84">
      <c r="A53" s="56" t="inlineStr">
        <is>
          <t>110.06.25</t>
        </is>
      </c>
      <c r="B53" s="56" t="inlineStr">
        <is>
          <t>2021-06-25</t>
        </is>
      </c>
      <c r="C53" s="56" t="inlineStr">
        <is>
          <t>2021-06</t>
        </is>
      </c>
      <c r="D53" s="57" t="n">
        <v>50000</v>
      </c>
      <c r="E53" s="57" t="n"/>
      <c r="F53" s="57" t="n">
        <v>681785</v>
      </c>
      <c r="G53" s="56" t="inlineStr">
        <is>
          <t>110/06管理費撥款電梯專戶</t>
        </is>
      </c>
      <c r="H53" s="58" t="inlineStr">
        <is>
          <t>管理費撥款</t>
        </is>
      </c>
    </row>
    <row r="54" ht="15" customHeight="1" s="84">
      <c r="A54" s="56" t="inlineStr">
        <is>
          <t>110.07.05</t>
        </is>
      </c>
      <c r="B54" s="56" t="inlineStr">
        <is>
          <t>2021-07-05</t>
        </is>
      </c>
      <c r="C54" s="56" t="inlineStr">
        <is>
          <t>2021-07</t>
        </is>
      </c>
      <c r="D54" s="57" t="n">
        <v>1169</v>
      </c>
      <c r="E54" s="57" t="n"/>
      <c r="F54" s="57" t="n">
        <v>682954</v>
      </c>
      <c r="G54" s="58" t="inlineStr">
        <is>
          <t>存款息</t>
        </is>
      </c>
      <c r="H54" s="58" t="inlineStr">
        <is>
          <t>存款利息</t>
        </is>
      </c>
    </row>
    <row r="55" ht="16.5" customHeight="1" s="84">
      <c r="A55" s="56" t="inlineStr">
        <is>
          <t>110.07.27</t>
        </is>
      </c>
      <c r="B55" s="56" t="inlineStr">
        <is>
          <t>2021-07-27</t>
        </is>
      </c>
      <c r="C55" s="56" t="inlineStr">
        <is>
          <t>2021-07</t>
        </is>
      </c>
      <c r="D55" s="57" t="n">
        <v>50000</v>
      </c>
      <c r="E55" s="57" t="n"/>
      <c r="F55" s="57" t="n">
        <v>732954</v>
      </c>
      <c r="G55" s="56" t="inlineStr">
        <is>
          <t>110/07管理費撥款電梯專戶</t>
        </is>
      </c>
      <c r="H55" s="58" t="inlineStr">
        <is>
          <t>管理費撥款</t>
        </is>
      </c>
    </row>
    <row r="56" ht="15" customHeight="1" s="84">
      <c r="A56" s="56" t="inlineStr">
        <is>
          <t>110.07.27</t>
        </is>
      </c>
      <c r="B56" s="56" t="inlineStr">
        <is>
          <t>2021-07-27</t>
        </is>
      </c>
      <c r="C56" s="56" t="inlineStr">
        <is>
          <t>2021-07</t>
        </is>
      </c>
      <c r="D56" s="57" t="n"/>
      <c r="E56" s="57" t="n">
        <v>8000</v>
      </c>
      <c r="F56" s="57" t="n">
        <v>724954</v>
      </c>
      <c r="G56" s="58" t="inlineStr">
        <is>
          <t>支出出席費八月</t>
        </is>
      </c>
      <c r="H56" s="58" t="inlineStr">
        <is>
          <t>出席費</t>
        </is>
      </c>
    </row>
    <row r="57" ht="15" customHeight="1" s="84">
      <c r="A57" s="56" t="inlineStr">
        <is>
          <t>110.07.27</t>
        </is>
      </c>
      <c r="B57" s="56" t="inlineStr">
        <is>
          <t>2021-07-27</t>
        </is>
      </c>
      <c r="C57" s="56" t="inlineStr">
        <is>
          <t>2021-07</t>
        </is>
      </c>
      <c r="D57" s="57" t="n">
        <v>8000</v>
      </c>
      <c r="E57" s="57" t="n"/>
      <c r="F57" s="57" t="n">
        <v>732954</v>
      </c>
      <c r="G57" s="58" t="inlineStr">
        <is>
          <t>回存出席費八月</t>
        </is>
      </c>
      <c r="H57" s="58" t="inlineStr">
        <is>
          <t>出席費</t>
        </is>
      </c>
    </row>
    <row r="58" ht="15" customHeight="1" s="84">
      <c r="A58" s="56" t="inlineStr">
        <is>
          <t>110.08.04</t>
        </is>
      </c>
      <c r="B58" s="56" t="inlineStr">
        <is>
          <t>2021-08-04</t>
        </is>
      </c>
      <c r="C58" s="56" t="inlineStr">
        <is>
          <t>2021-08</t>
        </is>
      </c>
      <c r="D58" s="57" t="n">
        <v>1208</v>
      </c>
      <c r="E58" s="57" t="n"/>
      <c r="F58" s="57" t="n">
        <v>734162</v>
      </c>
      <c r="G58" s="58" t="inlineStr">
        <is>
          <t>存款息</t>
        </is>
      </c>
      <c r="H58" s="58" t="inlineStr">
        <is>
          <t>存款利息</t>
        </is>
      </c>
    </row>
    <row r="59" ht="16.5" customHeight="1" s="84">
      <c r="A59" s="56" t="inlineStr">
        <is>
          <t>110.08.27</t>
        </is>
      </c>
      <c r="B59" s="56" t="inlineStr">
        <is>
          <t>2021-08-27</t>
        </is>
      </c>
      <c r="C59" s="56" t="inlineStr">
        <is>
          <t>2021-08</t>
        </is>
      </c>
      <c r="D59" s="57" t="n">
        <v>50000</v>
      </c>
      <c r="E59" s="57" t="n"/>
      <c r="F59" s="57" t="n">
        <v>784162</v>
      </c>
      <c r="G59" s="56" t="inlineStr">
        <is>
          <t>110/08管理費撥款電梯專戶</t>
        </is>
      </c>
      <c r="H59" s="58" t="inlineStr">
        <is>
          <t>管理費撥款</t>
        </is>
      </c>
    </row>
    <row r="60" ht="15" customHeight="1" s="84">
      <c r="A60" s="56" t="inlineStr">
        <is>
          <t>110.09.06</t>
        </is>
      </c>
      <c r="B60" s="56" t="inlineStr">
        <is>
          <t>2021-09-06</t>
        </is>
      </c>
      <c r="C60" s="56" t="inlineStr">
        <is>
          <t>2021-09</t>
        </is>
      </c>
      <c r="D60" s="57" t="n">
        <v>1208</v>
      </c>
      <c r="E60" s="57" t="n"/>
      <c r="F60" s="57" t="n">
        <v>785370</v>
      </c>
      <c r="G60" s="58" t="inlineStr">
        <is>
          <t>存款息</t>
        </is>
      </c>
      <c r="H60" s="58" t="inlineStr">
        <is>
          <t>存款利息</t>
        </is>
      </c>
    </row>
    <row r="61" ht="16.5" customHeight="1" s="84">
      <c r="A61" s="56" t="inlineStr">
        <is>
          <t>110.09.30</t>
        </is>
      </c>
      <c r="B61" s="56" t="inlineStr">
        <is>
          <t>2021-09-30</t>
        </is>
      </c>
      <c r="C61" s="56" t="inlineStr">
        <is>
          <t>2021-09</t>
        </is>
      </c>
      <c r="D61" s="57" t="n">
        <v>50000</v>
      </c>
      <c r="E61" s="57" t="n"/>
      <c r="F61" s="57" t="n">
        <v>835370</v>
      </c>
      <c r="G61" s="56" t="inlineStr">
        <is>
          <t>110/09管理費撥款電梯專戶</t>
        </is>
      </c>
      <c r="H61" s="58" t="inlineStr">
        <is>
          <t>管理費撥款</t>
        </is>
      </c>
    </row>
    <row r="62" ht="15" customHeight="1" s="84">
      <c r="A62" s="56" t="inlineStr">
        <is>
          <t>110.10.04</t>
        </is>
      </c>
      <c r="B62" s="56" t="inlineStr">
        <is>
          <t>2021-10-04</t>
        </is>
      </c>
      <c r="C62" s="56" t="inlineStr">
        <is>
          <t>2021-10</t>
        </is>
      </c>
      <c r="D62" s="57" t="n">
        <v>1169</v>
      </c>
      <c r="E62" s="57" t="n"/>
      <c r="F62" s="57" t="n">
        <v>836539</v>
      </c>
      <c r="G62" s="58" t="inlineStr">
        <is>
          <t>存款息</t>
        </is>
      </c>
      <c r="H62" s="58" t="inlineStr">
        <is>
          <t>存款利息</t>
        </is>
      </c>
    </row>
    <row r="63" ht="16.5" customHeight="1" s="84">
      <c r="A63" s="56" t="inlineStr">
        <is>
          <t>110.10.27</t>
        </is>
      </c>
      <c r="B63" s="56" t="inlineStr">
        <is>
          <t>2021-10-27</t>
        </is>
      </c>
      <c r="C63" s="56" t="inlineStr">
        <is>
          <t>2021-10</t>
        </is>
      </c>
      <c r="D63" s="57" t="n">
        <v>50000</v>
      </c>
      <c r="E63" s="57" t="n"/>
      <c r="F63" s="57" t="n">
        <v>886539</v>
      </c>
      <c r="G63" s="56" t="inlineStr">
        <is>
          <t>110/10管理費撥款電梯專戶</t>
        </is>
      </c>
      <c r="H63" s="58" t="inlineStr">
        <is>
          <t>管理費撥款</t>
        </is>
      </c>
    </row>
    <row r="64" ht="15" customHeight="1" s="84">
      <c r="A64" s="56" t="inlineStr">
        <is>
          <t>110.11.04</t>
        </is>
      </c>
      <c r="B64" s="56" t="inlineStr">
        <is>
          <t>2021-11-04</t>
        </is>
      </c>
      <c r="C64" s="56" t="inlineStr">
        <is>
          <t>2021-11</t>
        </is>
      </c>
      <c r="D64" s="57" t="n">
        <v>1208</v>
      </c>
      <c r="E64" s="57" t="n"/>
      <c r="F64" s="57" t="n">
        <v>887747</v>
      </c>
      <c r="G64" s="58" t="inlineStr">
        <is>
          <t>存款息</t>
        </is>
      </c>
      <c r="H64" s="58" t="inlineStr">
        <is>
          <t>存款利息</t>
        </is>
      </c>
    </row>
    <row r="65" ht="16.5" customHeight="1" s="84">
      <c r="A65" s="56" t="inlineStr">
        <is>
          <t>110.11.29</t>
        </is>
      </c>
      <c r="B65" s="56" t="inlineStr">
        <is>
          <t>2021-11-29</t>
        </is>
      </c>
      <c r="C65" s="56" t="inlineStr">
        <is>
          <t>2021-11</t>
        </is>
      </c>
      <c r="D65" s="57" t="n">
        <v>50000</v>
      </c>
      <c r="E65" s="57" t="n"/>
      <c r="F65" s="57" t="n">
        <v>937747</v>
      </c>
      <c r="G65" s="56" t="inlineStr">
        <is>
          <t>110/11管理費撥款電梯專戶</t>
        </is>
      </c>
      <c r="H65" s="58" t="inlineStr">
        <is>
          <t>管理費撥款</t>
        </is>
      </c>
    </row>
    <row r="66" ht="15" customHeight="1" s="84">
      <c r="A66" s="56" t="inlineStr">
        <is>
          <t>110.12.06</t>
        </is>
      </c>
      <c r="B66" s="56" t="inlineStr">
        <is>
          <t>2021-12-06</t>
        </is>
      </c>
      <c r="C66" s="56" t="inlineStr">
        <is>
          <t>2021-12</t>
        </is>
      </c>
      <c r="D66" s="57" t="n">
        <v>1169</v>
      </c>
      <c r="E66" s="57" t="n"/>
      <c r="F66" s="57" t="n">
        <v>938916</v>
      </c>
      <c r="G66" s="58" t="inlineStr">
        <is>
          <t>存款息</t>
        </is>
      </c>
      <c r="H66" s="58" t="inlineStr">
        <is>
          <t>存款利息</t>
        </is>
      </c>
    </row>
    <row r="67" ht="15" customHeight="1" s="84">
      <c r="A67" s="56" t="inlineStr">
        <is>
          <t>110.12.21</t>
        </is>
      </c>
      <c r="B67" s="56" t="inlineStr">
        <is>
          <t>2021-12-21</t>
        </is>
      </c>
      <c r="C67" s="56" t="inlineStr">
        <is>
          <t>2021-12</t>
        </is>
      </c>
      <c r="D67" s="57" t="n">
        <v>40</v>
      </c>
      <c r="E67" s="57" t="n"/>
      <c r="F67" s="57" t="n">
        <v>938956</v>
      </c>
      <c r="G67" s="58" t="inlineStr">
        <is>
          <t>存款息</t>
        </is>
      </c>
      <c r="H67" s="58" t="inlineStr">
        <is>
          <t>存款利息</t>
        </is>
      </c>
    </row>
    <row r="68" ht="16.5" customHeight="1" s="84">
      <c r="A68" s="56" t="inlineStr">
        <is>
          <t>110.12.27</t>
        </is>
      </c>
      <c r="B68" s="56" t="inlineStr">
        <is>
          <t>2021-12-27</t>
        </is>
      </c>
      <c r="C68" s="56" t="inlineStr">
        <is>
          <t>2021-12</t>
        </is>
      </c>
      <c r="D68" s="57" t="n">
        <v>50000</v>
      </c>
      <c r="E68" s="57" t="n"/>
      <c r="F68" s="57" t="n">
        <v>988956</v>
      </c>
      <c r="G68" s="56" t="inlineStr">
        <is>
          <t>110/12管理費撥款電梯專戶</t>
        </is>
      </c>
      <c r="H68" s="58" t="inlineStr">
        <is>
          <t>管理費撥款</t>
        </is>
      </c>
    </row>
    <row r="69" ht="15" customHeight="1" s="84">
      <c r="A69" s="56" t="inlineStr">
        <is>
          <t>111.01.04</t>
        </is>
      </c>
      <c r="B69" s="56" t="inlineStr">
        <is>
          <t>2022-01-04</t>
        </is>
      </c>
      <c r="C69" s="56" t="inlineStr">
        <is>
          <t>2022-01</t>
        </is>
      </c>
      <c r="D69" s="57" t="n">
        <v>1208</v>
      </c>
      <c r="E69" s="57" t="n"/>
      <c r="F69" s="57" t="n">
        <v>990164</v>
      </c>
      <c r="G69" s="58" t="inlineStr">
        <is>
          <t>存款息</t>
        </is>
      </c>
      <c r="H69" s="58" t="inlineStr">
        <is>
          <t>存款利息</t>
        </is>
      </c>
    </row>
    <row r="70" ht="16.5" customHeight="1" s="84">
      <c r="A70" s="56" t="inlineStr">
        <is>
          <t>111.01.24</t>
        </is>
      </c>
      <c r="B70" s="56" t="inlineStr">
        <is>
          <t>2022-01-24</t>
        </is>
      </c>
      <c r="C70" s="56" t="inlineStr">
        <is>
          <t>2022-01</t>
        </is>
      </c>
      <c r="D70" s="57" t="n">
        <v>50000</v>
      </c>
      <c r="E70" s="57" t="n"/>
      <c r="F70" s="57" t="n">
        <v>1040164</v>
      </c>
      <c r="G70" s="56" t="inlineStr">
        <is>
          <t>111/01管理費撥款電梯專戶</t>
        </is>
      </c>
      <c r="H70" s="58" t="inlineStr">
        <is>
          <t>管理費撥款</t>
        </is>
      </c>
    </row>
    <row r="71" ht="15" customHeight="1" s="84">
      <c r="A71" s="56" t="inlineStr">
        <is>
          <t>111.02.07</t>
        </is>
      </c>
      <c r="B71" s="56" t="inlineStr">
        <is>
          <t>2022-02-07</t>
        </is>
      </c>
      <c r="C71" s="56" t="inlineStr">
        <is>
          <t>2022-02</t>
        </is>
      </c>
      <c r="D71" s="57" t="n">
        <v>1208</v>
      </c>
      <c r="E71" s="57" t="n"/>
      <c r="F71" s="57" t="n">
        <v>1041372</v>
      </c>
      <c r="G71" s="58" t="inlineStr">
        <is>
          <t>存款息</t>
        </is>
      </c>
      <c r="H71" s="58" t="inlineStr">
        <is>
          <t>存款利息</t>
        </is>
      </c>
    </row>
    <row r="72" ht="16.5" customHeight="1" s="84">
      <c r="A72" s="62" t="inlineStr">
        <is>
          <t>111.02.24</t>
        </is>
      </c>
      <c r="B72" s="62" t="inlineStr">
        <is>
          <t>2022-02-24</t>
        </is>
      </c>
      <c r="C72" s="62" t="inlineStr">
        <is>
          <t>2022-02</t>
        </is>
      </c>
      <c r="D72" s="63" t="n"/>
      <c r="E72" s="63" t="n">
        <v>378000</v>
      </c>
      <c r="F72" s="63" t="n">
        <v>663372</v>
      </c>
      <c r="G72" s="52" t="inlineStr">
        <is>
          <t>更換主鋼索3</t>
        </is>
      </c>
      <c r="H72" s="52" t="inlineStr">
        <is>
          <t>主鋼索更換</t>
        </is>
      </c>
    </row>
    <row r="73" ht="16.5" customHeight="1" s="84">
      <c r="A73" s="56" t="inlineStr">
        <is>
          <t>111.02.24</t>
        </is>
      </c>
      <c r="B73" s="56" t="inlineStr">
        <is>
          <t>2022-02-24</t>
        </is>
      </c>
      <c r="C73" s="56" t="inlineStr">
        <is>
          <t>2022-02</t>
        </is>
      </c>
      <c r="D73" s="57" t="n">
        <v>50000</v>
      </c>
      <c r="E73" s="57" t="n"/>
      <c r="F73" s="57" t="n">
        <v>713372</v>
      </c>
      <c r="G73" s="56" t="inlineStr">
        <is>
          <t>111/02管理費撥款電梯專戶</t>
        </is>
      </c>
      <c r="H73" s="58" t="inlineStr">
        <is>
          <t>管理費撥款</t>
        </is>
      </c>
    </row>
    <row r="74" ht="15" customHeight="1" s="84">
      <c r="A74" s="56" t="inlineStr">
        <is>
          <t>111.03.04</t>
        </is>
      </c>
      <c r="B74" s="56" t="inlineStr">
        <is>
          <t>2022-03-04</t>
        </is>
      </c>
      <c r="C74" s="56" t="inlineStr">
        <is>
          <t>2022-03</t>
        </is>
      </c>
      <c r="D74" s="57" t="n">
        <v>1091</v>
      </c>
      <c r="E74" s="57" t="n"/>
      <c r="F74" s="57" t="n">
        <v>714463</v>
      </c>
      <c r="G74" s="58" t="inlineStr">
        <is>
          <t>存款息</t>
        </is>
      </c>
      <c r="H74" s="58" t="inlineStr">
        <is>
          <t>存款利息</t>
        </is>
      </c>
    </row>
    <row r="75" ht="16.5" customHeight="1" s="84">
      <c r="A75" s="56" t="inlineStr">
        <is>
          <t>111.03.25</t>
        </is>
      </c>
      <c r="B75" s="56" t="inlineStr">
        <is>
          <t>2022-03-25</t>
        </is>
      </c>
      <c r="C75" s="56" t="inlineStr">
        <is>
          <t>2022-03</t>
        </is>
      </c>
      <c r="D75" s="57" t="n">
        <v>50000</v>
      </c>
      <c r="E75" s="57" t="n"/>
      <c r="F75" s="57" t="n">
        <v>764463</v>
      </c>
      <c r="G75" s="56" t="inlineStr">
        <is>
          <t>111/03管理費撥款電梯專戶</t>
        </is>
      </c>
      <c r="H75" s="58" t="inlineStr">
        <is>
          <t>管理費撥款</t>
        </is>
      </c>
    </row>
    <row r="76" ht="15" customHeight="1" s="84">
      <c r="A76" s="56" t="inlineStr">
        <is>
          <t>111.04.06</t>
        </is>
      </c>
      <c r="B76" s="56" t="inlineStr">
        <is>
          <t>2022-04-06</t>
        </is>
      </c>
      <c r="C76" s="56" t="inlineStr">
        <is>
          <t>2022-04</t>
        </is>
      </c>
      <c r="D76" s="57" t="n">
        <v>1208</v>
      </c>
      <c r="E76" s="57" t="n"/>
      <c r="F76" s="57" t="n">
        <v>765671</v>
      </c>
      <c r="G76" s="58" t="inlineStr">
        <is>
          <t>存款息</t>
        </is>
      </c>
      <c r="H76" s="58" t="inlineStr">
        <is>
          <t>存款利息</t>
        </is>
      </c>
    </row>
    <row r="77" ht="16.5" customHeight="1" s="84">
      <c r="A77" s="56" t="inlineStr">
        <is>
          <t>111.04.25</t>
        </is>
      </c>
      <c r="B77" s="56" t="inlineStr">
        <is>
          <t>2022-04-25</t>
        </is>
      </c>
      <c r="C77" s="56" t="inlineStr">
        <is>
          <t>2022-04</t>
        </is>
      </c>
      <c r="D77" s="57" t="n">
        <v>50000</v>
      </c>
      <c r="E77" s="57" t="n"/>
      <c r="F77" s="57" t="n">
        <v>815671</v>
      </c>
      <c r="G77" s="56" t="inlineStr">
        <is>
          <t>111/04管理費撥款電梯專戶</t>
        </is>
      </c>
      <c r="H77" s="58" t="inlineStr">
        <is>
          <t>管理費撥款</t>
        </is>
      </c>
    </row>
    <row r="78" ht="16.5" customHeight="1" s="84">
      <c r="A78" s="56" t="inlineStr">
        <is>
          <t>111.04.25</t>
        </is>
      </c>
      <c r="B78" s="56" t="inlineStr">
        <is>
          <t>2022-04-25</t>
        </is>
      </c>
      <c r="C78" s="56" t="inlineStr">
        <is>
          <t>2022-04</t>
        </is>
      </c>
      <c r="D78" s="57" t="n"/>
      <c r="E78" s="57" t="n">
        <v>375900</v>
      </c>
      <c r="F78" s="57" t="n">
        <v>439771</v>
      </c>
      <c r="G78" s="58" t="inlineStr">
        <is>
          <t>支出德懋4月費用</t>
        </is>
      </c>
      <c r="H78" s="58" t="inlineStr">
        <is>
          <t>管理費代墊</t>
        </is>
      </c>
    </row>
    <row r="79" ht="16.5" customHeight="1" s="84">
      <c r="A79" s="56" t="inlineStr">
        <is>
          <t>111.04.25</t>
        </is>
      </c>
      <c r="B79" s="56" t="inlineStr">
        <is>
          <t>2022-04-25</t>
        </is>
      </c>
      <c r="C79" s="56" t="inlineStr">
        <is>
          <t>2022-04</t>
        </is>
      </c>
      <c r="D79" s="57" t="n">
        <v>375900</v>
      </c>
      <c r="E79" s="57" t="n"/>
      <c r="F79" s="57" t="n">
        <v>815671</v>
      </c>
      <c r="G79" s="58" t="inlineStr">
        <is>
          <t>回存德懋4月費用</t>
        </is>
      </c>
      <c r="H79" s="58" t="inlineStr">
        <is>
          <t>管理費代墊</t>
        </is>
      </c>
    </row>
    <row r="80" ht="15" customHeight="1" s="84">
      <c r="A80" s="56" t="inlineStr">
        <is>
          <t>111.05.04</t>
        </is>
      </c>
      <c r="B80" s="56" t="inlineStr">
        <is>
          <t>2022-05-04</t>
        </is>
      </c>
      <c r="C80" s="56" t="inlineStr">
        <is>
          <t>2022-05</t>
        </is>
      </c>
      <c r="D80" s="57" t="n">
        <v>1169</v>
      </c>
      <c r="E80" s="57" t="n"/>
      <c r="F80" s="57" t="n">
        <v>816840</v>
      </c>
      <c r="G80" s="58" t="inlineStr">
        <is>
          <t>存款息</t>
        </is>
      </c>
      <c r="H80" s="58" t="inlineStr">
        <is>
          <t>存款利息</t>
        </is>
      </c>
    </row>
    <row r="81" ht="16.5" customHeight="1" s="84">
      <c r="A81" s="56" t="inlineStr">
        <is>
          <t>111.05.30</t>
        </is>
      </c>
      <c r="B81" s="56" t="inlineStr">
        <is>
          <t>2022-05-30</t>
        </is>
      </c>
      <c r="C81" s="56" t="inlineStr">
        <is>
          <t>2022-05</t>
        </is>
      </c>
      <c r="D81" s="57" t="n">
        <v>50000</v>
      </c>
      <c r="E81" s="57" t="n"/>
      <c r="F81" s="57" t="n">
        <v>866840</v>
      </c>
      <c r="G81" s="56" t="inlineStr">
        <is>
          <t>111/05管理費撥款電梯專戶</t>
        </is>
      </c>
      <c r="H81" s="58" t="inlineStr">
        <is>
          <t>管理費撥款</t>
        </is>
      </c>
    </row>
    <row r="82" ht="15" customHeight="1" s="84">
      <c r="A82" s="56" t="inlineStr">
        <is>
          <t>111.06.04</t>
        </is>
      </c>
      <c r="B82" s="56" t="inlineStr">
        <is>
          <t>2022-06-04</t>
        </is>
      </c>
      <c r="C82" s="56" t="inlineStr">
        <is>
          <t>2022-06</t>
        </is>
      </c>
      <c r="D82" s="57" t="n">
        <v>1208</v>
      </c>
      <c r="E82" s="57" t="n"/>
      <c r="F82" s="57" t="n">
        <v>868048</v>
      </c>
      <c r="G82" s="58" t="inlineStr">
        <is>
          <t>存款息</t>
        </is>
      </c>
      <c r="H82" s="58" t="inlineStr">
        <is>
          <t>存款利息</t>
        </is>
      </c>
    </row>
    <row r="83" ht="15" customHeight="1" s="84">
      <c r="A83" s="56" t="inlineStr">
        <is>
          <t>111.06.21</t>
        </is>
      </c>
      <c r="B83" s="56" t="inlineStr">
        <is>
          <t>2022-06-21</t>
        </is>
      </c>
      <c r="C83" s="56" t="inlineStr">
        <is>
          <t>2022-06</t>
        </is>
      </c>
      <c r="D83" s="57" t="n">
        <v>83</v>
      </c>
      <c r="E83" s="57" t="n"/>
      <c r="F83" s="57" t="n">
        <v>868131</v>
      </c>
      <c r="G83" s="58" t="inlineStr">
        <is>
          <t>存款息</t>
        </is>
      </c>
      <c r="H83" s="58" t="inlineStr">
        <is>
          <t>存款利息</t>
        </is>
      </c>
    </row>
    <row r="84" ht="16.5" customHeight="1" s="84">
      <c r="A84" s="56" t="inlineStr">
        <is>
          <t>111.06.12</t>
        </is>
      </c>
      <c r="B84" s="56" t="inlineStr">
        <is>
          <t>2022-06-12</t>
        </is>
      </c>
      <c r="C84" s="56" t="inlineStr">
        <is>
          <t>2022-06</t>
        </is>
      </c>
      <c r="D84" s="57" t="n">
        <v>50000</v>
      </c>
      <c r="E84" s="57" t="n"/>
      <c r="F84" s="57" t="n">
        <v>918131</v>
      </c>
      <c r="G84" s="56" t="inlineStr">
        <is>
          <t>111/06管理費撥款電梯專戶</t>
        </is>
      </c>
      <c r="H84" s="58" t="inlineStr">
        <is>
          <t>管理費撥款</t>
        </is>
      </c>
    </row>
    <row r="85" ht="15" customHeight="1" s="84">
      <c r="A85" s="56" t="inlineStr">
        <is>
          <t>111.07.04</t>
        </is>
      </c>
      <c r="B85" s="56" t="inlineStr">
        <is>
          <t>2022-07-04</t>
        </is>
      </c>
      <c r="C85" s="56" t="inlineStr">
        <is>
          <t>2022-07</t>
        </is>
      </c>
      <c r="D85" s="57" t="n">
        <v>1169</v>
      </c>
      <c r="E85" s="57" t="n"/>
      <c r="F85" s="57" t="n">
        <v>919300</v>
      </c>
      <c r="G85" s="58" t="inlineStr">
        <is>
          <t>存款息</t>
        </is>
      </c>
      <c r="H85" s="58" t="inlineStr">
        <is>
          <t>存款利息</t>
        </is>
      </c>
    </row>
    <row r="86" ht="16.5" customHeight="1" s="84">
      <c r="A86" s="56" t="inlineStr">
        <is>
          <t>111.07.27</t>
        </is>
      </c>
      <c r="B86" s="56" t="inlineStr">
        <is>
          <t>2022-07-27</t>
        </is>
      </c>
      <c r="C86" s="56" t="inlineStr">
        <is>
          <t>2022-07</t>
        </is>
      </c>
      <c r="D86" s="57" t="n">
        <v>50000</v>
      </c>
      <c r="E86" s="57" t="n"/>
      <c r="F86" s="57" t="n">
        <v>969300</v>
      </c>
      <c r="G86" s="56" t="inlineStr">
        <is>
          <t>111/07管理費撥款電梯專戶</t>
        </is>
      </c>
      <c r="H86" s="58" t="inlineStr">
        <is>
          <t>管理費撥款</t>
        </is>
      </c>
    </row>
    <row r="87" ht="15" customHeight="1" s="84">
      <c r="A87" s="56" t="inlineStr">
        <is>
          <t>111.08.04</t>
        </is>
      </c>
      <c r="B87" s="56" t="inlineStr">
        <is>
          <t>2022-08-04</t>
        </is>
      </c>
      <c r="C87" s="56" t="inlineStr">
        <is>
          <t>2022-08</t>
        </is>
      </c>
      <c r="D87" s="57" t="n">
        <v>1208</v>
      </c>
      <c r="E87" s="57" t="n"/>
      <c r="F87" s="57" t="n">
        <v>970508</v>
      </c>
      <c r="G87" s="58" t="inlineStr">
        <is>
          <t>存款息</t>
        </is>
      </c>
      <c r="H87" s="58" t="inlineStr">
        <is>
          <t>存款利息</t>
        </is>
      </c>
    </row>
    <row r="88" ht="16.5" customHeight="1" s="84">
      <c r="A88" s="56" t="inlineStr">
        <is>
          <t>111.08.23</t>
        </is>
      </c>
      <c r="B88" s="56" t="inlineStr">
        <is>
          <t>2022-08-23</t>
        </is>
      </c>
      <c r="C88" s="56" t="inlineStr">
        <is>
          <t>2022-08</t>
        </is>
      </c>
      <c r="D88" s="57" t="n">
        <v>50000</v>
      </c>
      <c r="E88" s="57" t="n"/>
      <c r="F88" s="57" t="n">
        <v>1020508</v>
      </c>
      <c r="G88" s="56" t="inlineStr">
        <is>
          <t>111/08管理費撥款電梯專戶</t>
        </is>
      </c>
      <c r="H88" s="58" t="inlineStr">
        <is>
          <t>管理費撥款</t>
        </is>
      </c>
    </row>
    <row r="89" ht="15" customHeight="1" s="84">
      <c r="A89" s="56" t="inlineStr">
        <is>
          <t>111.09.05</t>
        </is>
      </c>
      <c r="B89" s="56" t="inlineStr">
        <is>
          <t>2022-09-05</t>
        </is>
      </c>
      <c r="C89" s="56" t="inlineStr">
        <is>
          <t>2022-09</t>
        </is>
      </c>
      <c r="D89" s="57" t="n">
        <v>1208</v>
      </c>
      <c r="E89" s="57" t="n"/>
      <c r="F89" s="57" t="n">
        <v>1021716</v>
      </c>
      <c r="G89" s="58" t="inlineStr">
        <is>
          <t>存款息</t>
        </is>
      </c>
      <c r="H89" s="58" t="inlineStr">
        <is>
          <t>存款利息</t>
        </is>
      </c>
    </row>
    <row r="90" ht="16.5" customHeight="1" s="84">
      <c r="A90" s="56" t="inlineStr">
        <is>
          <t>111.09.27</t>
        </is>
      </c>
      <c r="B90" s="56" t="inlineStr">
        <is>
          <t>2022-09-27</t>
        </is>
      </c>
      <c r="C90" s="56" t="inlineStr">
        <is>
          <t>2022-09</t>
        </is>
      </c>
      <c r="D90" s="57" t="n">
        <v>50000</v>
      </c>
      <c r="E90" s="57" t="n"/>
      <c r="F90" s="57" t="n">
        <v>1071716</v>
      </c>
      <c r="G90" s="56" t="inlineStr">
        <is>
          <t>111/09管理費撥款電梯專戶</t>
        </is>
      </c>
      <c r="H90" s="58" t="inlineStr">
        <is>
          <t>管理費撥款</t>
        </is>
      </c>
    </row>
    <row r="91" ht="15" customHeight="1" s="84">
      <c r="A91" s="56" t="inlineStr">
        <is>
          <t>111.10.04</t>
        </is>
      </c>
      <c r="B91" s="56" t="inlineStr">
        <is>
          <t>2022-10-04</t>
        </is>
      </c>
      <c r="C91" s="56" t="inlineStr">
        <is>
          <t>2022-10</t>
        </is>
      </c>
      <c r="D91" s="57" t="n">
        <v>1169</v>
      </c>
      <c r="E91" s="57" t="n"/>
      <c r="F91" s="57" t="n">
        <v>1072885</v>
      </c>
      <c r="G91" s="58" t="inlineStr">
        <is>
          <t>存款息</t>
        </is>
      </c>
      <c r="H91" s="58" t="inlineStr">
        <is>
          <t>存款利息</t>
        </is>
      </c>
    </row>
    <row r="92" ht="16.5" customHeight="1" s="84">
      <c r="A92" s="56" t="inlineStr">
        <is>
          <t>111.10.26</t>
        </is>
      </c>
      <c r="B92" s="56" t="inlineStr">
        <is>
          <t>2022-10-26</t>
        </is>
      </c>
      <c r="C92" s="56" t="inlineStr">
        <is>
          <t>2022-10</t>
        </is>
      </c>
      <c r="D92" s="57" t="n">
        <v>50000</v>
      </c>
      <c r="E92" s="57" t="n"/>
      <c r="F92" s="57" t="n">
        <v>1122885</v>
      </c>
      <c r="G92" s="56" t="inlineStr">
        <is>
          <t>111/10管理費撥款電梯專戶</t>
        </is>
      </c>
      <c r="H92" s="58" t="inlineStr">
        <is>
          <t>管理費撥款</t>
        </is>
      </c>
    </row>
    <row r="93" ht="15" customHeight="1" s="84">
      <c r="A93" s="56" t="inlineStr">
        <is>
          <t>111.11.04</t>
        </is>
      </c>
      <c r="B93" s="56" t="inlineStr">
        <is>
          <t>2022-11-04</t>
        </is>
      </c>
      <c r="C93" s="56" t="inlineStr">
        <is>
          <t>2022-11</t>
        </is>
      </c>
      <c r="D93" s="57" t="n">
        <v>1208</v>
      </c>
      <c r="E93" s="57" t="n"/>
      <c r="F93" s="57" t="n">
        <v>1124093</v>
      </c>
      <c r="G93" s="58" t="inlineStr">
        <is>
          <t>存款息</t>
        </is>
      </c>
      <c r="H93" s="58" t="inlineStr">
        <is>
          <t>存款利息</t>
        </is>
      </c>
    </row>
    <row r="94" ht="16.5" customHeight="1" s="84">
      <c r="A94" s="56" t="inlineStr">
        <is>
          <t>111.11.30</t>
        </is>
      </c>
      <c r="B94" s="56" t="inlineStr">
        <is>
          <t>2022-11-30</t>
        </is>
      </c>
      <c r="C94" s="56" t="inlineStr">
        <is>
          <t>2022-11</t>
        </is>
      </c>
      <c r="D94" s="57" t="n">
        <v>50000</v>
      </c>
      <c r="E94" s="57" t="n"/>
      <c r="F94" s="57" t="n">
        <v>1174093</v>
      </c>
      <c r="G94" s="56" t="inlineStr">
        <is>
          <t>111/11管理費撥款電梯專戶</t>
        </is>
      </c>
      <c r="H94" s="58" t="inlineStr">
        <is>
          <t>管理費撥款</t>
        </is>
      </c>
    </row>
    <row r="95" ht="15" customHeight="1" s="84">
      <c r="A95" s="56" t="inlineStr">
        <is>
          <t>111.12.05</t>
        </is>
      </c>
      <c r="B95" s="56" t="inlineStr">
        <is>
          <t>2022-12-05</t>
        </is>
      </c>
      <c r="C95" s="56" t="inlineStr">
        <is>
          <t>2022-12</t>
        </is>
      </c>
      <c r="D95" s="57" t="n">
        <v>1169</v>
      </c>
      <c r="E95" s="57" t="n"/>
      <c r="F95" s="57" t="n">
        <v>1175262</v>
      </c>
      <c r="G95" s="58" t="inlineStr">
        <is>
          <t>存款息</t>
        </is>
      </c>
      <c r="H95" s="58" t="inlineStr">
        <is>
          <t>存款利息</t>
        </is>
      </c>
    </row>
    <row r="96" ht="15" customHeight="1" s="84">
      <c r="A96" s="56" t="inlineStr">
        <is>
          <t>111.12.21</t>
        </is>
      </c>
      <c r="B96" s="56" t="inlineStr">
        <is>
          <t>2022-12-21</t>
        </is>
      </c>
      <c r="C96" s="56" t="inlineStr">
        <is>
          <t>2022-12</t>
        </is>
      </c>
      <c r="D96" s="57" t="n">
        <v>1118</v>
      </c>
      <c r="E96" s="57" t="n"/>
      <c r="F96" s="57" t="n">
        <v>1176380</v>
      </c>
      <c r="G96" s="58" t="inlineStr">
        <is>
          <t>存款息</t>
        </is>
      </c>
      <c r="H96" s="58" t="inlineStr">
        <is>
          <t>存款利息</t>
        </is>
      </c>
    </row>
    <row r="97" ht="16.5" customHeight="1" s="84">
      <c r="A97" s="56" t="inlineStr">
        <is>
          <t>111.12.26</t>
        </is>
      </c>
      <c r="B97" s="56" t="inlineStr">
        <is>
          <t>2022-12-26</t>
        </is>
      </c>
      <c r="C97" s="56" t="inlineStr">
        <is>
          <t>2022-12</t>
        </is>
      </c>
      <c r="D97" s="57" t="n">
        <v>50000</v>
      </c>
      <c r="E97" s="57" t="n"/>
      <c r="F97" s="57" t="n">
        <v>1226380</v>
      </c>
      <c r="G97" s="56" t="inlineStr">
        <is>
          <t>111/12管理費撥款電梯專戶</t>
        </is>
      </c>
      <c r="H97" s="58" t="inlineStr">
        <is>
          <t>管理費撥款</t>
        </is>
      </c>
    </row>
    <row r="98" ht="15" customHeight="1" s="84">
      <c r="A98" s="56" t="inlineStr">
        <is>
          <t>112.01.04</t>
        </is>
      </c>
      <c r="B98" s="56" t="inlineStr">
        <is>
          <t>2023-01-04</t>
        </is>
      </c>
      <c r="C98" s="56" t="inlineStr">
        <is>
          <t>2023-01</t>
        </is>
      </c>
      <c r="D98" s="57" t="n">
        <v>1208</v>
      </c>
      <c r="E98" s="57" t="n"/>
      <c r="F98" s="57" t="n">
        <v>1227588</v>
      </c>
      <c r="G98" s="58" t="inlineStr">
        <is>
          <t>存款息</t>
        </is>
      </c>
      <c r="H98" s="58" t="inlineStr">
        <is>
          <t>存款利息</t>
        </is>
      </c>
    </row>
    <row r="99" ht="16.5" customHeight="1" s="84">
      <c r="A99" s="56" t="inlineStr">
        <is>
          <t>112.01.17</t>
        </is>
      </c>
      <c r="B99" s="56" t="inlineStr">
        <is>
          <t>2023-01-17</t>
        </is>
      </c>
      <c r="C99" s="56" t="inlineStr">
        <is>
          <t>2023-01</t>
        </is>
      </c>
      <c r="D99" s="57" t="n">
        <v>50000</v>
      </c>
      <c r="E99" s="57" t="n"/>
      <c r="F99" s="57" t="n">
        <v>1277588</v>
      </c>
      <c r="G99" s="56" t="inlineStr">
        <is>
          <t>112/01管理費撥款電梯專戶</t>
        </is>
      </c>
      <c r="H99" s="58" t="inlineStr">
        <is>
          <t>管理費撥款</t>
        </is>
      </c>
    </row>
    <row r="100" ht="15" customHeight="1" s="84">
      <c r="A100" s="56" t="inlineStr">
        <is>
          <t>112.02.04</t>
        </is>
      </c>
      <c r="B100" s="56" t="inlineStr">
        <is>
          <t>2023-02-04</t>
        </is>
      </c>
      <c r="C100" s="56" t="inlineStr">
        <is>
          <t>2023-02</t>
        </is>
      </c>
      <c r="D100" s="57" t="n">
        <v>1208</v>
      </c>
      <c r="E100" s="57" t="n"/>
      <c r="F100" s="57" t="n">
        <v>1278796</v>
      </c>
      <c r="G100" s="58" t="inlineStr">
        <is>
          <t>存款息</t>
        </is>
      </c>
      <c r="H100" s="58" t="inlineStr">
        <is>
          <t>存款利息</t>
        </is>
      </c>
    </row>
    <row r="101" ht="16.5" customHeight="1" s="84">
      <c r="A101" s="62" t="inlineStr">
        <is>
          <t>112.02.24</t>
        </is>
      </c>
      <c r="B101" s="62" t="inlineStr">
        <is>
          <t>2023-02-24</t>
        </is>
      </c>
      <c r="C101" s="62" t="inlineStr">
        <is>
          <t>2023-02</t>
        </is>
      </c>
      <c r="D101" s="63" t="n"/>
      <c r="E101" s="63" t="n">
        <v>465000</v>
      </c>
      <c r="F101" s="63" t="n">
        <v>813796</v>
      </c>
      <c r="G101" s="52" t="inlineStr">
        <is>
          <t>更換主鋼索2</t>
        </is>
      </c>
      <c r="H101" s="52" t="inlineStr">
        <is>
          <t>主鋼索更換</t>
        </is>
      </c>
    </row>
    <row r="102" ht="16.5" customHeight="1" s="84">
      <c r="A102" s="56" t="inlineStr">
        <is>
          <t>112.02.24</t>
        </is>
      </c>
      <c r="B102" s="56" t="inlineStr">
        <is>
          <t>2023-02-24</t>
        </is>
      </c>
      <c r="C102" s="56" t="inlineStr">
        <is>
          <t>2023-02</t>
        </is>
      </c>
      <c r="D102" s="57" t="n">
        <v>50000</v>
      </c>
      <c r="E102" s="57" t="n"/>
      <c r="F102" s="57" t="n">
        <v>863796</v>
      </c>
      <c r="G102" s="56" t="inlineStr">
        <is>
          <t>112/02管理費撥款電梯專戶</t>
        </is>
      </c>
      <c r="H102" s="58" t="inlineStr">
        <is>
          <t>管理費撥款</t>
        </is>
      </c>
    </row>
    <row r="103" ht="15" customHeight="1" s="84">
      <c r="A103" s="56" t="inlineStr">
        <is>
          <t>112.03.06</t>
        </is>
      </c>
      <c r="B103" s="56" t="inlineStr">
        <is>
          <t>2023-03-06</t>
        </is>
      </c>
      <c r="C103" s="56" t="inlineStr">
        <is>
          <t>2023-03</t>
        </is>
      </c>
      <c r="D103" s="57" t="n">
        <v>1968</v>
      </c>
      <c r="E103" s="57" t="n"/>
      <c r="F103" s="57" t="n">
        <v>865764</v>
      </c>
      <c r="G103" s="58" t="inlineStr">
        <is>
          <t>存款息</t>
        </is>
      </c>
      <c r="H103" s="58" t="inlineStr">
        <is>
          <t>存款利息</t>
        </is>
      </c>
    </row>
    <row r="104" ht="16.5" customHeight="1" s="84">
      <c r="A104" s="56" t="inlineStr">
        <is>
          <t>113.03.28</t>
        </is>
      </c>
      <c r="B104" s="56" t="inlineStr">
        <is>
          <t>2024-03-28</t>
        </is>
      </c>
      <c r="C104" s="56" t="inlineStr">
        <is>
          <t>2024-03</t>
        </is>
      </c>
      <c r="D104" s="57" t="n">
        <v>50000</v>
      </c>
      <c r="E104" s="57" t="n"/>
      <c r="F104" s="57" t="n">
        <v>915764</v>
      </c>
      <c r="G104" s="56" t="inlineStr">
        <is>
          <t>112/03管理費撥款電梯專戶</t>
        </is>
      </c>
      <c r="H104" s="58" t="inlineStr">
        <is>
          <t>管理費撥款</t>
        </is>
      </c>
    </row>
    <row r="105" ht="15" customHeight="1" s="84">
      <c r="A105" s="56" t="inlineStr">
        <is>
          <t>112.04.06</t>
        </is>
      </c>
      <c r="B105" s="56" t="inlineStr">
        <is>
          <t>2023-04-06</t>
        </is>
      </c>
      <c r="C105" s="56" t="inlineStr">
        <is>
          <t>2023-04</t>
        </is>
      </c>
      <c r="D105" s="57" t="n">
        <v>2178</v>
      </c>
      <c r="E105" s="57" t="n"/>
      <c r="F105" s="57" t="n">
        <v>917942</v>
      </c>
      <c r="G105" s="58" t="inlineStr">
        <is>
          <t>存款息</t>
        </is>
      </c>
      <c r="H105" s="58" t="inlineStr">
        <is>
          <t>存款利息</t>
        </is>
      </c>
    </row>
    <row r="106" ht="16.5" customHeight="1" s="84">
      <c r="A106" s="56" t="inlineStr">
        <is>
          <t>112.04.26</t>
        </is>
      </c>
      <c r="B106" s="56" t="inlineStr">
        <is>
          <t>2023-04-26</t>
        </is>
      </c>
      <c r="C106" s="56" t="inlineStr">
        <is>
          <t>2023-04</t>
        </is>
      </c>
      <c r="D106" s="57" t="n">
        <v>50000</v>
      </c>
      <c r="E106" s="57" t="n"/>
      <c r="F106" s="57" t="n">
        <v>967942</v>
      </c>
      <c r="G106" s="56" t="inlineStr">
        <is>
          <t>112/04管理費撥款電梯專戶</t>
        </is>
      </c>
      <c r="H106" s="58" t="inlineStr">
        <is>
          <t>管理費撥款</t>
        </is>
      </c>
    </row>
    <row r="107" ht="15" customHeight="1" s="84">
      <c r="A107" s="56" t="inlineStr">
        <is>
          <t>112.05.04</t>
        </is>
      </c>
      <c r="B107" s="56" t="inlineStr">
        <is>
          <t>2023-05-04</t>
        </is>
      </c>
      <c r="C107" s="56" t="inlineStr">
        <is>
          <t>2023-05</t>
        </is>
      </c>
      <c r="D107" s="57" t="n">
        <v>2108</v>
      </c>
      <c r="E107" s="57" t="n"/>
      <c r="F107" s="57" t="n">
        <v>970050</v>
      </c>
      <c r="G107" s="58" t="inlineStr">
        <is>
          <t>存款息</t>
        </is>
      </c>
      <c r="H107" s="58" t="inlineStr">
        <is>
          <t>存款利息</t>
        </is>
      </c>
    </row>
    <row r="108" ht="16.5" customHeight="1" s="84">
      <c r="A108" s="56" t="inlineStr">
        <is>
          <t>112.05.26</t>
        </is>
      </c>
      <c r="B108" s="56" t="inlineStr">
        <is>
          <t>2023-05-26</t>
        </is>
      </c>
      <c r="C108" s="56" t="inlineStr">
        <is>
          <t>2023-05</t>
        </is>
      </c>
      <c r="D108" s="57" t="n">
        <v>50000</v>
      </c>
      <c r="E108" s="57" t="n"/>
      <c r="F108" s="57" t="n">
        <v>1020050</v>
      </c>
      <c r="G108" s="56" t="inlineStr">
        <is>
          <t>112/05管理費撥款電梯專戶</t>
        </is>
      </c>
      <c r="H108" s="58" t="inlineStr">
        <is>
          <t>管理費撥款</t>
        </is>
      </c>
    </row>
    <row r="109" ht="15" customHeight="1" s="84">
      <c r="A109" s="56" t="inlineStr">
        <is>
          <t>112.06.05</t>
        </is>
      </c>
      <c r="B109" s="56" t="inlineStr">
        <is>
          <t>2023-06-05</t>
        </is>
      </c>
      <c r="C109" s="56" t="inlineStr">
        <is>
          <t>2023-06</t>
        </is>
      </c>
      <c r="D109" s="57" t="n">
        <v>2178</v>
      </c>
      <c r="E109" s="57" t="n"/>
      <c r="F109" s="57" t="n">
        <v>1022228</v>
      </c>
      <c r="G109" s="58" t="inlineStr">
        <is>
          <t>存款息</t>
        </is>
      </c>
      <c r="H109" s="58" t="inlineStr">
        <is>
          <t>存款利息</t>
        </is>
      </c>
    </row>
    <row r="110" ht="15" customHeight="1" s="84">
      <c r="A110" s="56" t="inlineStr">
        <is>
          <t>112.06.21</t>
        </is>
      </c>
      <c r="B110" s="56" t="inlineStr">
        <is>
          <t>2023-06-21</t>
        </is>
      </c>
      <c r="C110" s="56" t="inlineStr">
        <is>
          <t>2023-06</t>
        </is>
      </c>
      <c r="D110" s="57" t="n">
        <v>2398</v>
      </c>
      <c r="E110" s="57" t="n"/>
      <c r="F110" s="57" t="n">
        <v>1024626</v>
      </c>
      <c r="G110" s="58" t="inlineStr">
        <is>
          <t>存款息</t>
        </is>
      </c>
      <c r="H110" s="58" t="inlineStr">
        <is>
          <t>存款利息</t>
        </is>
      </c>
    </row>
    <row r="111" ht="16.5" customHeight="1" s="84">
      <c r="A111" s="56" t="inlineStr">
        <is>
          <t>112.06.27</t>
        </is>
      </c>
      <c r="B111" s="56" t="inlineStr">
        <is>
          <t>2023-06-27</t>
        </is>
      </c>
      <c r="C111" s="56" t="inlineStr">
        <is>
          <t>2023-06</t>
        </is>
      </c>
      <c r="D111" s="57" t="n">
        <v>50000</v>
      </c>
      <c r="E111" s="57" t="n"/>
      <c r="F111" s="57" t="n">
        <v>1074626</v>
      </c>
      <c r="G111" s="56" t="inlineStr">
        <is>
          <t>112/06管理費撥款電梯專戶</t>
        </is>
      </c>
      <c r="H111" s="58" t="inlineStr">
        <is>
          <t>管理費撥款</t>
        </is>
      </c>
    </row>
    <row r="112" ht="15" customHeight="1" s="84">
      <c r="A112" s="56" t="inlineStr">
        <is>
          <t>112.07.04</t>
        </is>
      </c>
      <c r="B112" s="56" t="inlineStr">
        <is>
          <t>2023-07-04</t>
        </is>
      </c>
      <c r="C112" s="56" t="inlineStr">
        <is>
          <t>2023-07</t>
        </is>
      </c>
      <c r="D112" s="57" t="n">
        <v>2108</v>
      </c>
      <c r="E112" s="57" t="n"/>
      <c r="F112" s="57" t="n">
        <v>1076734</v>
      </c>
      <c r="G112" s="58" t="inlineStr">
        <is>
          <t>存款息</t>
        </is>
      </c>
      <c r="H112" s="58" t="inlineStr">
        <is>
          <t>存款利息</t>
        </is>
      </c>
    </row>
    <row r="113" ht="16.5" customHeight="1" s="84">
      <c r="A113" s="56" t="inlineStr">
        <is>
          <t>112.07.27</t>
        </is>
      </c>
      <c r="B113" s="56" t="inlineStr">
        <is>
          <t>2023-07-27</t>
        </is>
      </c>
      <c r="C113" s="56" t="inlineStr">
        <is>
          <t>2023-07</t>
        </is>
      </c>
      <c r="D113" s="57" t="n">
        <v>50000</v>
      </c>
      <c r="E113" s="57" t="n"/>
      <c r="F113" s="57" t="n">
        <v>1126734</v>
      </c>
      <c r="G113" s="56" t="inlineStr">
        <is>
          <t>112/07管理費撥款電梯專戶</t>
        </is>
      </c>
      <c r="H113" s="58" t="inlineStr">
        <is>
          <t>管理費撥款</t>
        </is>
      </c>
    </row>
    <row r="114" ht="15" customHeight="1" s="84">
      <c r="A114" s="56" t="inlineStr">
        <is>
          <t>112.08.04</t>
        </is>
      </c>
      <c r="B114" s="56" t="inlineStr">
        <is>
          <t>2023-08-04</t>
        </is>
      </c>
      <c r="C114" s="56" t="inlineStr">
        <is>
          <t>2023-08</t>
        </is>
      </c>
      <c r="D114" s="57" t="n">
        <v>2178</v>
      </c>
      <c r="E114" s="57" t="n"/>
      <c r="F114" s="57" t="n">
        <v>1128912</v>
      </c>
      <c r="G114" s="58" t="inlineStr">
        <is>
          <t>存款息</t>
        </is>
      </c>
      <c r="H114" s="58" t="inlineStr">
        <is>
          <t>存款利息</t>
        </is>
      </c>
    </row>
    <row r="115" ht="16.5" customHeight="1" s="84">
      <c r="A115" s="56" t="inlineStr">
        <is>
          <t>112.08.30</t>
        </is>
      </c>
      <c r="B115" s="56" t="inlineStr">
        <is>
          <t>2023-08-30</t>
        </is>
      </c>
      <c r="C115" s="56" t="inlineStr">
        <is>
          <t>2023-08</t>
        </is>
      </c>
      <c r="D115" s="57" t="n">
        <v>50000</v>
      </c>
      <c r="E115" s="57" t="n"/>
      <c r="F115" s="57" t="n">
        <v>1178912</v>
      </c>
      <c r="G115" s="56" t="inlineStr">
        <is>
          <t>112/08管理費撥款電梯專戶</t>
        </is>
      </c>
      <c r="H115" s="58" t="inlineStr">
        <is>
          <t>管理費撥款</t>
        </is>
      </c>
    </row>
    <row r="116" ht="15" customHeight="1" s="84">
      <c r="A116" s="56" t="inlineStr">
        <is>
          <t>112.09.04</t>
        </is>
      </c>
      <c r="B116" s="56" t="inlineStr">
        <is>
          <t>2023-09-04</t>
        </is>
      </c>
      <c r="C116" s="56" t="inlineStr">
        <is>
          <t>2023-09</t>
        </is>
      </c>
      <c r="D116" s="57" t="n">
        <v>2178</v>
      </c>
      <c r="E116" s="57" t="n"/>
      <c r="F116" s="57" t="n">
        <v>1181090</v>
      </c>
      <c r="G116" s="58" t="inlineStr">
        <is>
          <t>存款息</t>
        </is>
      </c>
      <c r="H116" s="58" t="inlineStr">
        <is>
          <t>存款利息</t>
        </is>
      </c>
    </row>
    <row r="117" ht="16.5" customHeight="1" s="84">
      <c r="A117" s="62" t="inlineStr">
        <is>
          <t>112.09.27</t>
        </is>
      </c>
      <c r="B117" s="62" t="inlineStr">
        <is>
          <t>2023-09-27</t>
        </is>
      </c>
      <c r="C117" s="62" t="inlineStr">
        <is>
          <t>2023-09</t>
        </is>
      </c>
      <c r="D117" s="63" t="n"/>
      <c r="E117" s="63" t="n">
        <v>520000</v>
      </c>
      <c r="F117" s="63" t="n">
        <v>661090</v>
      </c>
      <c r="G117" s="52" t="inlineStr">
        <is>
          <t>更換主鋼索8</t>
        </is>
      </c>
      <c r="H117" s="52" t="inlineStr">
        <is>
          <t>主鋼索更換</t>
        </is>
      </c>
    </row>
    <row r="118" ht="16.5" customHeight="1" s="84">
      <c r="A118" s="56" t="inlineStr">
        <is>
          <t>112.09.27</t>
        </is>
      </c>
      <c r="B118" s="56" t="inlineStr">
        <is>
          <t>2023-09-27</t>
        </is>
      </c>
      <c r="C118" s="56" t="inlineStr">
        <is>
          <t>2023-09</t>
        </is>
      </c>
      <c r="D118" s="57" t="n">
        <v>50000</v>
      </c>
      <c r="E118" s="57" t="n"/>
      <c r="F118" s="57" t="n">
        <v>711090</v>
      </c>
      <c r="G118" s="56" t="inlineStr">
        <is>
          <t>112/09管理費撥款電梯專戶</t>
        </is>
      </c>
      <c r="H118" s="58" t="inlineStr">
        <is>
          <t>管理費撥款</t>
        </is>
      </c>
    </row>
    <row r="119" ht="15" customHeight="1" s="84">
      <c r="A119" s="56" t="inlineStr">
        <is>
          <t>112.10.04</t>
        </is>
      </c>
      <c r="B119" s="56" t="inlineStr">
        <is>
          <t>2023-10-04</t>
        </is>
      </c>
      <c r="C119" s="56" t="inlineStr">
        <is>
          <t>2023-10</t>
        </is>
      </c>
      <c r="D119" s="57" t="n">
        <v>2108</v>
      </c>
      <c r="E119" s="57" t="n"/>
      <c r="F119" s="57" t="n">
        <v>713198</v>
      </c>
      <c r="G119" s="58" t="inlineStr">
        <is>
          <t>存款息</t>
        </is>
      </c>
      <c r="H119" s="58" t="inlineStr">
        <is>
          <t>存款利息</t>
        </is>
      </c>
    </row>
    <row r="120" ht="16.5" customHeight="1" s="84">
      <c r="A120" s="56" t="inlineStr">
        <is>
          <t>112.10.25</t>
        </is>
      </c>
      <c r="B120" s="56" t="inlineStr">
        <is>
          <t>2023-10-25</t>
        </is>
      </c>
      <c r="C120" s="56" t="inlineStr">
        <is>
          <t>2023-10</t>
        </is>
      </c>
      <c r="D120" s="57" t="n">
        <v>50000</v>
      </c>
      <c r="E120" s="57" t="n"/>
      <c r="F120" s="57" t="n">
        <v>763198</v>
      </c>
      <c r="G120" s="56" t="inlineStr">
        <is>
          <t>112/10管理費撥款電梯專戶</t>
        </is>
      </c>
      <c r="H120" s="58" t="inlineStr">
        <is>
          <t>管理費撥款</t>
        </is>
      </c>
    </row>
    <row r="121" ht="15" customHeight="1" s="84">
      <c r="A121" s="56" t="inlineStr">
        <is>
          <t>112.11.06</t>
        </is>
      </c>
      <c r="B121" s="56" t="inlineStr">
        <is>
          <t>2023-11-06</t>
        </is>
      </c>
      <c r="C121" s="56" t="inlineStr">
        <is>
          <t>2023-11</t>
        </is>
      </c>
      <c r="D121" s="57" t="n">
        <v>2178</v>
      </c>
      <c r="E121" s="57" t="n"/>
      <c r="F121" s="57" t="n">
        <v>765376</v>
      </c>
      <c r="G121" s="58" t="inlineStr">
        <is>
          <t>存款息</t>
        </is>
      </c>
      <c r="H121" s="58" t="inlineStr">
        <is>
          <t>存款利息</t>
        </is>
      </c>
    </row>
    <row r="122" ht="16.5" customHeight="1" s="84">
      <c r="A122" s="56" t="inlineStr">
        <is>
          <t>112.11.29</t>
        </is>
      </c>
      <c r="B122" s="56" t="inlineStr">
        <is>
          <t>2023-11-29</t>
        </is>
      </c>
      <c r="C122" s="56" t="inlineStr">
        <is>
          <t>2023-11</t>
        </is>
      </c>
      <c r="D122" s="57" t="n">
        <v>50000</v>
      </c>
      <c r="E122" s="57" t="n"/>
      <c r="F122" s="57" t="n">
        <v>815376</v>
      </c>
      <c r="G122" s="56" t="inlineStr">
        <is>
          <t>112/11管理費撥款電梯專戶</t>
        </is>
      </c>
      <c r="H122" s="58" t="inlineStr">
        <is>
          <t>管理費撥款</t>
        </is>
      </c>
    </row>
    <row r="123" ht="15" customHeight="1" s="84">
      <c r="A123" s="56" t="inlineStr">
        <is>
          <t>112.12.04</t>
        </is>
      </c>
      <c r="B123" s="56" t="inlineStr">
        <is>
          <t>2023-12-04</t>
        </is>
      </c>
      <c r="C123" s="56" t="inlineStr">
        <is>
          <t>2023-12</t>
        </is>
      </c>
      <c r="D123" s="57" t="n">
        <v>2108</v>
      </c>
      <c r="E123" s="57" t="n"/>
      <c r="F123" s="57" t="n">
        <v>817484</v>
      </c>
      <c r="G123" s="58" t="inlineStr">
        <is>
          <t>存款息</t>
        </is>
      </c>
      <c r="H123" s="58" t="inlineStr">
        <is>
          <t>存款利息</t>
        </is>
      </c>
    </row>
    <row r="124" ht="15" customHeight="1" s="84">
      <c r="A124" s="56" t="inlineStr">
        <is>
          <t>112.12.21</t>
        </is>
      </c>
      <c r="B124" s="56" t="inlineStr">
        <is>
          <t>2023-12-21</t>
        </is>
      </c>
      <c r="C124" s="56" t="inlineStr">
        <is>
          <t>2023-12</t>
        </is>
      </c>
      <c r="D124" s="57" t="n">
        <v>2535</v>
      </c>
      <c r="E124" s="57" t="n"/>
      <c r="F124" s="57" t="n">
        <v>820019</v>
      </c>
      <c r="G124" s="58" t="inlineStr">
        <is>
          <t>存款息</t>
        </is>
      </c>
      <c r="H124" s="58" t="inlineStr">
        <is>
          <t>存款利息</t>
        </is>
      </c>
    </row>
    <row r="125" ht="16.5" customHeight="1" s="84">
      <c r="A125" s="56" t="inlineStr">
        <is>
          <t>112.12.27</t>
        </is>
      </c>
      <c r="B125" s="56" t="inlineStr">
        <is>
          <t>2023-12-27</t>
        </is>
      </c>
      <c r="C125" s="56" t="inlineStr">
        <is>
          <t>2023-12</t>
        </is>
      </c>
      <c r="D125" s="57" t="n">
        <v>50000</v>
      </c>
      <c r="E125" s="57" t="n"/>
      <c r="F125" s="57" t="n">
        <v>870019</v>
      </c>
      <c r="G125" s="56" t="inlineStr">
        <is>
          <t>112/12管理費撥款電梯專戶</t>
        </is>
      </c>
      <c r="H125" s="58" t="inlineStr">
        <is>
          <t>管理費撥款</t>
        </is>
      </c>
    </row>
    <row r="126" ht="15" customHeight="1" s="84">
      <c r="A126" s="56" t="inlineStr">
        <is>
          <t>113.01.04</t>
        </is>
      </c>
      <c r="B126" s="56" t="inlineStr">
        <is>
          <t>2024-01-04</t>
        </is>
      </c>
      <c r="C126" s="56" t="inlineStr">
        <is>
          <t>2024-01</t>
        </is>
      </c>
      <c r="D126" s="57" t="n">
        <v>2178</v>
      </c>
      <c r="E126" s="57" t="n"/>
      <c r="F126" s="57" t="n">
        <v>872197</v>
      </c>
      <c r="G126" s="58" t="inlineStr">
        <is>
          <t>存款息</t>
        </is>
      </c>
      <c r="H126" s="58" t="inlineStr">
        <is>
          <t>存款利息</t>
        </is>
      </c>
    </row>
    <row r="127" ht="16.5" customHeight="1" s="84">
      <c r="A127" s="56" t="inlineStr">
        <is>
          <t>113.01.29</t>
        </is>
      </c>
      <c r="B127" s="56" t="inlineStr">
        <is>
          <t>2024-01-29</t>
        </is>
      </c>
      <c r="C127" s="56" t="inlineStr">
        <is>
          <t>2024-01</t>
        </is>
      </c>
      <c r="D127" s="57" t="n">
        <v>50000</v>
      </c>
      <c r="E127" s="57" t="n"/>
      <c r="F127" s="57" t="n">
        <v>922197</v>
      </c>
      <c r="G127" s="56" t="inlineStr">
        <is>
          <t>113/01管理費撥款電梯專戶</t>
        </is>
      </c>
      <c r="H127" s="58" t="inlineStr">
        <is>
          <t>管理費撥款</t>
        </is>
      </c>
    </row>
    <row r="128" ht="15" customHeight="1" s="84">
      <c r="A128" s="56" t="inlineStr">
        <is>
          <t>113.02.05</t>
        </is>
      </c>
      <c r="B128" s="56" t="inlineStr">
        <is>
          <t>2024-02-05</t>
        </is>
      </c>
      <c r="C128" s="56" t="inlineStr">
        <is>
          <t>2024-02</t>
        </is>
      </c>
      <c r="D128" s="57" t="n">
        <v>2178</v>
      </c>
      <c r="E128" s="57" t="n"/>
      <c r="F128" s="57" t="n">
        <v>924375</v>
      </c>
      <c r="G128" s="58" t="inlineStr">
        <is>
          <t>存款息</t>
        </is>
      </c>
      <c r="H128" s="58" t="inlineStr">
        <is>
          <t>存款利息</t>
        </is>
      </c>
    </row>
    <row r="129" ht="16.5" customHeight="1" s="84">
      <c r="A129" s="62" t="inlineStr">
        <is>
          <t>113.02.26</t>
        </is>
      </c>
      <c r="B129" s="62" t="inlineStr">
        <is>
          <t>2024-02-26</t>
        </is>
      </c>
      <c r="C129" s="62" t="inlineStr">
        <is>
          <t>2024-02</t>
        </is>
      </c>
      <c r="D129" s="63" t="n"/>
      <c r="E129" s="63" t="n">
        <v>520000</v>
      </c>
      <c r="F129" s="63" t="n">
        <v>404375</v>
      </c>
      <c r="G129" s="52" t="inlineStr">
        <is>
          <t>更換主鋼索6</t>
        </is>
      </c>
      <c r="H129" s="52" t="inlineStr">
        <is>
          <t>主鋼索更換</t>
        </is>
      </c>
    </row>
    <row r="130" ht="16.5" customHeight="1" s="84">
      <c r="A130" s="56" t="inlineStr">
        <is>
          <t>113.02.26</t>
        </is>
      </c>
      <c r="B130" s="56" t="inlineStr">
        <is>
          <t>2024-02-26</t>
        </is>
      </c>
      <c r="C130" s="56" t="inlineStr">
        <is>
          <t>2024-02</t>
        </is>
      </c>
      <c r="D130" s="57" t="n">
        <v>50000</v>
      </c>
      <c r="E130" s="57" t="n"/>
      <c r="F130" s="57" t="n">
        <v>454375</v>
      </c>
      <c r="G130" s="56" t="inlineStr">
        <is>
          <t>113/02管理費撥款電梯專戶</t>
        </is>
      </c>
      <c r="H130" s="58" t="inlineStr">
        <is>
          <t>管理費撥款</t>
        </is>
      </c>
    </row>
    <row r="131" ht="15" customHeight="1" s="84">
      <c r="A131" s="56" t="inlineStr">
        <is>
          <t>113.03.04</t>
        </is>
      </c>
      <c r="B131" s="56" t="inlineStr">
        <is>
          <t>2024-03-04</t>
        </is>
      </c>
      <c r="C131" s="56" t="inlineStr">
        <is>
          <t>2024-03</t>
        </is>
      </c>
      <c r="D131" s="57" t="n">
        <v>2217</v>
      </c>
      <c r="E131" s="57" t="n"/>
      <c r="F131" s="57" t="n">
        <v>456592</v>
      </c>
      <c r="G131" s="58" t="inlineStr">
        <is>
          <t>存款息</t>
        </is>
      </c>
      <c r="H131" s="58" t="inlineStr">
        <is>
          <t>存款利息</t>
        </is>
      </c>
    </row>
    <row r="132" ht="16.5" customHeight="1" s="84">
      <c r="A132" s="56" t="inlineStr">
        <is>
          <t>113.03.27</t>
        </is>
      </c>
      <c r="B132" s="56" t="inlineStr">
        <is>
          <t>2024-03-27</t>
        </is>
      </c>
      <c r="C132" s="56" t="inlineStr">
        <is>
          <t>2024-03</t>
        </is>
      </c>
      <c r="D132" s="57" t="n">
        <v>50000</v>
      </c>
      <c r="E132" s="57" t="n"/>
      <c r="F132" s="57" t="n">
        <v>506592</v>
      </c>
      <c r="G132" s="56" t="inlineStr">
        <is>
          <t>113/03管理費撥款電梯專戶</t>
        </is>
      </c>
      <c r="H132" s="58" t="inlineStr">
        <is>
          <t>管理費撥款</t>
        </is>
      </c>
    </row>
    <row r="133" ht="15" customHeight="1" s="84">
      <c r="A133" s="56" t="inlineStr">
        <is>
          <t>113.04.08</t>
        </is>
      </c>
      <c r="B133" s="56" t="inlineStr">
        <is>
          <t>2024-04-08</t>
        </is>
      </c>
      <c r="C133" s="56" t="inlineStr">
        <is>
          <t>2024-04</t>
        </is>
      </c>
      <c r="D133" s="57" t="n">
        <v>2370</v>
      </c>
      <c r="E133" s="57" t="n"/>
      <c r="F133" s="57" t="n">
        <v>508962</v>
      </c>
      <c r="G133" s="58" t="inlineStr">
        <is>
          <t>存款息</t>
        </is>
      </c>
      <c r="H133" s="58" t="inlineStr">
        <is>
          <t>存款利息</t>
        </is>
      </c>
    </row>
    <row r="134" ht="16.5" customHeight="1" s="84">
      <c r="A134" s="56" t="inlineStr">
        <is>
          <t>113.04.23</t>
        </is>
      </c>
      <c r="B134" s="56" t="inlineStr">
        <is>
          <t>2024-04-23</t>
        </is>
      </c>
      <c r="C134" s="56" t="inlineStr">
        <is>
          <t>2024-04</t>
        </is>
      </c>
      <c r="D134" s="57" t="n">
        <v>50000</v>
      </c>
      <c r="E134" s="57" t="n"/>
      <c r="F134" s="57" t="n">
        <v>558962</v>
      </c>
      <c r="G134" s="56" t="inlineStr">
        <is>
          <t>113/04管理費撥款電梯專戶</t>
        </is>
      </c>
      <c r="H134" s="58" t="inlineStr">
        <is>
          <t>管理費撥款</t>
        </is>
      </c>
    </row>
    <row r="135" ht="15" customHeight="1" s="84">
      <c r="A135" s="56" t="inlineStr">
        <is>
          <t>113.05.06</t>
        </is>
      </c>
      <c r="B135" s="56" t="inlineStr">
        <is>
          <t>2024-05-06</t>
        </is>
      </c>
      <c r="C135" s="56" t="inlineStr">
        <is>
          <t>2024-05</t>
        </is>
      </c>
      <c r="D135" s="57" t="n">
        <v>2293</v>
      </c>
      <c r="E135" s="57" t="n"/>
      <c r="F135" s="57" t="n">
        <v>561255</v>
      </c>
      <c r="G135" s="58" t="inlineStr">
        <is>
          <t>存款息</t>
        </is>
      </c>
      <c r="H135" s="58" t="inlineStr">
        <is>
          <t>存款利息</t>
        </is>
      </c>
    </row>
    <row r="136" ht="16.5" customHeight="1" s="84">
      <c r="A136" s="56" t="inlineStr">
        <is>
          <t>113.05.31</t>
        </is>
      </c>
      <c r="B136" s="56" t="inlineStr">
        <is>
          <t>2024-05-31</t>
        </is>
      </c>
      <c r="C136" s="56" t="inlineStr">
        <is>
          <t>2024-05</t>
        </is>
      </c>
      <c r="D136" s="57" t="n">
        <v>50000</v>
      </c>
      <c r="E136" s="57" t="n"/>
      <c r="F136" s="57" t="n">
        <v>611255</v>
      </c>
      <c r="G136" s="56" t="inlineStr">
        <is>
          <t>113/05管理費撥款電梯專戶</t>
        </is>
      </c>
      <c r="H136" s="58" t="inlineStr">
        <is>
          <t>管理費撥款</t>
        </is>
      </c>
    </row>
    <row r="137" ht="15" customHeight="1" s="84">
      <c r="A137" s="56" t="inlineStr">
        <is>
          <t>113.06.04</t>
        </is>
      </c>
      <c r="B137" s="56" t="inlineStr">
        <is>
          <t>2024-06-04</t>
        </is>
      </c>
      <c r="C137" s="56" t="inlineStr">
        <is>
          <t>2024-06</t>
        </is>
      </c>
      <c r="D137" s="57" t="n">
        <v>2370</v>
      </c>
      <c r="E137" s="57" t="n"/>
      <c r="F137" s="57" t="n">
        <v>613625</v>
      </c>
      <c r="G137" s="58" t="inlineStr">
        <is>
          <t>存款息</t>
        </is>
      </c>
      <c r="H137" s="58" t="inlineStr">
        <is>
          <t>存款利息</t>
        </is>
      </c>
    </row>
    <row r="138" ht="15" customHeight="1" s="84">
      <c r="A138" s="56" t="inlineStr">
        <is>
          <t>113.06.21</t>
        </is>
      </c>
      <c r="B138" s="56" t="inlineStr">
        <is>
          <t>2024-06-21</t>
        </is>
      </c>
      <c r="C138" s="56" t="inlineStr">
        <is>
          <t>2024-06</t>
        </is>
      </c>
      <c r="D138" s="57" t="n">
        <v>1923</v>
      </c>
      <c r="E138" s="57" t="n"/>
      <c r="F138" s="57" t="n">
        <v>615548</v>
      </c>
      <c r="G138" s="58" t="inlineStr">
        <is>
          <t>存款息</t>
        </is>
      </c>
      <c r="H138" s="58" t="inlineStr">
        <is>
          <t>存款利息</t>
        </is>
      </c>
    </row>
    <row r="139" ht="16.5" customHeight="1" s="84">
      <c r="A139" s="56" t="inlineStr">
        <is>
          <t>113.06.27</t>
        </is>
      </c>
      <c r="B139" s="56" t="inlineStr">
        <is>
          <t>2024-06-27</t>
        </is>
      </c>
      <c r="C139" s="56" t="inlineStr">
        <is>
          <t>2024-06</t>
        </is>
      </c>
      <c r="D139" s="57" t="n">
        <v>50000</v>
      </c>
      <c r="E139" s="57" t="n"/>
      <c r="F139" s="57" t="n">
        <v>665548</v>
      </c>
      <c r="G139" s="56" t="inlineStr">
        <is>
          <t>113/06管理費撥款電梯專戶</t>
        </is>
      </c>
      <c r="H139" s="58" t="inlineStr">
        <is>
          <t>管理費撥款</t>
        </is>
      </c>
    </row>
    <row r="140" ht="15" customHeight="1" s="84">
      <c r="A140" s="56" t="inlineStr">
        <is>
          <t>113.07.04</t>
        </is>
      </c>
      <c r="B140" s="56" t="inlineStr">
        <is>
          <t>2024-07-04</t>
        </is>
      </c>
      <c r="C140" s="56" t="inlineStr">
        <is>
          <t>2024-07</t>
        </is>
      </c>
      <c r="D140" s="57" t="n">
        <v>2293</v>
      </c>
      <c r="E140" s="57" t="n"/>
      <c r="F140" s="57" t="n">
        <v>667841</v>
      </c>
      <c r="G140" s="58" t="inlineStr">
        <is>
          <t>存款息</t>
        </is>
      </c>
      <c r="H140" s="58" t="inlineStr">
        <is>
          <t>存款利息</t>
        </is>
      </c>
    </row>
    <row r="141" ht="16.5" customHeight="1" s="84">
      <c r="A141" s="56" t="inlineStr">
        <is>
          <t>113.07.29</t>
        </is>
      </c>
      <c r="B141" s="56" t="inlineStr">
        <is>
          <t>2024-07-29</t>
        </is>
      </c>
      <c r="C141" s="56" t="inlineStr">
        <is>
          <t>2024-07</t>
        </is>
      </c>
      <c r="D141" s="57" t="n">
        <v>50000</v>
      </c>
      <c r="E141" s="57" t="n"/>
      <c r="F141" s="57" t="n">
        <v>717841</v>
      </c>
      <c r="G141" s="56" t="inlineStr">
        <is>
          <t>113/07管理費撥款電梯專戶</t>
        </is>
      </c>
      <c r="H141" s="58" t="inlineStr">
        <is>
          <t>管理費撥款</t>
        </is>
      </c>
    </row>
    <row r="142" ht="15" customHeight="1" s="84">
      <c r="A142" s="56" t="inlineStr">
        <is>
          <t>113.08.05</t>
        </is>
      </c>
      <c r="B142" s="56" t="inlineStr">
        <is>
          <t>2024-08-05</t>
        </is>
      </c>
      <c r="C142" s="56" t="inlineStr">
        <is>
          <t>2024-08</t>
        </is>
      </c>
      <c r="D142" s="57" t="n">
        <v>2370</v>
      </c>
      <c r="E142" s="57" t="n"/>
      <c r="F142" s="57" t="n">
        <v>720211</v>
      </c>
      <c r="G142" s="58" t="inlineStr">
        <is>
          <t>存款息</t>
        </is>
      </c>
      <c r="H142" s="58" t="inlineStr">
        <is>
          <t>存款利息</t>
        </is>
      </c>
    </row>
    <row r="143" ht="16.5" customHeight="1" s="84">
      <c r="A143" s="56" t="inlineStr">
        <is>
          <t>113.08.27</t>
        </is>
      </c>
      <c r="B143" s="56" t="inlineStr">
        <is>
          <t>2024-08-27</t>
        </is>
      </c>
      <c r="C143" s="56" t="inlineStr">
        <is>
          <t>2024-08</t>
        </is>
      </c>
      <c r="D143" s="57" t="n">
        <v>50000</v>
      </c>
      <c r="E143" s="57" t="n"/>
      <c r="F143" s="57" t="n">
        <v>770211</v>
      </c>
      <c r="G143" s="56" t="inlineStr">
        <is>
          <t>113/08管理費撥款電梯專戶</t>
        </is>
      </c>
      <c r="H143" s="58" t="inlineStr">
        <is>
          <t>管理費撥款</t>
        </is>
      </c>
    </row>
    <row r="144" ht="15" customHeight="1" s="84">
      <c r="A144" s="56" t="inlineStr">
        <is>
          <t>113.09.04</t>
        </is>
      </c>
      <c r="B144" s="56" t="inlineStr">
        <is>
          <t>2024-09-04</t>
        </is>
      </c>
      <c r="C144" s="56" t="inlineStr">
        <is>
          <t>2024-09</t>
        </is>
      </c>
      <c r="D144" s="57" t="n">
        <v>2370</v>
      </c>
      <c r="E144" s="57" t="n"/>
      <c r="F144" s="57" t="n">
        <v>772581</v>
      </c>
      <c r="G144" s="58" t="inlineStr">
        <is>
          <t>存款息</t>
        </is>
      </c>
      <c r="H144" s="58" t="inlineStr">
        <is>
          <t>存款利息</t>
        </is>
      </c>
    </row>
    <row r="145" ht="16.5" customHeight="1" s="84">
      <c r="A145" s="56" t="inlineStr">
        <is>
          <t>113.09.30</t>
        </is>
      </c>
      <c r="B145" s="56" t="inlineStr">
        <is>
          <t>2024-09-30</t>
        </is>
      </c>
      <c r="C145" s="56" t="inlineStr">
        <is>
          <t>2024-09</t>
        </is>
      </c>
      <c r="D145" s="57" t="n">
        <v>50000</v>
      </c>
      <c r="E145" s="57" t="n"/>
      <c r="F145" s="57" t="n">
        <v>822581</v>
      </c>
      <c r="G145" s="56" t="inlineStr">
        <is>
          <t>113/09管理費撥款電梯專戶</t>
        </is>
      </c>
      <c r="H145" s="58" t="inlineStr">
        <is>
          <t>管理費撥款</t>
        </is>
      </c>
    </row>
    <row r="146" ht="15" customHeight="1" s="84">
      <c r="A146" s="56" t="inlineStr">
        <is>
          <t>113.10.04</t>
        </is>
      </c>
      <c r="B146" s="56" t="inlineStr">
        <is>
          <t>2024-10-04</t>
        </is>
      </c>
      <c r="C146" s="56" t="inlineStr">
        <is>
          <t>2024-10</t>
        </is>
      </c>
      <c r="D146" s="57" t="n">
        <v>2293</v>
      </c>
      <c r="E146" s="57" t="n"/>
      <c r="F146" s="57" t="n">
        <v>824874</v>
      </c>
      <c r="G146" s="58" t="inlineStr">
        <is>
          <t>存款息</t>
        </is>
      </c>
      <c r="H146" s="58" t="inlineStr">
        <is>
          <t>存款利息</t>
        </is>
      </c>
    </row>
    <row r="147" ht="16.5" customHeight="1" s="84">
      <c r="A147" s="62" t="inlineStr">
        <is>
          <t>113.10.28</t>
        </is>
      </c>
      <c r="B147" s="62" t="inlineStr">
        <is>
          <t>2024-10-28</t>
        </is>
      </c>
      <c r="C147" s="62" t="inlineStr">
        <is>
          <t>2024-10</t>
        </is>
      </c>
      <c r="D147" s="63" t="n"/>
      <c r="E147" s="63" t="n">
        <v>520000</v>
      </c>
      <c r="F147" s="63" t="n">
        <v>304874</v>
      </c>
      <c r="G147" s="52" t="inlineStr">
        <is>
          <t>更換主鋼索10</t>
        </is>
      </c>
      <c r="H147" s="52" t="inlineStr">
        <is>
          <t>主鋼索更換</t>
        </is>
      </c>
    </row>
    <row r="148" ht="16.5" customHeight="1" s="84">
      <c r="A148" s="56" t="inlineStr">
        <is>
          <t>113.10.28</t>
        </is>
      </c>
      <c r="B148" s="56" t="inlineStr">
        <is>
          <t>2024-10-28</t>
        </is>
      </c>
      <c r="C148" s="56" t="inlineStr">
        <is>
          <t>2024-10</t>
        </is>
      </c>
      <c r="D148" s="57" t="n">
        <v>50000</v>
      </c>
      <c r="E148" s="57" t="n"/>
      <c r="F148" s="57" t="n">
        <v>354874</v>
      </c>
      <c r="G148" s="56" t="inlineStr">
        <is>
          <t>113/10管理費撥款電梯專戶</t>
        </is>
      </c>
      <c r="H148" s="58" t="inlineStr">
        <is>
          <t>管理費撥款</t>
        </is>
      </c>
    </row>
    <row r="149" ht="15" customHeight="1" s="84">
      <c r="A149" s="56" t="inlineStr">
        <is>
          <t>113.11.04</t>
        </is>
      </c>
      <c r="B149" s="56" t="inlineStr">
        <is>
          <t>2024-11-04</t>
        </is>
      </c>
      <c r="C149" s="56" t="inlineStr">
        <is>
          <t>2024-11</t>
        </is>
      </c>
      <c r="D149" s="57" t="n">
        <v>2370</v>
      </c>
      <c r="E149" s="57" t="n"/>
      <c r="F149" s="57" t="n">
        <v>357244</v>
      </c>
      <c r="G149" s="58" t="inlineStr">
        <is>
          <t>存款息</t>
        </is>
      </c>
      <c r="H149" s="58" t="inlineStr">
        <is>
          <t>存款利息</t>
        </is>
      </c>
    </row>
    <row r="150" ht="15" customHeight="1" s="84">
      <c r="A150" s="56" t="inlineStr">
        <is>
          <t>113.12.04</t>
        </is>
      </c>
      <c r="B150" s="56" t="inlineStr">
        <is>
          <t>2024-12-04</t>
        </is>
      </c>
      <c r="C150" s="56" t="inlineStr">
        <is>
          <t>2024-12</t>
        </is>
      </c>
      <c r="D150" s="57" t="n">
        <v>2293</v>
      </c>
      <c r="E150" s="57" t="n"/>
      <c r="F150" s="57" t="n">
        <v>359537</v>
      </c>
      <c r="G150" s="58" t="inlineStr">
        <is>
          <t>存款息</t>
        </is>
      </c>
      <c r="H150" s="58" t="inlineStr">
        <is>
          <t>存款利息</t>
        </is>
      </c>
    </row>
    <row r="151" ht="16.5" customHeight="1" s="84">
      <c r="A151" s="56" t="inlineStr">
        <is>
          <t>113.12.10</t>
        </is>
      </c>
      <c r="B151" s="56" t="inlineStr">
        <is>
          <t>2024-12-10</t>
        </is>
      </c>
      <c r="C151" s="56" t="inlineStr">
        <is>
          <t>2024-12</t>
        </is>
      </c>
      <c r="D151" s="57" t="n">
        <v>50000</v>
      </c>
      <c r="E151" s="57" t="n"/>
      <c r="F151" s="57" t="n">
        <v>409537</v>
      </c>
      <c r="G151" s="56" t="inlineStr">
        <is>
          <t>113/11管理費撥款電梯專戶</t>
        </is>
      </c>
      <c r="H151" s="58" t="inlineStr">
        <is>
          <t>管理費撥款</t>
        </is>
      </c>
    </row>
    <row r="152" ht="15" customHeight="1" s="84">
      <c r="A152" s="56" t="inlineStr">
        <is>
          <t>113.12.21</t>
        </is>
      </c>
      <c r="B152" s="56" t="inlineStr">
        <is>
          <t>2024-12-21</t>
        </is>
      </c>
      <c r="C152" s="56" t="inlineStr">
        <is>
          <t>2024-12</t>
        </is>
      </c>
      <c r="D152" s="57" t="n">
        <v>2066</v>
      </c>
      <c r="E152" s="57" t="n"/>
      <c r="F152" s="57" t="n">
        <v>411603</v>
      </c>
      <c r="G152" s="58" t="inlineStr">
        <is>
          <t>存款息</t>
        </is>
      </c>
      <c r="H152" s="58" t="inlineStr">
        <is>
          <t>存款利息</t>
        </is>
      </c>
    </row>
    <row r="153" ht="15" customHeight="1" s="84">
      <c r="A153" s="56" t="inlineStr">
        <is>
          <t>114.01.06</t>
        </is>
      </c>
      <c r="B153" s="56" t="inlineStr">
        <is>
          <t>2025-01-06</t>
        </is>
      </c>
      <c r="C153" s="56" t="inlineStr">
        <is>
          <t>2025-01</t>
        </is>
      </c>
      <c r="D153" s="57" t="n">
        <v>2370</v>
      </c>
      <c r="E153" s="57" t="n"/>
      <c r="F153" s="57" t="n">
        <v>413973</v>
      </c>
      <c r="G153" s="58" t="inlineStr">
        <is>
          <t>存款息</t>
        </is>
      </c>
      <c r="H153" s="58" t="inlineStr">
        <is>
          <t>存款利息</t>
        </is>
      </c>
    </row>
    <row r="154" ht="16.5" customHeight="1" s="84">
      <c r="A154" s="56" t="inlineStr">
        <is>
          <t>114.01.24</t>
        </is>
      </c>
      <c r="B154" s="56" t="inlineStr">
        <is>
          <t>2025-01-24</t>
        </is>
      </c>
      <c r="C154" s="56" t="inlineStr">
        <is>
          <t>2025-01</t>
        </is>
      </c>
      <c r="D154" s="57" t="n">
        <v>50000</v>
      </c>
      <c r="E154" s="57" t="n"/>
      <c r="F154" s="57" t="n">
        <v>463973</v>
      </c>
      <c r="G154" s="56" t="inlineStr">
        <is>
          <t>113/12管理費撥款電梯專戶</t>
        </is>
      </c>
      <c r="H154" s="58" t="inlineStr">
        <is>
          <t>管理費撥款</t>
        </is>
      </c>
    </row>
    <row r="155" ht="16.5" customHeight="1" s="84">
      <c r="A155" s="56" t="inlineStr">
        <is>
          <t>114.01.24</t>
        </is>
      </c>
      <c r="B155" s="56" t="inlineStr">
        <is>
          <t>2025-01-24</t>
        </is>
      </c>
      <c r="C155" s="56" t="inlineStr">
        <is>
          <t>2025-01</t>
        </is>
      </c>
      <c r="D155" s="57" t="n">
        <v>50000</v>
      </c>
      <c r="E155" s="57" t="n"/>
      <c r="F155" s="57" t="n">
        <v>513973</v>
      </c>
      <c r="G155" s="56" t="inlineStr">
        <is>
          <t>114/01管理費撥款電梯專戶</t>
        </is>
      </c>
      <c r="H155" s="58" t="inlineStr">
        <is>
          <t>管理費撥款</t>
        </is>
      </c>
    </row>
    <row r="156" ht="15" customHeight="1" s="84">
      <c r="A156" s="56" t="inlineStr">
        <is>
          <t>114.02.04</t>
        </is>
      </c>
      <c r="B156" s="56" t="inlineStr">
        <is>
          <t>2025-02-04</t>
        </is>
      </c>
      <c r="C156" s="56" t="inlineStr">
        <is>
          <t>2025-02</t>
        </is>
      </c>
      <c r="D156" s="57" t="n">
        <v>2370</v>
      </c>
      <c r="E156" s="57" t="n"/>
      <c r="F156" s="57" t="n">
        <v>516343</v>
      </c>
      <c r="G156" s="58" t="inlineStr">
        <is>
          <t>存款息</t>
        </is>
      </c>
      <c r="H156" s="58" t="inlineStr">
        <is>
          <t>存款利息</t>
        </is>
      </c>
    </row>
    <row r="157" ht="15" customHeight="1" s="84">
      <c r="A157" s="56" t="inlineStr">
        <is>
          <t>114.03.04</t>
        </is>
      </c>
      <c r="B157" s="56" t="inlineStr">
        <is>
          <t>2025-03-04</t>
        </is>
      </c>
      <c r="C157" s="56" t="inlineStr">
        <is>
          <t>2025-03</t>
        </is>
      </c>
      <c r="D157" s="57" t="n">
        <v>2313</v>
      </c>
      <c r="E157" s="57" t="n"/>
      <c r="F157" s="57" t="n">
        <v>518656</v>
      </c>
      <c r="G157" s="58" t="inlineStr">
        <is>
          <t>存款息</t>
        </is>
      </c>
      <c r="H157" s="58" t="inlineStr">
        <is>
          <t>存款利息</t>
        </is>
      </c>
    </row>
    <row r="158" ht="16.5" customHeight="1" s="84">
      <c r="A158" s="56" t="inlineStr">
        <is>
          <t>114.03.04</t>
        </is>
      </c>
      <c r="B158" s="56" t="inlineStr">
        <is>
          <t>2025-03-04</t>
        </is>
      </c>
      <c r="C158" s="56" t="inlineStr">
        <is>
          <t>2025-03</t>
        </is>
      </c>
      <c r="D158" s="57" t="n">
        <v>50000</v>
      </c>
      <c r="E158" s="57" t="n"/>
      <c r="F158" s="57" t="n">
        <v>568656</v>
      </c>
      <c r="G158" s="56" t="inlineStr">
        <is>
          <t>114/02管理費撥款電梯專戶</t>
        </is>
      </c>
      <c r="H158" s="58" t="inlineStr">
        <is>
          <t>管理費撥款</t>
        </is>
      </c>
    </row>
    <row r="159" ht="15" customHeight="1" s="84">
      <c r="A159" s="56" t="inlineStr">
        <is>
          <t>114.04.07</t>
        </is>
      </c>
      <c r="B159" s="56" t="inlineStr">
        <is>
          <t>2025-04-07</t>
        </is>
      </c>
      <c r="C159" s="56" t="inlineStr">
        <is>
          <t>2025-04</t>
        </is>
      </c>
      <c r="D159" s="57" t="n">
        <v>2561</v>
      </c>
      <c r="E159" s="57" t="n"/>
      <c r="F159" s="57" t="n">
        <v>571217</v>
      </c>
      <c r="G159" s="58" t="inlineStr">
        <is>
          <t>存款息</t>
        </is>
      </c>
      <c r="H159" s="58" t="inlineStr">
        <is>
          <t>存款利息</t>
        </is>
      </c>
    </row>
    <row r="160" ht="16.5" customHeight="1" s="84">
      <c r="A160" s="56" t="inlineStr">
        <is>
          <t>114.04.14</t>
        </is>
      </c>
      <c r="B160" s="56" t="inlineStr">
        <is>
          <t>2025-04-14</t>
        </is>
      </c>
      <c r="C160" s="56" t="inlineStr">
        <is>
          <t>2025-04</t>
        </is>
      </c>
      <c r="D160" s="57" t="n">
        <v>50000</v>
      </c>
      <c r="E160" s="57" t="n"/>
      <c r="F160" s="57" t="n">
        <v>621217</v>
      </c>
      <c r="G160" s="56" t="inlineStr">
        <is>
          <t>114/03管理費撥款電梯專戶</t>
        </is>
      </c>
      <c r="H160" s="58" t="inlineStr">
        <is>
          <t>管理費撥款</t>
        </is>
      </c>
    </row>
    <row r="161" ht="16.5" customHeight="1" s="84">
      <c r="A161" s="62" t="inlineStr">
        <is>
          <t>114.05.02</t>
        </is>
      </c>
      <c r="B161" s="62" t="inlineStr">
        <is>
          <t>2025-05-02</t>
        </is>
      </c>
      <c r="C161" s="62" t="inlineStr">
        <is>
          <t>2025-05</t>
        </is>
      </c>
      <c r="D161" s="63" t="n"/>
      <c r="E161" s="63" t="n">
        <v>520000</v>
      </c>
      <c r="F161" s="63" t="n">
        <v>101217</v>
      </c>
      <c r="G161" s="52" t="inlineStr">
        <is>
          <t>更換主鋼索5</t>
        </is>
      </c>
      <c r="H161" s="52" t="inlineStr">
        <is>
          <t>主鋼索更換</t>
        </is>
      </c>
    </row>
    <row r="162" ht="16.5" customHeight="1" s="84">
      <c r="A162" s="56" t="inlineStr">
        <is>
          <t>114.05.02</t>
        </is>
      </c>
      <c r="B162" s="56" t="inlineStr">
        <is>
          <t>2025-05-02</t>
        </is>
      </c>
      <c r="C162" s="56" t="inlineStr">
        <is>
          <t>2025-05</t>
        </is>
      </c>
      <c r="D162" s="57" t="n">
        <v>50000</v>
      </c>
      <c r="E162" s="57" t="n"/>
      <c r="F162" s="57" t="n">
        <v>151217</v>
      </c>
      <c r="G162" s="56" t="inlineStr">
        <is>
          <t>114/04管理費撥款電梯專戶</t>
        </is>
      </c>
      <c r="H162" s="58" t="inlineStr">
        <is>
          <t>管理費撥款</t>
        </is>
      </c>
    </row>
    <row r="163" ht="15" customHeight="1" s="84">
      <c r="A163" s="59" t="inlineStr">
        <is>
          <t>114.05.02</t>
        </is>
      </c>
      <c r="B163" s="59" t="inlineStr">
        <is>
          <t>2025-05-02</t>
        </is>
      </c>
      <c r="C163" s="59" t="inlineStr">
        <is>
          <t>2025-05</t>
        </is>
      </c>
      <c r="D163" s="60" t="n">
        <v>1799331</v>
      </c>
      <c r="E163" s="60" t="n"/>
      <c r="F163" s="60" t="n">
        <v>1950548</v>
      </c>
      <c r="G163" s="61" t="inlineStr">
        <is>
          <t>解定存</t>
        </is>
      </c>
      <c r="H163" s="61" t="inlineStr">
        <is>
          <t>解定存</t>
        </is>
      </c>
    </row>
    <row r="164" ht="16.5" customHeight="1" s="84">
      <c r="A164" s="62" t="inlineStr">
        <is>
          <t>114.05.02</t>
        </is>
      </c>
      <c r="B164" s="62" t="inlineStr">
        <is>
          <t>2025-05-02</t>
        </is>
      </c>
      <c r="C164" s="62" t="inlineStr">
        <is>
          <t>2025-05</t>
        </is>
      </c>
      <c r="D164" s="63" t="n"/>
      <c r="E164" s="63" t="n">
        <v>520000</v>
      </c>
      <c r="F164" s="63" t="n">
        <v>1430548</v>
      </c>
      <c r="G164" s="52" t="inlineStr">
        <is>
          <t>更換主鋼索4</t>
        </is>
      </c>
      <c r="H164" s="52" t="inlineStr">
        <is>
          <t>主鋼索更換</t>
        </is>
      </c>
    </row>
    <row r="165" ht="16.5" customHeight="1" s="84">
      <c r="A165" s="62" t="inlineStr">
        <is>
          <t>114.05.02</t>
        </is>
      </c>
      <c r="B165" s="62" t="inlineStr">
        <is>
          <t>2025-05-02</t>
        </is>
      </c>
      <c r="C165" s="62" t="inlineStr">
        <is>
          <t>2025-05</t>
        </is>
      </c>
      <c r="D165" s="63" t="n"/>
      <c r="E165" s="63" t="n">
        <v>520000</v>
      </c>
      <c r="F165" s="63" t="n">
        <v>910548</v>
      </c>
      <c r="G165" s="52" t="inlineStr">
        <is>
          <t>更換主鋼索7</t>
        </is>
      </c>
      <c r="H165" s="52" t="inlineStr">
        <is>
          <t>主鋼索更換</t>
        </is>
      </c>
    </row>
    <row r="166" ht="15" customHeight="1" s="84">
      <c r="A166" s="56" t="inlineStr">
        <is>
          <t>114.06.21</t>
        </is>
      </c>
      <c r="B166" s="56" t="inlineStr">
        <is>
          <t>2025-06-21</t>
        </is>
      </c>
      <c r="C166" s="56" t="inlineStr">
        <is>
          <t>2025-06</t>
        </is>
      </c>
      <c r="D166" s="57" t="n">
        <v>2049</v>
      </c>
      <c r="E166" s="57" t="n"/>
      <c r="F166" s="57" t="n">
        <v>912597</v>
      </c>
      <c r="G166" s="58" t="inlineStr">
        <is>
          <t>存款息</t>
        </is>
      </c>
      <c r="H166" s="58" t="inlineStr">
        <is>
          <t>存款利息</t>
        </is>
      </c>
    </row>
    <row r="167" ht="16.5" customHeight="1" s="84">
      <c r="A167" s="56" t="inlineStr">
        <is>
          <t>114.07.21</t>
        </is>
      </c>
      <c r="B167" s="56" t="inlineStr">
        <is>
          <t>2025-07-21</t>
        </is>
      </c>
      <c r="C167" s="56" t="inlineStr">
        <is>
          <t>2025-07</t>
        </is>
      </c>
      <c r="D167" s="57" t="n">
        <v>100000</v>
      </c>
      <c r="E167" s="57" t="n"/>
      <c r="F167" s="57" t="n">
        <v>1012597</v>
      </c>
      <c r="G167" s="56" t="inlineStr">
        <is>
          <t>114/05、06管理費撥款電梯專戶</t>
        </is>
      </c>
      <c r="H167" s="58" t="inlineStr">
        <is>
          <t>管理費撥款</t>
        </is>
      </c>
    </row>
    <row r="168" ht="16.5" customHeight="1" s="84">
      <c r="A168" s="62" t="inlineStr">
        <is>
          <t>114.07.21</t>
        </is>
      </c>
      <c r="B168" s="62" t="inlineStr">
        <is>
          <t>2025-07-21</t>
        </is>
      </c>
      <c r="C168" s="62" t="inlineStr">
        <is>
          <t>2025-07</t>
        </is>
      </c>
      <c r="D168" s="63" t="n"/>
      <c r="E168" s="63" t="n">
        <v>520000</v>
      </c>
      <c r="F168" s="63" t="n">
        <v>492597</v>
      </c>
      <c r="G168" s="52" t="inlineStr">
        <is>
          <t>更換主鋼索9</t>
        </is>
      </c>
      <c r="H168" s="52" t="inlineStr">
        <is>
          <t>主鋼索更換</t>
        </is>
      </c>
    </row>
    <row r="169" ht="16.5" customHeight="1" s="84">
      <c r="A169" s="56" t="inlineStr">
        <is>
          <t>114.07.25</t>
        </is>
      </c>
      <c r="B169" s="56" t="inlineStr">
        <is>
          <t>2025-07-25</t>
        </is>
      </c>
      <c r="C169" s="56" t="inlineStr">
        <is>
          <t>2025-07</t>
        </is>
      </c>
      <c r="D169" s="57" t="n">
        <v>100000</v>
      </c>
      <c r="E169" s="57" t="n"/>
      <c r="F169" s="57" t="n">
        <v>592597</v>
      </c>
      <c r="G169" s="56" t="inlineStr">
        <is>
          <t>114/07管理費撥款電梯專戶</t>
        </is>
      </c>
      <c r="H169" s="58" t="inlineStr">
        <is>
          <t>管理費撥款</t>
        </is>
      </c>
    </row>
    <row r="170" ht="16.5" customHeight="1" s="84">
      <c r="A170" s="64" t="inlineStr">
        <is>
          <t>114.08.06</t>
        </is>
      </c>
      <c r="B170" s="64" t="inlineStr">
        <is>
          <t>2025-08-06</t>
        </is>
      </c>
      <c r="C170" s="64" t="inlineStr">
        <is>
          <t>2025-08</t>
        </is>
      </c>
      <c r="D170" s="65" t="n"/>
      <c r="E170" s="65" t="n">
        <v>50000</v>
      </c>
      <c r="F170" s="65" t="n">
        <v>542597</v>
      </c>
      <c r="G170" s="64" t="inlineStr">
        <is>
          <t>K21退充電樁保證金，匯錯專戶</t>
        </is>
      </c>
      <c r="H170" s="66" t="inlineStr">
        <is>
          <t>匯錯沖正</t>
        </is>
      </c>
    </row>
    <row r="171" ht="16.5" customHeight="1" s="84">
      <c r="A171" s="56" t="inlineStr">
        <is>
          <t>114.08.06</t>
        </is>
      </c>
      <c r="B171" s="56" t="inlineStr">
        <is>
          <t>2025-08-06</t>
        </is>
      </c>
      <c r="C171" s="56" t="inlineStr">
        <is>
          <t>2025-08</t>
        </is>
      </c>
      <c r="D171" s="57" t="n">
        <v>100000</v>
      </c>
      <c r="E171" s="57" t="n"/>
      <c r="F171" s="57" t="n">
        <v>642597</v>
      </c>
      <c r="G171" s="56" t="inlineStr">
        <is>
          <t>114/08管理費撥款電梯專戶</t>
        </is>
      </c>
      <c r="H171" s="58" t="inlineStr">
        <is>
          <t>管理費撥款</t>
        </is>
      </c>
    </row>
    <row r="172" ht="16.5" customHeight="1" s="84">
      <c r="A172" s="56" t="inlineStr">
        <is>
          <t>114.09.04</t>
        </is>
      </c>
      <c r="B172" s="56" t="inlineStr">
        <is>
          <t>2025-09-04</t>
        </is>
      </c>
      <c r="C172" s="56" t="inlineStr">
        <is>
          <t>2025-09</t>
        </is>
      </c>
      <c r="D172" s="57" t="n">
        <v>100000</v>
      </c>
      <c r="E172" s="57" t="n"/>
      <c r="F172" s="57" t="n">
        <v>742597</v>
      </c>
      <c r="G172" s="56" t="inlineStr">
        <is>
          <t>114/09管理費撥款電梯專戶</t>
        </is>
      </c>
      <c r="H172" s="58" t="inlineStr">
        <is>
          <t>管理費撥款</t>
        </is>
      </c>
    </row>
    <row r="173" ht="16.5" customHeight="1" s="84">
      <c r="A173" s="56" t="inlineStr">
        <is>
          <t>114.10.14</t>
        </is>
      </c>
      <c r="B173" s="56" t="inlineStr">
        <is>
          <t>2025-10-14</t>
        </is>
      </c>
      <c r="C173" s="56" t="inlineStr">
        <is>
          <t>2025-10</t>
        </is>
      </c>
      <c r="D173" s="57" t="n">
        <v>100000</v>
      </c>
      <c r="E173" s="57" t="n"/>
      <c r="F173" s="57" t="n">
        <v>842597</v>
      </c>
      <c r="G173" s="56" t="inlineStr">
        <is>
          <t>114/10管理費撥款電梯專戶</t>
        </is>
      </c>
      <c r="H173" s="58" t="inlineStr">
        <is>
          <t>管理費撥款</t>
        </is>
      </c>
    </row>
    <row r="174" ht="16.5" customHeight="1" s="84">
      <c r="A174" s="56" t="inlineStr">
        <is>
          <t>114.11.06</t>
        </is>
      </c>
      <c r="B174" s="56" t="inlineStr">
        <is>
          <t>2025-11-06</t>
        </is>
      </c>
      <c r="C174" s="56" t="inlineStr">
        <is>
          <t>2025-11</t>
        </is>
      </c>
      <c r="D174" s="57" t="n">
        <v>100000</v>
      </c>
      <c r="E174" s="57" t="n"/>
      <c r="F174" s="57" t="n">
        <v>942597</v>
      </c>
      <c r="G174" s="56" t="inlineStr">
        <is>
          <t>114/11管理費撥款電梯專戶</t>
        </is>
      </c>
      <c r="H174" s="58" t="inlineStr">
        <is>
          <t>管理費撥款</t>
        </is>
      </c>
    </row>
    <row r="175" ht="16.5" customHeight="1" s="84">
      <c r="A175" s="56" t="inlineStr">
        <is>
          <t>114.12.08</t>
        </is>
      </c>
      <c r="B175" s="56" t="inlineStr">
        <is>
          <t>2025-12-08</t>
        </is>
      </c>
      <c r="C175" s="56" t="inlineStr">
        <is>
          <t>2025-12</t>
        </is>
      </c>
      <c r="D175" s="57" t="n">
        <v>100000</v>
      </c>
      <c r="E175" s="57" t="n"/>
      <c r="F175" s="57" t="n">
        <v>1042597</v>
      </c>
      <c r="G175" s="56" t="inlineStr">
        <is>
          <t>114/12管理費撥款電梯專戶</t>
        </is>
      </c>
      <c r="H175" s="58" t="inlineStr">
        <is>
          <t>管理費撥款</t>
        </is>
      </c>
    </row>
    <row r="176" ht="15" customHeight="1" s="84">
      <c r="A176" s="56" t="inlineStr">
        <is>
          <t>114.12.21</t>
        </is>
      </c>
      <c r="B176" s="56" t="inlineStr">
        <is>
          <t>2025-12-21</t>
        </is>
      </c>
      <c r="C176" s="56" t="inlineStr">
        <is>
          <t>2025-12</t>
        </is>
      </c>
      <c r="D176" s="57" t="n">
        <v>2654</v>
      </c>
      <c r="E176" s="57" t="n"/>
      <c r="F176" s="57" t="n">
        <v>1045251</v>
      </c>
      <c r="G176" s="58" t="inlineStr">
        <is>
          <t>存款息</t>
        </is>
      </c>
      <c r="H176" s="58" t="inlineStr">
        <is>
          <t>存款利息</t>
        </is>
      </c>
    </row>
    <row r="177" ht="16.5" customHeight="1" s="84">
      <c r="A177" s="56" t="inlineStr">
        <is>
          <t>115.01.09</t>
        </is>
      </c>
      <c r="B177" s="56" t="inlineStr">
        <is>
          <t>2026-01-09</t>
        </is>
      </c>
      <c r="C177" s="56" t="inlineStr">
        <is>
          <t>2026-01</t>
        </is>
      </c>
      <c r="D177" s="57" t="n">
        <v>100000</v>
      </c>
      <c r="E177" s="57" t="n"/>
      <c r="F177" s="57" t="n">
        <v>1145251</v>
      </c>
      <c r="G177" s="56" t="inlineStr">
        <is>
          <t>115/01管理費撥款電梯專戶</t>
        </is>
      </c>
      <c r="H177" s="58" t="inlineStr">
        <is>
          <t>管理費撥款</t>
        </is>
      </c>
    </row>
    <row r="178" ht="16.5" customHeight="1" s="84">
      <c r="A178" s="56" t="inlineStr">
        <is>
          <t>115.02.04</t>
        </is>
      </c>
      <c r="B178" s="56" t="inlineStr">
        <is>
          <t>2026-02-04</t>
        </is>
      </c>
      <c r="C178" s="56" t="inlineStr">
        <is>
          <t>2026-02</t>
        </is>
      </c>
      <c r="D178" s="57" t="n">
        <v>100000</v>
      </c>
      <c r="E178" s="57" t="n"/>
      <c r="F178" s="57" t="n">
        <v>1245251</v>
      </c>
      <c r="G178" s="56" t="inlineStr">
        <is>
          <t>115/02管理費撥款電梯專戶</t>
        </is>
      </c>
      <c r="H178" s="58" t="inlineStr">
        <is>
          <t>管理費撥款</t>
        </is>
      </c>
    </row>
    <row r="179" ht="16.5" customHeight="1" s="84">
      <c r="A179" s="56" t="inlineStr">
        <is>
          <t>115.03.17</t>
        </is>
      </c>
      <c r="B179" s="56" t="inlineStr">
        <is>
          <t>2026-03-17</t>
        </is>
      </c>
      <c r="C179" s="56" t="inlineStr">
        <is>
          <t>2026-03</t>
        </is>
      </c>
      <c r="D179" s="57" t="n">
        <v>100000</v>
      </c>
      <c r="E179" s="57" t="n"/>
      <c r="F179" s="57" t="n">
        <v>1345251</v>
      </c>
      <c r="G179" s="56" t="inlineStr">
        <is>
          <t>115/03管理費撥款電梯專戶</t>
        </is>
      </c>
      <c r="H179" s="58" t="inlineStr">
        <is>
          <t>管理費撥款</t>
        </is>
      </c>
    </row>
    <row r="180" ht="15" customHeight="1" s="84">
      <c r="A180" s="67" t="inlineStr">
        <is>
          <t>合計</t>
        </is>
      </c>
      <c r="B180" s="67" t="n"/>
      <c r="C180" s="67" t="n"/>
      <c r="D180" s="68" t="n">
        <v>8304701</v>
      </c>
      <c r="E180" s="68" t="n">
        <v>6959450</v>
      </c>
      <c r="F180" s="68" t="n"/>
      <c r="G180" s="67" t="n"/>
      <c r="H180" s="67" t="n"/>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K87"/>
  <sheetViews>
    <sheetView zoomScaleNormal="100" workbookViewId="0">
      <selection activeCell="A1" sqref="A1"/>
    </sheetView>
  </sheetViews>
  <sheetFormatPr baseColWidth="10" defaultColWidth="7.83203125" defaultRowHeight="17"/>
  <cols>
    <col width="9.1640625" customWidth="1" style="84" min="1" max="1"/>
    <col width="12.6640625" customWidth="1" style="84" min="2" max="2"/>
    <col width="9.1640625" customWidth="1" style="84" min="3" max="3"/>
    <col width="11" customWidth="1" style="84" min="4" max="6"/>
    <col width="9.1640625" customWidth="1" style="84" min="7" max="7"/>
    <col width="12.6640625" customWidth="1" style="84" min="8" max="8"/>
    <col width="14.5" customWidth="1" style="84" min="9" max="9"/>
    <col width="12.6640625" customWidth="1" style="84" min="10" max="10"/>
    <col width="27.33203125" customWidth="1" style="84" min="11" max="11"/>
  </cols>
  <sheetData>
    <row r="1" ht="21.75" customHeight="1" s="84">
      <c r="A1" s="69" t="inlineStr">
        <is>
          <t>月份</t>
        </is>
      </c>
      <c r="B1" s="102" t="inlineStr">
        <is>
          <t>收入分析</t>
        </is>
      </c>
      <c r="E1" s="103" t="inlineStr">
        <is>
          <t>支出分析</t>
        </is>
      </c>
      <c r="H1" s="101" t="inlineStr">
        <is>
          <t>餘額對照</t>
        </is>
      </c>
    </row>
    <row r="2" ht="36" customHeight="1" s="84">
      <c r="A2" s="70" t="inlineStr">
        <is>
          <t>月份</t>
        </is>
      </c>
      <c r="B2" s="70" t="inlineStr">
        <is>
          <t>撥款 (50K/100K)</t>
        </is>
      </c>
      <c r="C2" s="70" t="inlineStr">
        <is>
          <t>利息</t>
        </is>
      </c>
      <c r="D2" s="70" t="inlineStr">
        <is>
          <t>解定存</t>
        </is>
      </c>
      <c r="E2" s="70" t="inlineStr">
        <is>
          <t>主鋼索</t>
        </is>
      </c>
      <c r="F2" s="70" t="inlineStr">
        <is>
          <t>轉定存</t>
        </is>
      </c>
      <c r="G2" s="70" t="inlineStr">
        <is>
          <t>其他</t>
        </is>
      </c>
      <c r="H2" s="70" t="inlineStr">
        <is>
          <t>活儲月末</t>
        </is>
      </c>
      <c r="I2" s="70" t="inlineStr">
        <is>
          <t>整理檔(元大-電梯)</t>
        </is>
      </c>
      <c r="J2" s="70" t="inlineStr">
        <is>
          <t>差額(定存)</t>
        </is>
      </c>
      <c r="K2" s="70" t="inlineStr">
        <is>
          <t>備註</t>
        </is>
      </c>
    </row>
    <row r="3" ht="15" customHeight="1" s="84">
      <c r="A3" s="56" t="inlineStr">
        <is>
          <t>2019-04</t>
        </is>
      </c>
      <c r="B3" s="57" t="n">
        <v>50000</v>
      </c>
      <c r="C3" s="57" t="n"/>
      <c r="D3" s="57" t="n"/>
      <c r="E3" s="57" t="n"/>
      <c r="F3" s="57" t="n"/>
      <c r="G3" s="57" t="n">
        <v>1250000</v>
      </c>
      <c r="H3" s="57" t="n">
        <v>1300000</v>
      </c>
      <c r="I3" s="57" t="n"/>
      <c r="J3" s="57" t="n"/>
      <c r="K3" s="58" t="n"/>
    </row>
    <row r="4" ht="15" customHeight="1" s="84">
      <c r="A4" s="56" t="inlineStr">
        <is>
          <t>2019-05</t>
        </is>
      </c>
      <c r="B4" s="57" t="n">
        <v>50000</v>
      </c>
      <c r="C4" s="57" t="n"/>
      <c r="D4" s="57" t="n"/>
      <c r="E4" s="57" t="n"/>
      <c r="F4" s="57" t="n"/>
      <c r="G4" s="57" t="n"/>
      <c r="H4" s="57" t="n">
        <v>1350000</v>
      </c>
      <c r="I4" s="57" t="n"/>
      <c r="J4" s="57" t="n"/>
      <c r="K4" s="58" t="n"/>
    </row>
    <row r="5" ht="15" customHeight="1" s="84">
      <c r="A5" s="56" t="inlineStr">
        <is>
          <t>2019-06</t>
        </is>
      </c>
      <c r="B5" s="57" t="n">
        <v>50000</v>
      </c>
      <c r="C5" s="57" t="n">
        <v>129</v>
      </c>
      <c r="D5" s="57" t="n"/>
      <c r="E5" s="57" t="n"/>
      <c r="F5" s="57" t="n"/>
      <c r="G5" s="57" t="n"/>
      <c r="H5" s="57" t="n">
        <v>1400129</v>
      </c>
      <c r="I5" s="57" t="n"/>
      <c r="J5" s="57" t="n"/>
      <c r="K5" s="58" t="n"/>
    </row>
    <row r="6" ht="15" customHeight="1" s="84">
      <c r="A6" s="56" t="inlineStr">
        <is>
          <t>2019-07</t>
        </is>
      </c>
      <c r="B6" s="57" t="n">
        <v>50000</v>
      </c>
      <c r="C6" s="57" t="n"/>
      <c r="D6" s="57" t="n"/>
      <c r="E6" s="57" t="n"/>
      <c r="F6" s="57" t="n"/>
      <c r="G6" s="57" t="n">
        <v>100000</v>
      </c>
      <c r="H6" s="57" t="n">
        <v>1550129</v>
      </c>
      <c r="I6" s="57" t="n"/>
      <c r="J6" s="57" t="n"/>
      <c r="K6" s="58" t="n"/>
    </row>
    <row r="7" ht="15" customHeight="1" s="84">
      <c r="A7" s="56" t="inlineStr">
        <is>
          <t>2019-08</t>
        </is>
      </c>
      <c r="B7" s="57" t="n">
        <v>50000</v>
      </c>
      <c r="C7" s="57" t="n"/>
      <c r="D7" s="57" t="n"/>
      <c r="E7" s="57" t="n"/>
      <c r="F7" s="57" t="n"/>
      <c r="G7" s="57" t="n"/>
      <c r="H7" s="57" t="n">
        <v>1600129</v>
      </c>
      <c r="I7" s="57" t="n"/>
      <c r="J7" s="57" t="n"/>
      <c r="K7" s="58" t="n"/>
    </row>
    <row r="8" ht="15" customHeight="1" s="84">
      <c r="A8" s="56" t="inlineStr">
        <is>
          <t>2019-09</t>
        </is>
      </c>
      <c r="B8" s="57" t="n">
        <v>50000</v>
      </c>
      <c r="C8" s="57" t="n"/>
      <c r="D8" s="57" t="n"/>
      <c r="E8" s="57" t="n"/>
      <c r="F8" s="57" t="n"/>
      <c r="G8" s="57" t="n"/>
      <c r="H8" s="57" t="n">
        <v>1650129</v>
      </c>
      <c r="I8" s="57" t="n"/>
      <c r="J8" s="57" t="n"/>
      <c r="K8" s="58" t="n"/>
    </row>
    <row r="9" ht="15" customHeight="1" s="84">
      <c r="A9" s="56" t="inlineStr">
        <is>
          <t>2019-10</t>
        </is>
      </c>
      <c r="B9" s="57" t="n">
        <v>50000</v>
      </c>
      <c r="C9" s="57" t="n"/>
      <c r="D9" s="57" t="n"/>
      <c r="E9" s="57" t="n"/>
      <c r="F9" s="57" t="n"/>
      <c r="G9" s="57" t="n"/>
      <c r="H9" s="57" t="n">
        <v>1700129</v>
      </c>
      <c r="I9" s="57" t="n"/>
      <c r="J9" s="57" t="n"/>
      <c r="K9" s="58" t="n"/>
    </row>
    <row r="10" ht="15" customHeight="1" s="84">
      <c r="A10" s="56" t="inlineStr">
        <is>
          <t>2019-11</t>
        </is>
      </c>
      <c r="B10" s="57" t="n">
        <v>50000</v>
      </c>
      <c r="C10" s="57" t="n"/>
      <c r="D10" s="57" t="n"/>
      <c r="E10" s="57" t="n"/>
      <c r="F10" s="57" t="n"/>
      <c r="G10" s="57" t="n"/>
      <c r="H10" s="57" t="n">
        <v>1750129</v>
      </c>
      <c r="I10" s="57" t="n"/>
      <c r="J10" s="57" t="n"/>
      <c r="K10" s="58" t="n"/>
    </row>
    <row r="11" ht="15" customHeight="1" s="84">
      <c r="A11" s="56" t="inlineStr">
        <is>
          <t>2019-12</t>
        </is>
      </c>
      <c r="B11" s="57" t="n">
        <v>50000</v>
      </c>
      <c r="C11" s="57" t="n">
        <v>410</v>
      </c>
      <c r="D11" s="57" t="n"/>
      <c r="E11" s="57" t="n"/>
      <c r="F11" s="57" t="n"/>
      <c r="G11" s="57" t="n"/>
      <c r="H11" s="57" t="n">
        <v>1800539</v>
      </c>
      <c r="I11" s="57" t="n"/>
      <c r="J11" s="57" t="n"/>
      <c r="K11" s="58" t="n"/>
    </row>
    <row r="12" ht="15" customHeight="1" s="84">
      <c r="A12" s="56" t="inlineStr">
        <is>
          <t>2020-01</t>
        </is>
      </c>
      <c r="B12" s="57" t="n">
        <v>100000</v>
      </c>
      <c r="C12" s="57" t="n"/>
      <c r="D12" s="57" t="n"/>
      <c r="E12" s="57" t="n"/>
      <c r="F12" s="57" t="n"/>
      <c r="G12" s="57" t="n"/>
      <c r="H12" s="57" t="n">
        <v>1900539</v>
      </c>
      <c r="I12" s="57" t="n"/>
      <c r="J12" s="57" t="n"/>
      <c r="K12" s="58" t="n"/>
    </row>
    <row r="13" ht="15" customHeight="1" s="84">
      <c r="A13" s="59" t="inlineStr">
        <is>
          <t>2020-02</t>
        </is>
      </c>
      <c r="B13" s="60" t="n"/>
      <c r="C13" s="60" t="n"/>
      <c r="D13" s="60" t="n"/>
      <c r="E13" s="60" t="n"/>
      <c r="F13" s="60" t="n">
        <v>1800000</v>
      </c>
      <c r="G13" s="60" t="n"/>
      <c r="H13" s="60" t="n">
        <v>100539</v>
      </c>
      <c r="I13" s="60" t="n"/>
      <c r="J13" s="60" t="n"/>
      <c r="K13" s="61" t="inlineStr">
        <is>
          <t>⚠️ 轉定存</t>
        </is>
      </c>
    </row>
    <row r="14" ht="15" customHeight="1" s="84">
      <c r="A14" s="56" t="inlineStr">
        <is>
          <t>2020-03</t>
        </is>
      </c>
      <c r="B14" s="57" t="n">
        <v>50000</v>
      </c>
      <c r="C14" s="57" t="n">
        <v>1502</v>
      </c>
      <c r="D14" s="57" t="n"/>
      <c r="E14" s="57" t="n"/>
      <c r="F14" s="57" t="n"/>
      <c r="G14" s="57" t="n"/>
      <c r="H14" s="57" t="n">
        <v>152041</v>
      </c>
      <c r="I14" s="57" t="n"/>
      <c r="J14" s="57" t="n"/>
      <c r="K14" s="58" t="n"/>
    </row>
    <row r="15" ht="15" customHeight="1" s="84">
      <c r="A15" s="56" t="inlineStr">
        <is>
          <t>2020-04</t>
        </is>
      </c>
      <c r="B15" s="57" t="n">
        <v>50000</v>
      </c>
      <c r="C15" s="57" t="n">
        <v>1605</v>
      </c>
      <c r="D15" s="57" t="n"/>
      <c r="E15" s="57" t="n"/>
      <c r="F15" s="57" t="n"/>
      <c r="G15" s="57" t="n"/>
      <c r="H15" s="57" t="n">
        <v>203646</v>
      </c>
      <c r="I15" s="57" t="n"/>
      <c r="J15" s="57" t="n"/>
      <c r="K15" s="58" t="n"/>
    </row>
    <row r="16" ht="15" customHeight="1" s="84">
      <c r="A16" s="56" t="inlineStr">
        <is>
          <t>2020-05</t>
        </is>
      </c>
      <c r="B16" s="57" t="n">
        <v>50000</v>
      </c>
      <c r="C16" s="57" t="n">
        <v>1553</v>
      </c>
      <c r="D16" s="57" t="n"/>
      <c r="E16" s="57" t="n"/>
      <c r="F16" s="57" t="n"/>
      <c r="G16" s="57" t="n"/>
      <c r="H16" s="57" t="n">
        <v>255199</v>
      </c>
      <c r="I16" s="57" t="n"/>
      <c r="J16" s="57" t="n"/>
      <c r="K16" s="58" t="n"/>
    </row>
    <row r="17" ht="15" customHeight="1" s="84">
      <c r="A17" s="56" t="inlineStr">
        <is>
          <t>2020-06</t>
        </is>
      </c>
      <c r="B17" s="57" t="n">
        <v>50000</v>
      </c>
      <c r="C17" s="57" t="n">
        <v>1733</v>
      </c>
      <c r="D17" s="57" t="n"/>
      <c r="E17" s="57" t="n"/>
      <c r="F17" s="57" t="n"/>
      <c r="G17" s="57" t="n"/>
      <c r="H17" s="57" t="n">
        <v>306932</v>
      </c>
      <c r="I17" s="57" t="n"/>
      <c r="J17" s="57" t="n"/>
      <c r="K17" s="58" t="n"/>
    </row>
    <row r="18" ht="15" customHeight="1" s="84">
      <c r="A18" s="56" t="inlineStr">
        <is>
          <t>2020-07</t>
        </is>
      </c>
      <c r="B18" s="57" t="n">
        <v>50000</v>
      </c>
      <c r="C18" s="57" t="n">
        <v>1553</v>
      </c>
      <c r="D18" s="57" t="n"/>
      <c r="E18" s="57" t="n"/>
      <c r="F18" s="57" t="n"/>
      <c r="G18" s="57" t="n"/>
      <c r="H18" s="57" t="n">
        <v>358485</v>
      </c>
      <c r="I18" s="57" t="n"/>
      <c r="J18" s="57" t="n"/>
      <c r="K18" s="58" t="n"/>
    </row>
    <row r="19" ht="15" customHeight="1" s="84">
      <c r="A19" s="56" t="inlineStr">
        <is>
          <t>2020-08</t>
        </is>
      </c>
      <c r="B19" s="57" t="n">
        <v>50000</v>
      </c>
      <c r="C19" s="57" t="n">
        <v>1605</v>
      </c>
      <c r="D19" s="57" t="n"/>
      <c r="E19" s="57" t="n"/>
      <c r="F19" s="57" t="n"/>
      <c r="G19" s="57" t="n"/>
      <c r="H19" s="57" t="n">
        <v>410090</v>
      </c>
      <c r="I19" s="57" t="n"/>
      <c r="J19" s="57" t="n"/>
      <c r="K19" s="58" t="n"/>
    </row>
    <row r="20" ht="15" customHeight="1" s="84">
      <c r="A20" s="56" t="inlineStr">
        <is>
          <t>2020-09</t>
        </is>
      </c>
      <c r="B20" s="57" t="n">
        <v>50000</v>
      </c>
      <c r="C20" s="57" t="n">
        <v>1605</v>
      </c>
      <c r="D20" s="57" t="n"/>
      <c r="E20" s="57" t="n"/>
      <c r="F20" s="57" t="n"/>
      <c r="G20" s="57" t="n"/>
      <c r="H20" s="57" t="n">
        <v>461695</v>
      </c>
      <c r="I20" s="57" t="n"/>
      <c r="J20" s="57" t="n"/>
      <c r="K20" s="58" t="n"/>
    </row>
    <row r="21" ht="15" customHeight="1" s="84">
      <c r="A21" s="62" t="inlineStr">
        <is>
          <t>2020-10</t>
        </is>
      </c>
      <c r="B21" s="63" t="n">
        <v>50000</v>
      </c>
      <c r="C21" s="63" t="n">
        <v>1553</v>
      </c>
      <c r="D21" s="63" t="n"/>
      <c r="E21" s="63" t="n">
        <v>242550</v>
      </c>
      <c r="F21" s="63" t="n"/>
      <c r="G21" s="63" t="n"/>
      <c r="H21" s="63" t="n">
        <v>270698</v>
      </c>
      <c r="I21" s="63" t="n"/>
      <c r="J21" s="63" t="n"/>
      <c r="K21" s="52" t="inlineStr">
        <is>
          <t>🔴 主鋼索更換</t>
        </is>
      </c>
    </row>
    <row r="22" ht="15" customHeight="1" s="84">
      <c r="A22" s="56" t="inlineStr">
        <is>
          <t>2020-11</t>
        </is>
      </c>
      <c r="B22" s="57" t="n">
        <v>50000</v>
      </c>
      <c r="C22" s="57" t="n">
        <v>1605</v>
      </c>
      <c r="D22" s="57" t="n"/>
      <c r="E22" s="57" t="n"/>
      <c r="F22" s="57" t="n"/>
      <c r="G22" s="57" t="n"/>
      <c r="H22" s="57" t="n">
        <v>322303</v>
      </c>
      <c r="I22" s="57" t="n"/>
      <c r="J22" s="57" t="n"/>
      <c r="K22" s="58" t="n"/>
    </row>
    <row r="23" ht="15" customHeight="1" s="84">
      <c r="A23" s="56" t="inlineStr">
        <is>
          <t>2020-12</t>
        </is>
      </c>
      <c r="B23" s="57" t="n">
        <v>50000</v>
      </c>
      <c r="C23" s="57" t="n">
        <v>1571</v>
      </c>
      <c r="D23" s="57" t="n"/>
      <c r="E23" s="57" t="n"/>
      <c r="F23" s="57" t="n"/>
      <c r="G23" s="57" t="n"/>
      <c r="H23" s="57" t="n">
        <v>373874</v>
      </c>
      <c r="I23" s="57" t="n"/>
      <c r="J23" s="57" t="n"/>
      <c r="K23" s="58" t="n"/>
    </row>
    <row r="24" ht="15" customHeight="1" s="84">
      <c r="A24" s="56" t="inlineStr">
        <is>
          <t>2021-01</t>
        </is>
      </c>
      <c r="B24" s="57" t="n">
        <v>50000</v>
      </c>
      <c r="C24" s="57" t="n">
        <v>1605</v>
      </c>
      <c r="D24" s="57" t="n"/>
      <c r="E24" s="57" t="n"/>
      <c r="F24" s="57" t="n"/>
      <c r="G24" s="57" t="n"/>
      <c r="H24" s="57" t="n">
        <v>425479</v>
      </c>
      <c r="I24" s="57" t="n">
        <v>2225479</v>
      </c>
      <c r="J24" s="57" t="n">
        <v>1800000</v>
      </c>
      <c r="K24" s="58" t="n"/>
    </row>
    <row r="25" ht="15" customHeight="1" s="84">
      <c r="A25" s="56" t="inlineStr">
        <is>
          <t>2021-02</t>
        </is>
      </c>
      <c r="B25" s="57" t="n">
        <v>50000</v>
      </c>
      <c r="C25" s="57" t="n">
        <v>1605</v>
      </c>
      <c r="D25" s="57" t="n"/>
      <c r="E25" s="57" t="n"/>
      <c r="F25" s="57" t="n"/>
      <c r="G25" s="57" t="n"/>
      <c r="H25" s="57" t="n">
        <v>477084</v>
      </c>
      <c r="I25" s="57" t="n">
        <v>2277084</v>
      </c>
      <c r="J25" s="57" t="n">
        <v>1800000</v>
      </c>
      <c r="K25" s="58" t="n"/>
    </row>
    <row r="26" ht="15" customHeight="1" s="84">
      <c r="A26" s="56" t="inlineStr">
        <is>
          <t>2021-03</t>
        </is>
      </c>
      <c r="B26" s="57" t="n">
        <v>50000</v>
      </c>
      <c r="C26" s="57" t="n">
        <v>1091</v>
      </c>
      <c r="D26" s="57" t="n"/>
      <c r="E26" s="57" t="n"/>
      <c r="F26" s="57" t="n"/>
      <c r="G26" s="57" t="n"/>
      <c r="H26" s="57" t="n">
        <v>528175</v>
      </c>
      <c r="I26" s="57" t="n">
        <v>2328175</v>
      </c>
      <c r="J26" s="57" t="n">
        <v>1800000</v>
      </c>
      <c r="K26" s="58" t="n"/>
    </row>
    <row r="27" ht="15" customHeight="1" s="84">
      <c r="A27" s="56" t="inlineStr">
        <is>
          <t>2021-04</t>
        </is>
      </c>
      <c r="B27" s="57" t="n">
        <v>50000</v>
      </c>
      <c r="C27" s="57" t="n">
        <v>1208</v>
      </c>
      <c r="D27" s="57" t="n"/>
      <c r="E27" s="57" t="n"/>
      <c r="F27" s="57" t="n"/>
      <c r="G27" s="57" t="n"/>
      <c r="H27" s="57" t="n">
        <v>579383</v>
      </c>
      <c r="I27" s="57" t="n">
        <v>2379383</v>
      </c>
      <c r="J27" s="57" t="n">
        <v>1800000</v>
      </c>
      <c r="K27" s="58" t="n"/>
    </row>
    <row r="28" ht="15" customHeight="1" s="84">
      <c r="A28" s="56" t="inlineStr">
        <is>
          <t>2021-05</t>
        </is>
      </c>
      <c r="B28" s="57" t="n">
        <v>50000</v>
      </c>
      <c r="C28" s="57" t="n">
        <v>1169</v>
      </c>
      <c r="D28" s="57" t="n"/>
      <c r="E28" s="57" t="n"/>
      <c r="F28" s="57" t="n"/>
      <c r="G28" s="57" t="n"/>
      <c r="H28" s="57" t="n">
        <v>630552</v>
      </c>
      <c r="I28" s="57" t="n">
        <v>2430552</v>
      </c>
      <c r="J28" s="57" t="n">
        <v>1800000</v>
      </c>
      <c r="K28" s="58" t="n"/>
    </row>
    <row r="29" ht="15" customHeight="1" s="84">
      <c r="A29" s="56" t="inlineStr">
        <is>
          <t>2021-06</t>
        </is>
      </c>
      <c r="B29" s="57" t="n">
        <v>50000</v>
      </c>
      <c r="C29" s="57" t="n">
        <v>1233</v>
      </c>
      <c r="D29" s="57" t="n"/>
      <c r="E29" s="57" t="n"/>
      <c r="F29" s="57" t="n"/>
      <c r="G29" s="57" t="n"/>
      <c r="H29" s="57" t="n">
        <v>681785</v>
      </c>
      <c r="I29" s="57" t="n">
        <v>2481785</v>
      </c>
      <c r="J29" s="57" t="n">
        <v>1800000</v>
      </c>
      <c r="K29" s="58" t="n"/>
    </row>
    <row r="30" ht="15" customHeight="1" s="84">
      <c r="A30" s="56" t="inlineStr">
        <is>
          <t>2021-07</t>
        </is>
      </c>
      <c r="B30" s="57" t="n">
        <v>50000</v>
      </c>
      <c r="C30" s="57" t="n">
        <v>1169</v>
      </c>
      <c r="D30" s="57" t="n"/>
      <c r="E30" s="57" t="n"/>
      <c r="F30" s="57" t="n"/>
      <c r="G30" s="57" t="n"/>
      <c r="H30" s="57" t="n">
        <v>732954</v>
      </c>
      <c r="I30" s="57" t="n">
        <v>2532954</v>
      </c>
      <c r="J30" s="57" t="n">
        <v>1800000</v>
      </c>
      <c r="K30" s="58" t="n"/>
    </row>
    <row r="31" ht="15" customHeight="1" s="84">
      <c r="A31" s="56" t="inlineStr">
        <is>
          <t>2021-08</t>
        </is>
      </c>
      <c r="B31" s="57" t="n">
        <v>50000</v>
      </c>
      <c r="C31" s="57" t="n">
        <v>1208</v>
      </c>
      <c r="D31" s="57" t="n"/>
      <c r="E31" s="57" t="n"/>
      <c r="F31" s="57" t="n"/>
      <c r="G31" s="57" t="n"/>
      <c r="H31" s="57" t="n">
        <v>784162</v>
      </c>
      <c r="I31" s="57" t="n">
        <v>2584162</v>
      </c>
      <c r="J31" s="57" t="n">
        <v>1800000</v>
      </c>
      <c r="K31" s="58" t="n"/>
    </row>
    <row r="32" ht="15" customHeight="1" s="84">
      <c r="A32" s="56" t="inlineStr">
        <is>
          <t>2021-09</t>
        </is>
      </c>
      <c r="B32" s="57" t="n">
        <v>50000</v>
      </c>
      <c r="C32" s="57" t="n">
        <v>1208</v>
      </c>
      <c r="D32" s="57" t="n"/>
      <c r="E32" s="57" t="n"/>
      <c r="F32" s="57" t="n"/>
      <c r="G32" s="57" t="n"/>
      <c r="H32" s="57" t="n">
        <v>835370</v>
      </c>
      <c r="I32" s="57" t="n">
        <v>2635370</v>
      </c>
      <c r="J32" s="57" t="n">
        <v>1800000</v>
      </c>
      <c r="K32" s="58" t="n"/>
    </row>
    <row r="33" ht="15" customHeight="1" s="84">
      <c r="A33" s="56" t="inlineStr">
        <is>
          <t>2021-10</t>
        </is>
      </c>
      <c r="B33" s="57" t="n">
        <v>50000</v>
      </c>
      <c r="C33" s="57" t="n">
        <v>1169</v>
      </c>
      <c r="D33" s="57" t="n"/>
      <c r="E33" s="57" t="n"/>
      <c r="F33" s="57" t="n"/>
      <c r="G33" s="57" t="n"/>
      <c r="H33" s="57" t="n">
        <v>886539</v>
      </c>
      <c r="I33" s="57" t="n">
        <v>2686539</v>
      </c>
      <c r="J33" s="57" t="n">
        <v>1800000</v>
      </c>
      <c r="K33" s="58" t="n"/>
    </row>
    <row r="34" ht="15" customHeight="1" s="84">
      <c r="A34" s="56" t="inlineStr">
        <is>
          <t>2021-11</t>
        </is>
      </c>
      <c r="B34" s="57" t="n">
        <v>50000</v>
      </c>
      <c r="C34" s="57" t="n">
        <v>1208</v>
      </c>
      <c r="D34" s="57" t="n"/>
      <c r="E34" s="57" t="n"/>
      <c r="F34" s="57" t="n"/>
      <c r="G34" s="57" t="n"/>
      <c r="H34" s="57" t="n">
        <v>937747</v>
      </c>
      <c r="I34" s="57" t="n">
        <v>2737747</v>
      </c>
      <c r="J34" s="57" t="n">
        <v>1800000</v>
      </c>
      <c r="K34" s="58" t="n"/>
    </row>
    <row r="35" ht="15" customHeight="1" s="84">
      <c r="A35" s="56" t="inlineStr">
        <is>
          <t>2021-12</t>
        </is>
      </c>
      <c r="B35" s="57" t="n">
        <v>50000</v>
      </c>
      <c r="C35" s="57" t="n">
        <v>1209</v>
      </c>
      <c r="D35" s="57" t="n"/>
      <c r="E35" s="57" t="n"/>
      <c r="F35" s="57" t="n"/>
      <c r="G35" s="57" t="n"/>
      <c r="H35" s="57" t="n">
        <v>988956</v>
      </c>
      <c r="I35" s="57" t="n">
        <v>2788956</v>
      </c>
      <c r="J35" s="57" t="n">
        <v>1800000</v>
      </c>
      <c r="K35" s="58" t="n"/>
    </row>
    <row r="36" ht="15" customHeight="1" s="84">
      <c r="A36" s="56" t="inlineStr">
        <is>
          <t>2022-01</t>
        </is>
      </c>
      <c r="B36" s="57" t="n">
        <v>50000</v>
      </c>
      <c r="C36" s="57" t="n">
        <v>1208</v>
      </c>
      <c r="D36" s="57" t="n"/>
      <c r="E36" s="57" t="n"/>
      <c r="F36" s="57" t="n"/>
      <c r="G36" s="57" t="n"/>
      <c r="H36" s="57" t="n">
        <v>1040164</v>
      </c>
      <c r="I36" s="57" t="n">
        <v>2840164</v>
      </c>
      <c r="J36" s="57" t="n">
        <v>1800000</v>
      </c>
      <c r="K36" s="58" t="n"/>
    </row>
    <row r="37" ht="15" customHeight="1" s="84">
      <c r="A37" s="62" t="inlineStr">
        <is>
          <t>2022-02</t>
        </is>
      </c>
      <c r="B37" s="63" t="n">
        <v>50000</v>
      </c>
      <c r="C37" s="63" t="n">
        <v>1208</v>
      </c>
      <c r="D37" s="63" t="n"/>
      <c r="E37" s="63" t="n">
        <v>378000</v>
      </c>
      <c r="F37" s="63" t="n"/>
      <c r="G37" s="63" t="n"/>
      <c r="H37" s="63" t="n">
        <v>713372</v>
      </c>
      <c r="I37" s="63" t="n">
        <v>2513372</v>
      </c>
      <c r="J37" s="63" t="n">
        <v>1800000</v>
      </c>
      <c r="K37" s="52" t="inlineStr">
        <is>
          <t>🔴 主鋼索更換</t>
        </is>
      </c>
    </row>
    <row r="38" ht="15" customHeight="1" s="84">
      <c r="A38" s="56" t="inlineStr">
        <is>
          <t>2022-03</t>
        </is>
      </c>
      <c r="B38" s="57" t="n">
        <v>50000</v>
      </c>
      <c r="C38" s="57" t="n">
        <v>1091</v>
      </c>
      <c r="D38" s="57" t="n"/>
      <c r="E38" s="57" t="n"/>
      <c r="F38" s="57" t="n"/>
      <c r="G38" s="57" t="n"/>
      <c r="H38" s="57" t="n">
        <v>764463</v>
      </c>
      <c r="I38" s="57" t="n">
        <v>2564463</v>
      </c>
      <c r="J38" s="57" t="n">
        <v>1800000</v>
      </c>
      <c r="K38" s="58" t="n"/>
    </row>
    <row r="39" ht="15" customHeight="1" s="84">
      <c r="A39" s="56" t="inlineStr">
        <is>
          <t>2022-04</t>
        </is>
      </c>
      <c r="B39" s="57" t="n">
        <v>50000</v>
      </c>
      <c r="C39" s="57" t="n">
        <v>1208</v>
      </c>
      <c r="D39" s="57" t="n"/>
      <c r="E39" s="57" t="n"/>
      <c r="F39" s="57" t="n"/>
      <c r="G39" s="57" t="n"/>
      <c r="H39" s="57" t="n">
        <v>815671</v>
      </c>
      <c r="I39" s="57" t="n">
        <v>2615671</v>
      </c>
      <c r="J39" s="57" t="n">
        <v>1800000</v>
      </c>
      <c r="K39" s="58" t="n"/>
    </row>
    <row r="40" ht="15" customHeight="1" s="84">
      <c r="A40" s="56" t="inlineStr">
        <is>
          <t>2022-05</t>
        </is>
      </c>
      <c r="B40" s="57" t="n">
        <v>50000</v>
      </c>
      <c r="C40" s="57" t="n">
        <v>1169</v>
      </c>
      <c r="D40" s="57" t="n"/>
      <c r="E40" s="57" t="n"/>
      <c r="F40" s="57" t="n"/>
      <c r="G40" s="57" t="n"/>
      <c r="H40" s="57" t="n">
        <v>866840</v>
      </c>
      <c r="I40" s="57" t="n">
        <v>2666840</v>
      </c>
      <c r="J40" s="57" t="n">
        <v>1800000</v>
      </c>
      <c r="K40" s="58" t="n"/>
    </row>
    <row r="41" ht="15" customHeight="1" s="84">
      <c r="A41" s="56" t="inlineStr">
        <is>
          <t>2022-06</t>
        </is>
      </c>
      <c r="B41" s="57" t="n">
        <v>50000</v>
      </c>
      <c r="C41" s="57" t="n">
        <v>1291</v>
      </c>
      <c r="D41" s="57" t="n"/>
      <c r="E41" s="57" t="n"/>
      <c r="F41" s="57" t="n"/>
      <c r="G41" s="57" t="n"/>
      <c r="H41" s="57" t="n">
        <v>918131</v>
      </c>
      <c r="I41" s="57" t="n">
        <v>2718131</v>
      </c>
      <c r="J41" s="57" t="n">
        <v>1800000</v>
      </c>
      <c r="K41" s="58" t="n"/>
    </row>
    <row r="42" ht="15" customHeight="1" s="84">
      <c r="A42" s="56" t="inlineStr">
        <is>
          <t>2022-07</t>
        </is>
      </c>
      <c r="B42" s="57" t="n">
        <v>50000</v>
      </c>
      <c r="C42" s="57" t="n">
        <v>1169</v>
      </c>
      <c r="D42" s="57" t="n"/>
      <c r="E42" s="57" t="n"/>
      <c r="F42" s="57" t="n"/>
      <c r="G42" s="57" t="n"/>
      <c r="H42" s="57" t="n">
        <v>969300</v>
      </c>
      <c r="I42" s="57" t="n">
        <v>2769300</v>
      </c>
      <c r="J42" s="57" t="n">
        <v>1800000</v>
      </c>
      <c r="K42" s="58" t="n"/>
    </row>
    <row r="43" ht="15" customHeight="1" s="84">
      <c r="A43" s="56" t="inlineStr">
        <is>
          <t>2022-08</t>
        </is>
      </c>
      <c r="B43" s="57" t="n">
        <v>50000</v>
      </c>
      <c r="C43" s="57" t="n">
        <v>1208</v>
      </c>
      <c r="D43" s="57" t="n"/>
      <c r="E43" s="57" t="n"/>
      <c r="F43" s="57" t="n"/>
      <c r="G43" s="57" t="n"/>
      <c r="H43" s="57" t="n">
        <v>1020508</v>
      </c>
      <c r="I43" s="57" t="n">
        <v>2820508</v>
      </c>
      <c r="J43" s="57" t="n">
        <v>1800000</v>
      </c>
      <c r="K43" s="58" t="n"/>
    </row>
    <row r="44" ht="15" customHeight="1" s="84">
      <c r="A44" s="56" t="inlineStr">
        <is>
          <t>2022-09</t>
        </is>
      </c>
      <c r="B44" s="57" t="n">
        <v>50000</v>
      </c>
      <c r="C44" s="57" t="n">
        <v>1208</v>
      </c>
      <c r="D44" s="57" t="n"/>
      <c r="E44" s="57" t="n"/>
      <c r="F44" s="57" t="n"/>
      <c r="G44" s="57" t="n"/>
      <c r="H44" s="57" t="n">
        <v>1071716</v>
      </c>
      <c r="I44" s="57" t="n">
        <v>2871716</v>
      </c>
      <c r="J44" s="57" t="n">
        <v>1800000</v>
      </c>
      <c r="K44" s="58" t="n"/>
    </row>
    <row r="45" ht="15" customHeight="1" s="84">
      <c r="A45" s="56" t="inlineStr">
        <is>
          <t>2022-10</t>
        </is>
      </c>
      <c r="B45" s="57" t="n">
        <v>50000</v>
      </c>
      <c r="C45" s="57" t="n">
        <v>1169</v>
      </c>
      <c r="D45" s="57" t="n"/>
      <c r="E45" s="57" t="n"/>
      <c r="F45" s="57" t="n"/>
      <c r="G45" s="57" t="n"/>
      <c r="H45" s="57" t="n">
        <v>1122885</v>
      </c>
      <c r="I45" s="57" t="n">
        <v>2922885</v>
      </c>
      <c r="J45" s="57" t="n">
        <v>1800000</v>
      </c>
      <c r="K45" s="58" t="n"/>
    </row>
    <row r="46" ht="15" customHeight="1" s="84">
      <c r="A46" s="56" t="inlineStr">
        <is>
          <t>2022-11</t>
        </is>
      </c>
      <c r="B46" s="57" t="n">
        <v>50000</v>
      </c>
      <c r="C46" s="57" t="n">
        <v>1208</v>
      </c>
      <c r="D46" s="57" t="n"/>
      <c r="E46" s="57" t="n"/>
      <c r="F46" s="57" t="n"/>
      <c r="G46" s="57" t="n"/>
      <c r="H46" s="57" t="n">
        <v>1174093</v>
      </c>
      <c r="I46" s="57" t="n">
        <v>2974093</v>
      </c>
      <c r="J46" s="57" t="n">
        <v>1800000</v>
      </c>
      <c r="K46" s="58" t="n"/>
    </row>
    <row r="47" ht="15" customHeight="1" s="84">
      <c r="A47" s="56" t="inlineStr">
        <is>
          <t>2022-12</t>
        </is>
      </c>
      <c r="B47" s="57" t="n">
        <v>50000</v>
      </c>
      <c r="C47" s="57" t="n">
        <v>2287</v>
      </c>
      <c r="D47" s="57" t="n"/>
      <c r="E47" s="57" t="n"/>
      <c r="F47" s="57" t="n"/>
      <c r="G47" s="57" t="n"/>
      <c r="H47" s="57" t="n">
        <v>1226380</v>
      </c>
      <c r="I47" s="57" t="n">
        <v>3026380</v>
      </c>
      <c r="J47" s="57" t="n">
        <v>1800000</v>
      </c>
      <c r="K47" s="58" t="n"/>
    </row>
    <row r="48" ht="15" customHeight="1" s="84">
      <c r="A48" s="56" t="inlineStr">
        <is>
          <t>2023-01</t>
        </is>
      </c>
      <c r="B48" s="57" t="n">
        <v>50000</v>
      </c>
      <c r="C48" s="57" t="n">
        <v>1208</v>
      </c>
      <c r="D48" s="57" t="n"/>
      <c r="E48" s="57" t="n"/>
      <c r="F48" s="57" t="n"/>
      <c r="G48" s="57" t="n"/>
      <c r="H48" s="57" t="n">
        <v>1277588</v>
      </c>
      <c r="I48" s="57" t="n">
        <v>3077588</v>
      </c>
      <c r="J48" s="57" t="n">
        <v>1800000</v>
      </c>
      <c r="K48" s="58" t="n"/>
    </row>
    <row r="49" ht="15" customHeight="1" s="84">
      <c r="A49" s="62" t="inlineStr">
        <is>
          <t>2023-02</t>
        </is>
      </c>
      <c r="B49" s="63" t="n">
        <v>50000</v>
      </c>
      <c r="C49" s="63" t="n">
        <v>1208</v>
      </c>
      <c r="D49" s="63" t="n"/>
      <c r="E49" s="63" t="n">
        <v>465000</v>
      </c>
      <c r="F49" s="63" t="n"/>
      <c r="G49" s="63" t="n"/>
      <c r="H49" s="63" t="n">
        <v>863796</v>
      </c>
      <c r="I49" s="63" t="n">
        <v>2663796</v>
      </c>
      <c r="J49" s="63" t="n">
        <v>1800000</v>
      </c>
      <c r="K49" s="52" t="inlineStr">
        <is>
          <t>🔴 主鋼索更換</t>
        </is>
      </c>
    </row>
    <row r="50" ht="15" customHeight="1" s="84">
      <c r="A50" s="56" t="inlineStr">
        <is>
          <t>2023-03</t>
        </is>
      </c>
      <c r="B50" s="57" t="n"/>
      <c r="C50" s="57" t="n">
        <v>1968</v>
      </c>
      <c r="D50" s="57" t="n"/>
      <c r="E50" s="57" t="n"/>
      <c r="F50" s="57" t="n"/>
      <c r="G50" s="57" t="n"/>
      <c r="H50" s="57" t="n">
        <v>865764</v>
      </c>
      <c r="I50" s="57" t="n">
        <v>2715764</v>
      </c>
      <c r="J50" s="57" t="n">
        <v>1850000</v>
      </c>
      <c r="K50" s="58" t="n"/>
    </row>
    <row r="51" ht="15" customHeight="1" s="84">
      <c r="A51" s="56" t="inlineStr">
        <is>
          <t>2023-04</t>
        </is>
      </c>
      <c r="B51" s="57" t="n">
        <v>50000</v>
      </c>
      <c r="C51" s="57" t="n">
        <v>2178</v>
      </c>
      <c r="D51" s="57" t="n"/>
      <c r="E51" s="57" t="n"/>
      <c r="F51" s="57" t="n"/>
      <c r="G51" s="57" t="n"/>
      <c r="H51" s="57" t="n">
        <v>967942</v>
      </c>
      <c r="I51" s="57" t="n">
        <v>2767942</v>
      </c>
      <c r="J51" s="57" t="n">
        <v>1800000</v>
      </c>
      <c r="K51" s="58" t="n"/>
    </row>
    <row r="52" ht="15" customHeight="1" s="84">
      <c r="A52" s="56" t="inlineStr">
        <is>
          <t>2023-05</t>
        </is>
      </c>
      <c r="B52" s="57" t="n">
        <v>50000</v>
      </c>
      <c r="C52" s="57" t="n">
        <v>2108</v>
      </c>
      <c r="D52" s="57" t="n"/>
      <c r="E52" s="57" t="n"/>
      <c r="F52" s="57" t="n"/>
      <c r="G52" s="57" t="n"/>
      <c r="H52" s="57" t="n">
        <v>1020050</v>
      </c>
      <c r="I52" s="57" t="n">
        <v>2820050</v>
      </c>
      <c r="J52" s="57" t="n">
        <v>1800000</v>
      </c>
      <c r="K52" s="58" t="n"/>
    </row>
    <row r="53" ht="15" customHeight="1" s="84">
      <c r="A53" s="56" t="inlineStr">
        <is>
          <t>2023-06</t>
        </is>
      </c>
      <c r="B53" s="57" t="n">
        <v>50000</v>
      </c>
      <c r="C53" s="57" t="n">
        <v>4576</v>
      </c>
      <c r="D53" s="57" t="n"/>
      <c r="E53" s="57" t="n"/>
      <c r="F53" s="57" t="n"/>
      <c r="G53" s="57" t="n"/>
      <c r="H53" s="57" t="n">
        <v>1074626</v>
      </c>
      <c r="I53" s="57" t="n">
        <v>2874626</v>
      </c>
      <c r="J53" s="57" t="n">
        <v>1800000</v>
      </c>
      <c r="K53" s="58" t="n"/>
    </row>
    <row r="54" ht="15" customHeight="1" s="84">
      <c r="A54" s="56" t="inlineStr">
        <is>
          <t>2023-07</t>
        </is>
      </c>
      <c r="B54" s="57" t="n">
        <v>50000</v>
      </c>
      <c r="C54" s="57" t="n">
        <v>2108</v>
      </c>
      <c r="D54" s="57" t="n"/>
      <c r="E54" s="57" t="n"/>
      <c r="F54" s="57" t="n"/>
      <c r="G54" s="57" t="n"/>
      <c r="H54" s="57" t="n">
        <v>1126734</v>
      </c>
      <c r="I54" s="57" t="n">
        <v>2926734</v>
      </c>
      <c r="J54" s="57" t="n">
        <v>1800000</v>
      </c>
      <c r="K54" s="58" t="n"/>
    </row>
    <row r="55" ht="15" customHeight="1" s="84">
      <c r="A55" s="56" t="inlineStr">
        <is>
          <t>2023-08</t>
        </is>
      </c>
      <c r="B55" s="57" t="n">
        <v>50000</v>
      </c>
      <c r="C55" s="57" t="n">
        <v>2178</v>
      </c>
      <c r="D55" s="57" t="n"/>
      <c r="E55" s="57" t="n"/>
      <c r="F55" s="57" t="n"/>
      <c r="G55" s="57" t="n"/>
      <c r="H55" s="57" t="n">
        <v>1178912</v>
      </c>
      <c r="I55" s="57" t="n">
        <v>2978912</v>
      </c>
      <c r="J55" s="57" t="n">
        <v>1800000</v>
      </c>
      <c r="K55" s="58" t="n"/>
    </row>
    <row r="56" ht="15" customHeight="1" s="84">
      <c r="A56" s="62" t="inlineStr">
        <is>
          <t>2023-09</t>
        </is>
      </c>
      <c r="B56" s="63" t="n">
        <v>50000</v>
      </c>
      <c r="C56" s="63" t="n">
        <v>2178</v>
      </c>
      <c r="D56" s="63" t="n"/>
      <c r="E56" s="63" t="n">
        <v>520000</v>
      </c>
      <c r="F56" s="63" t="n"/>
      <c r="G56" s="63" t="n"/>
      <c r="H56" s="63" t="n">
        <v>711090</v>
      </c>
      <c r="I56" s="63" t="n">
        <v>2511090</v>
      </c>
      <c r="J56" s="63" t="n">
        <v>1800000</v>
      </c>
      <c r="K56" s="52" t="inlineStr">
        <is>
          <t>🔴 主鋼索更換</t>
        </is>
      </c>
    </row>
    <row r="57" ht="15" customHeight="1" s="84">
      <c r="A57" s="56" t="inlineStr">
        <is>
          <t>2023-10</t>
        </is>
      </c>
      <c r="B57" s="57" t="n">
        <v>50000</v>
      </c>
      <c r="C57" s="57" t="n">
        <v>2108</v>
      </c>
      <c r="D57" s="57" t="n"/>
      <c r="E57" s="57" t="n"/>
      <c r="F57" s="57" t="n"/>
      <c r="G57" s="57" t="n"/>
      <c r="H57" s="57" t="n">
        <v>763198</v>
      </c>
      <c r="I57" s="57" t="n">
        <v>2563198</v>
      </c>
      <c r="J57" s="57" t="n">
        <v>1800000</v>
      </c>
      <c r="K57" s="58" t="n"/>
    </row>
    <row r="58" ht="15" customHeight="1" s="84">
      <c r="A58" s="56" t="inlineStr">
        <is>
          <t>2023-11</t>
        </is>
      </c>
      <c r="B58" s="57" t="n">
        <v>50000</v>
      </c>
      <c r="C58" s="57" t="n">
        <v>2178</v>
      </c>
      <c r="D58" s="57" t="n"/>
      <c r="E58" s="57" t="n"/>
      <c r="F58" s="57" t="n"/>
      <c r="G58" s="57" t="n"/>
      <c r="H58" s="57" t="n">
        <v>815376</v>
      </c>
      <c r="I58" s="57" t="n">
        <v>2615376</v>
      </c>
      <c r="J58" s="57" t="n">
        <v>1800000</v>
      </c>
      <c r="K58" s="58" t="n"/>
    </row>
    <row r="59" ht="15" customHeight="1" s="84">
      <c r="A59" s="56" t="inlineStr">
        <is>
          <t>2023-12</t>
        </is>
      </c>
      <c r="B59" s="57" t="n">
        <v>50000</v>
      </c>
      <c r="C59" s="57" t="n">
        <v>4643</v>
      </c>
      <c r="D59" s="57" t="n"/>
      <c r="E59" s="57" t="n"/>
      <c r="F59" s="57" t="n"/>
      <c r="G59" s="57" t="n"/>
      <c r="H59" s="57" t="n">
        <v>870019</v>
      </c>
      <c r="I59" s="57" t="n">
        <v>2670019</v>
      </c>
      <c r="J59" s="57" t="n">
        <v>1800000</v>
      </c>
      <c r="K59" s="58" t="n"/>
    </row>
    <row r="60" ht="15" customHeight="1" s="84">
      <c r="A60" s="56" t="inlineStr">
        <is>
          <t>2024-01</t>
        </is>
      </c>
      <c r="B60" s="57" t="n">
        <v>50000</v>
      </c>
      <c r="C60" s="57" t="n">
        <v>2178</v>
      </c>
      <c r="D60" s="57" t="n"/>
      <c r="E60" s="57" t="n"/>
      <c r="F60" s="57" t="n"/>
      <c r="G60" s="57" t="n"/>
      <c r="H60" s="57" t="n">
        <v>922197</v>
      </c>
      <c r="I60" s="57" t="n">
        <v>2722197</v>
      </c>
      <c r="J60" s="57" t="n">
        <v>1800000</v>
      </c>
      <c r="K60" s="58" t="n"/>
    </row>
    <row r="61" ht="15" customHeight="1" s="84">
      <c r="A61" s="62" t="inlineStr">
        <is>
          <t>2024-02</t>
        </is>
      </c>
      <c r="B61" s="63" t="n">
        <v>50000</v>
      </c>
      <c r="C61" s="63" t="n">
        <v>2178</v>
      </c>
      <c r="D61" s="63" t="n"/>
      <c r="E61" s="63" t="n">
        <v>520000</v>
      </c>
      <c r="F61" s="63" t="n"/>
      <c r="G61" s="63" t="n"/>
      <c r="H61" s="63" t="n">
        <v>454375</v>
      </c>
      <c r="I61" s="63" t="n">
        <v>2254375</v>
      </c>
      <c r="J61" s="63" t="n">
        <v>1800000</v>
      </c>
      <c r="K61" s="52" t="inlineStr">
        <is>
          <t>🔴 主鋼索更換</t>
        </is>
      </c>
    </row>
    <row r="62" ht="15" customHeight="1" s="84">
      <c r="A62" s="56" t="inlineStr">
        <is>
          <t>2024-03</t>
        </is>
      </c>
      <c r="B62" s="57" t="n">
        <v>100000</v>
      </c>
      <c r="C62" s="57" t="n">
        <v>2217</v>
      </c>
      <c r="D62" s="57" t="n"/>
      <c r="E62" s="57" t="n"/>
      <c r="F62" s="57" t="n"/>
      <c r="G62" s="57" t="n"/>
      <c r="H62" s="57" t="n">
        <v>506592</v>
      </c>
      <c r="I62" s="57" t="n">
        <v>2306592</v>
      </c>
      <c r="J62" s="57" t="n">
        <v>1800000</v>
      </c>
      <c r="K62" s="58" t="n"/>
    </row>
    <row r="63" ht="15" customHeight="1" s="84">
      <c r="A63" s="56" t="inlineStr">
        <is>
          <t>2024-04</t>
        </is>
      </c>
      <c r="B63" s="57" t="n">
        <v>50000</v>
      </c>
      <c r="C63" s="57" t="n">
        <v>2370</v>
      </c>
      <c r="D63" s="57" t="n"/>
      <c r="E63" s="57" t="n"/>
      <c r="F63" s="57" t="n"/>
      <c r="G63" s="57" t="n"/>
      <c r="H63" s="57" t="n">
        <v>558962</v>
      </c>
      <c r="I63" s="57" t="n">
        <v>2358962</v>
      </c>
      <c r="J63" s="57" t="n">
        <v>1800000</v>
      </c>
      <c r="K63" s="58" t="n"/>
    </row>
    <row r="64" ht="15" customHeight="1" s="84">
      <c r="A64" s="56" t="inlineStr">
        <is>
          <t>2024-05</t>
        </is>
      </c>
      <c r="B64" s="57" t="n">
        <v>50000</v>
      </c>
      <c r="C64" s="57" t="n">
        <v>2293</v>
      </c>
      <c r="D64" s="57" t="n"/>
      <c r="E64" s="57" t="n"/>
      <c r="F64" s="57" t="n"/>
      <c r="G64" s="57" t="n"/>
      <c r="H64" s="57" t="n">
        <v>611255</v>
      </c>
      <c r="I64" s="57" t="n">
        <v>2411255</v>
      </c>
      <c r="J64" s="57" t="n">
        <v>1800000</v>
      </c>
      <c r="K64" s="58" t="n"/>
    </row>
    <row r="65" ht="15" customHeight="1" s="84">
      <c r="A65" s="56" t="inlineStr">
        <is>
          <t>2024-06</t>
        </is>
      </c>
      <c r="B65" s="57" t="n">
        <v>50000</v>
      </c>
      <c r="C65" s="57" t="n">
        <v>4293</v>
      </c>
      <c r="D65" s="57" t="n"/>
      <c r="E65" s="57" t="n"/>
      <c r="F65" s="57" t="n"/>
      <c r="G65" s="57" t="n"/>
      <c r="H65" s="57" t="n">
        <v>665548</v>
      </c>
      <c r="I65" s="57" t="n">
        <v>2465548</v>
      </c>
      <c r="J65" s="57" t="n">
        <v>1800000</v>
      </c>
      <c r="K65" s="58" t="n"/>
    </row>
    <row r="66" ht="15" customHeight="1" s="84">
      <c r="A66" s="56" t="inlineStr">
        <is>
          <t>2024-07</t>
        </is>
      </c>
      <c r="B66" s="57" t="n">
        <v>50000</v>
      </c>
      <c r="C66" s="57" t="n">
        <v>2293</v>
      </c>
      <c r="D66" s="57" t="n"/>
      <c r="E66" s="57" t="n"/>
      <c r="F66" s="57" t="n"/>
      <c r="G66" s="57" t="n"/>
      <c r="H66" s="57" t="n">
        <v>717841</v>
      </c>
      <c r="I66" s="57" t="n">
        <v>2517841</v>
      </c>
      <c r="J66" s="57" t="n">
        <v>1800000</v>
      </c>
      <c r="K66" s="58" t="n"/>
    </row>
    <row r="67" ht="15" customHeight="1" s="84">
      <c r="A67" s="56" t="inlineStr">
        <is>
          <t>2024-08</t>
        </is>
      </c>
      <c r="B67" s="57" t="n">
        <v>50000</v>
      </c>
      <c r="C67" s="57" t="n">
        <v>2370</v>
      </c>
      <c r="D67" s="57" t="n"/>
      <c r="E67" s="57" t="n"/>
      <c r="F67" s="57" t="n"/>
      <c r="G67" s="57" t="n"/>
      <c r="H67" s="57" t="n">
        <v>770211</v>
      </c>
      <c r="I67" s="57" t="n">
        <v>2570211</v>
      </c>
      <c r="J67" s="57" t="n">
        <v>1800000</v>
      </c>
      <c r="K67" s="58" t="n"/>
    </row>
    <row r="68" ht="15" customHeight="1" s="84">
      <c r="A68" s="56" t="inlineStr">
        <is>
          <t>2024-09</t>
        </is>
      </c>
      <c r="B68" s="57" t="n">
        <v>50000</v>
      </c>
      <c r="C68" s="57" t="n">
        <v>2370</v>
      </c>
      <c r="D68" s="57" t="n"/>
      <c r="E68" s="57" t="n"/>
      <c r="F68" s="57" t="n"/>
      <c r="G68" s="57" t="n"/>
      <c r="H68" s="57" t="n">
        <v>822581</v>
      </c>
      <c r="I68" s="57" t="n">
        <v>2622581</v>
      </c>
      <c r="J68" s="57" t="n">
        <v>1800000</v>
      </c>
      <c r="K68" s="58" t="n"/>
    </row>
    <row r="69" ht="15" customHeight="1" s="84">
      <c r="A69" s="62" t="inlineStr">
        <is>
          <t>2024-10</t>
        </is>
      </c>
      <c r="B69" s="63" t="n">
        <v>50000</v>
      </c>
      <c r="C69" s="63" t="n">
        <v>2293</v>
      </c>
      <c r="D69" s="63" t="n"/>
      <c r="E69" s="63" t="n">
        <v>520000</v>
      </c>
      <c r="F69" s="63" t="n"/>
      <c r="G69" s="63" t="n"/>
      <c r="H69" s="63" t="n">
        <v>354874</v>
      </c>
      <c r="I69" s="63" t="n"/>
      <c r="J69" s="63" t="n"/>
      <c r="K69" s="52" t="inlineStr">
        <is>
          <t>🔴 主鋼索更換 整理檔缺漏月份</t>
        </is>
      </c>
    </row>
    <row r="70" ht="15" customHeight="1" s="84">
      <c r="A70" s="56" t="inlineStr">
        <is>
          <t>2024-11</t>
        </is>
      </c>
      <c r="B70" s="57" t="n"/>
      <c r="C70" s="57" t="n">
        <v>2370</v>
      </c>
      <c r="D70" s="57" t="n"/>
      <c r="E70" s="57" t="n"/>
      <c r="F70" s="57" t="n"/>
      <c r="G70" s="57" t="n"/>
      <c r="H70" s="57" t="n">
        <v>357244</v>
      </c>
      <c r="I70" s="57" t="n">
        <v>2209537</v>
      </c>
      <c r="J70" s="57" t="n">
        <v>1852293</v>
      </c>
      <c r="K70" s="58" t="n"/>
    </row>
    <row r="71" ht="15" customHeight="1" s="84">
      <c r="A71" s="56" t="inlineStr">
        <is>
          <t>2024-12</t>
        </is>
      </c>
      <c r="B71" s="57" t="n">
        <v>50000</v>
      </c>
      <c r="C71" s="57" t="n">
        <v>4359</v>
      </c>
      <c r="D71" s="57" t="n"/>
      <c r="E71" s="57" t="n"/>
      <c r="F71" s="57" t="n"/>
      <c r="G71" s="57" t="n"/>
      <c r="H71" s="57" t="n">
        <v>411603</v>
      </c>
      <c r="I71" s="57" t="n">
        <v>2213973</v>
      </c>
      <c r="J71" s="57" t="n">
        <v>1802370</v>
      </c>
      <c r="K71" s="58" t="n"/>
    </row>
    <row r="72" ht="15" customHeight="1" s="84">
      <c r="A72" s="56" t="inlineStr">
        <is>
          <t>2025-01</t>
        </is>
      </c>
      <c r="B72" s="57" t="n">
        <v>100000</v>
      </c>
      <c r="C72" s="57" t="n">
        <v>2370</v>
      </c>
      <c r="D72" s="57" t="n"/>
      <c r="E72" s="57" t="n"/>
      <c r="F72" s="57" t="n"/>
      <c r="G72" s="57" t="n"/>
      <c r="H72" s="57" t="n">
        <v>513973</v>
      </c>
      <c r="I72" s="57" t="n">
        <v>2313973</v>
      </c>
      <c r="J72" s="57" t="n">
        <v>1800000</v>
      </c>
      <c r="K72" s="58" t="n"/>
    </row>
    <row r="73" ht="15" customHeight="1" s="84">
      <c r="A73" s="56" t="inlineStr">
        <is>
          <t>2025-02</t>
        </is>
      </c>
      <c r="B73" s="57" t="n"/>
      <c r="C73" s="57" t="n">
        <v>2370</v>
      </c>
      <c r="D73" s="57" t="n"/>
      <c r="E73" s="57" t="n"/>
      <c r="F73" s="57" t="n"/>
      <c r="G73" s="57" t="n"/>
      <c r="H73" s="57" t="n">
        <v>516343</v>
      </c>
      <c r="I73" s="57" t="n">
        <v>2368656</v>
      </c>
      <c r="J73" s="57" t="n">
        <v>1852313</v>
      </c>
      <c r="K73" s="58" t="n"/>
    </row>
    <row r="74" ht="15" customHeight="1" s="84">
      <c r="A74" s="56" t="inlineStr">
        <is>
          <t>2025-03</t>
        </is>
      </c>
      <c r="B74" s="57" t="n">
        <v>50000</v>
      </c>
      <c r="C74" s="57" t="n">
        <v>2313</v>
      </c>
      <c r="D74" s="57" t="n"/>
      <c r="E74" s="57" t="n"/>
      <c r="F74" s="57" t="n"/>
      <c r="G74" s="57" t="n"/>
      <c r="H74" s="57" t="n">
        <v>568656</v>
      </c>
      <c r="I74" s="57" t="n"/>
      <c r="J74" s="57" t="n"/>
      <c r="K74" s="58" t="inlineStr">
        <is>
          <t>整理檔缺漏月份</t>
        </is>
      </c>
    </row>
    <row r="75" ht="15" customHeight="1" s="84">
      <c r="A75" s="56" t="inlineStr">
        <is>
          <t>2025-04</t>
        </is>
      </c>
      <c r="B75" s="57" t="n">
        <v>50000</v>
      </c>
      <c r="C75" s="57" t="n">
        <v>2561</v>
      </c>
      <c r="D75" s="57" t="n"/>
      <c r="E75" s="57" t="n"/>
      <c r="F75" s="57" t="n"/>
      <c r="G75" s="57" t="n"/>
      <c r="H75" s="57" t="n">
        <v>621217</v>
      </c>
      <c r="I75" s="57" t="n">
        <v>2421217</v>
      </c>
      <c r="J75" s="57" t="n">
        <v>1800000</v>
      </c>
      <c r="K75" s="58" t="n"/>
    </row>
    <row r="76" ht="15" customHeight="1" s="84">
      <c r="A76" s="62" t="inlineStr">
        <is>
          <t>2025-05</t>
        </is>
      </c>
      <c r="B76" s="63" t="n">
        <v>50000</v>
      </c>
      <c r="C76" s="63" t="n"/>
      <c r="D76" s="63" t="n">
        <v>1799331</v>
      </c>
      <c r="E76" s="63" t="n">
        <v>1560000</v>
      </c>
      <c r="F76" s="63" t="n"/>
      <c r="G76" s="63" t="n"/>
      <c r="H76" s="63" t="n">
        <v>910548</v>
      </c>
      <c r="I76" s="63" t="n">
        <v>910548</v>
      </c>
      <c r="J76" s="63" t="n">
        <v>0</v>
      </c>
      <c r="K76" s="52" t="inlineStr">
        <is>
          <t>🔴 主鋼索更換 ✅ 解定存</t>
        </is>
      </c>
    </row>
    <row r="77" ht="15" customHeight="1" s="84">
      <c r="A77" s="56" t="inlineStr">
        <is>
          <t>2025-06</t>
        </is>
      </c>
      <c r="B77" s="57" t="n"/>
      <c r="C77" s="57" t="n">
        <v>2049</v>
      </c>
      <c r="D77" s="57" t="n"/>
      <c r="E77" s="57" t="n"/>
      <c r="F77" s="57" t="n"/>
      <c r="G77" s="57" t="n"/>
      <c r="H77" s="57" t="n">
        <v>912597</v>
      </c>
      <c r="I77" s="57" t="n">
        <v>912597</v>
      </c>
      <c r="J77" s="57" t="n">
        <v>0</v>
      </c>
      <c r="K77" s="58" t="n"/>
    </row>
    <row r="78" ht="15" customHeight="1" s="84">
      <c r="A78" s="62" t="inlineStr">
        <is>
          <t>2025-07</t>
        </is>
      </c>
      <c r="B78" s="63" t="n">
        <v>200000</v>
      </c>
      <c r="C78" s="63" t="n"/>
      <c r="D78" s="63" t="n"/>
      <c r="E78" s="63" t="n">
        <v>520000</v>
      </c>
      <c r="F78" s="63" t="n"/>
      <c r="G78" s="63" t="n"/>
      <c r="H78" s="63" t="n">
        <v>592597</v>
      </c>
      <c r="I78" s="63" t="n">
        <v>912597</v>
      </c>
      <c r="J78" s="63" t="n">
        <v>320000</v>
      </c>
      <c r="K78" s="52" t="inlineStr">
        <is>
          <t>🔴 主鋼索更換</t>
        </is>
      </c>
    </row>
    <row r="79" ht="15" customHeight="1" s="84">
      <c r="A79" s="56" t="inlineStr">
        <is>
          <t>2025-08</t>
        </is>
      </c>
      <c r="B79" s="57" t="n">
        <v>100000</v>
      </c>
      <c r="C79" s="57" t="n"/>
      <c r="D79" s="57" t="n"/>
      <c r="E79" s="57" t="n"/>
      <c r="F79" s="57" t="n"/>
      <c r="G79" s="57" t="n">
        <v>-50000</v>
      </c>
      <c r="H79" s="57" t="n">
        <v>642597</v>
      </c>
      <c r="I79" s="57" t="n"/>
      <c r="J79" s="57" t="n"/>
      <c r="K79" s="58" t="inlineStr">
        <is>
          <t>整理檔缺漏月份</t>
        </is>
      </c>
    </row>
    <row r="80" ht="15" customHeight="1" s="84">
      <c r="A80" s="56" t="inlineStr">
        <is>
          <t>2025-09</t>
        </is>
      </c>
      <c r="B80" s="57" t="n">
        <v>100000</v>
      </c>
      <c r="C80" s="57" t="n"/>
      <c r="D80" s="57" t="n"/>
      <c r="E80" s="57" t="n"/>
      <c r="F80" s="57" t="n"/>
      <c r="G80" s="57" t="n"/>
      <c r="H80" s="57" t="n">
        <v>742597</v>
      </c>
      <c r="I80" s="57" t="n"/>
      <c r="J80" s="57" t="n"/>
      <c r="K80" s="58" t="inlineStr">
        <is>
          <t>整理檔缺漏月份</t>
        </is>
      </c>
    </row>
    <row r="81" ht="15" customHeight="1" s="84">
      <c r="A81" s="56" t="inlineStr">
        <is>
          <t>2025-10</t>
        </is>
      </c>
      <c r="B81" s="57" t="n">
        <v>100000</v>
      </c>
      <c r="C81" s="57" t="n"/>
      <c r="D81" s="57" t="n"/>
      <c r="E81" s="57" t="n"/>
      <c r="F81" s="57" t="n"/>
      <c r="G81" s="57" t="n"/>
      <c r="H81" s="57" t="n">
        <v>842597</v>
      </c>
      <c r="I81" s="57" t="n"/>
      <c r="J81" s="57" t="n"/>
      <c r="K81" s="58" t="inlineStr">
        <is>
          <t>整理檔缺漏月份</t>
        </is>
      </c>
    </row>
    <row r="82" ht="15" customHeight="1" s="84">
      <c r="A82" s="56" t="inlineStr">
        <is>
          <t>2025-11</t>
        </is>
      </c>
      <c r="B82" s="57" t="n">
        <v>100000</v>
      </c>
      <c r="C82" s="57" t="n"/>
      <c r="D82" s="57" t="n"/>
      <c r="E82" s="57" t="n"/>
      <c r="F82" s="57" t="n"/>
      <c r="G82" s="57" t="n"/>
      <c r="H82" s="57" t="n">
        <v>942597</v>
      </c>
      <c r="I82" s="57" t="n"/>
      <c r="J82" s="57" t="n"/>
      <c r="K82" s="58" t="inlineStr">
        <is>
          <t>整理檔缺漏月份</t>
        </is>
      </c>
    </row>
    <row r="83" ht="15" customHeight="1" s="84">
      <c r="A83" s="56" t="inlineStr">
        <is>
          <t>2025-12</t>
        </is>
      </c>
      <c r="B83" s="57" t="n">
        <v>100000</v>
      </c>
      <c r="C83" s="57" t="n">
        <v>2654</v>
      </c>
      <c r="D83" s="57" t="n"/>
      <c r="E83" s="57" t="n"/>
      <c r="F83" s="57" t="n"/>
      <c r="G83" s="57" t="n"/>
      <c r="H83" s="57" t="n">
        <v>1045251</v>
      </c>
      <c r="I83" s="57" t="n"/>
      <c r="J83" s="57" t="n"/>
      <c r="K83" s="58" t="inlineStr">
        <is>
          <t>整理檔缺漏月份</t>
        </is>
      </c>
    </row>
    <row r="84" ht="15" customHeight="1" s="84">
      <c r="A84" s="56" t="inlineStr">
        <is>
          <t>2026-01</t>
        </is>
      </c>
      <c r="B84" s="57" t="n">
        <v>100000</v>
      </c>
      <c r="C84" s="57" t="n"/>
      <c r="D84" s="57" t="n"/>
      <c r="E84" s="57" t="n"/>
      <c r="F84" s="57" t="n"/>
      <c r="G84" s="57" t="n"/>
      <c r="H84" s="57" t="n">
        <v>1145251</v>
      </c>
      <c r="I84" s="57" t="n"/>
      <c r="J84" s="57" t="n"/>
      <c r="K84" s="58" t="inlineStr">
        <is>
          <t>整理檔缺漏月份</t>
        </is>
      </c>
    </row>
    <row r="85" ht="15" customHeight="1" s="84">
      <c r="A85" s="56" t="inlineStr">
        <is>
          <t>2026-02</t>
        </is>
      </c>
      <c r="B85" s="57" t="n">
        <v>100000</v>
      </c>
      <c r="C85" s="57" t="n"/>
      <c r="D85" s="57" t="n"/>
      <c r="E85" s="57" t="n"/>
      <c r="F85" s="57" t="n"/>
      <c r="G85" s="57" t="n"/>
      <c r="H85" s="57" t="n">
        <v>1245251</v>
      </c>
      <c r="I85" s="57" t="n"/>
      <c r="J85" s="57" t="n"/>
      <c r="K85" s="58" t="inlineStr">
        <is>
          <t>整理檔缺漏月份</t>
        </is>
      </c>
    </row>
    <row r="86" ht="15" customHeight="1" s="84">
      <c r="A86" s="56" t="inlineStr">
        <is>
          <t>2026-03</t>
        </is>
      </c>
      <c r="B86" s="57" t="n">
        <v>100000</v>
      </c>
      <c r="C86" s="57" t="n"/>
      <c r="D86" s="57" t="n"/>
      <c r="E86" s="57" t="n"/>
      <c r="F86" s="57" t="n"/>
      <c r="G86" s="57" t="n"/>
      <c r="H86" s="57" t="n">
        <v>1345251</v>
      </c>
      <c r="I86" s="57" t="n"/>
      <c r="J86" s="57" t="n"/>
      <c r="K86" s="58" t="inlineStr">
        <is>
          <t>整理檔缺漏月份</t>
        </is>
      </c>
    </row>
    <row r="87" ht="15" customHeight="1" s="84">
      <c r="A87" s="71" t="inlineStr">
        <is>
          <t>全期合計</t>
        </is>
      </c>
      <c r="B87" s="72" t="n">
        <v>4650000</v>
      </c>
      <c r="C87" s="72" t="n">
        <v>121470</v>
      </c>
      <c r="D87" s="72" t="n">
        <v>1799331</v>
      </c>
      <c r="E87" s="72" t="n">
        <v>4725550</v>
      </c>
      <c r="F87" s="72" t="n">
        <v>1800000</v>
      </c>
      <c r="G87" s="72" t="n">
        <v>1300000</v>
      </c>
      <c r="H87" s="72" t="n"/>
      <c r="I87" s="72" t="n"/>
      <c r="J87" s="72" t="n"/>
      <c r="K87" s="71" t="n"/>
    </row>
  </sheetData>
  <mergeCells count="3">
    <mergeCell ref="H1:K1"/>
    <mergeCell ref="B1:D1"/>
    <mergeCell ref="E1:G1"/>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E76"/>
  <sheetViews>
    <sheetView tabSelected="1" zoomScaleNormal="100" workbookViewId="0">
      <pane ySplit="18" topLeftCell="A19" activePane="bottomLeft" state="frozen"/>
      <selection pane="bottomLeft" activeCell="E31" sqref="E31"/>
    </sheetView>
  </sheetViews>
  <sheetFormatPr baseColWidth="10" defaultColWidth="7.83203125" defaultRowHeight="17"/>
  <cols>
    <col width="12.6640625" customWidth="1" style="84" min="1" max="1"/>
    <col width="16.33203125" customWidth="1" style="84" min="2" max="2"/>
    <col width="18.1640625" customWidth="1" style="84" min="3" max="3"/>
    <col width="54.6640625" customWidth="1" style="84" min="4" max="4"/>
    <col width="36.33203125" customWidth="1" style="84" min="5" max="5"/>
  </cols>
  <sheetData>
    <row r="1" ht="17.25" customHeight="1" s="84">
      <c r="A1" s="73" t="inlineStr">
        <is>
          <t>議案彙整 — 游泳池</t>
        </is>
      </c>
    </row>
    <row r="2" ht="15" customHeight="1" s="84">
      <c r="A2" s="74" t="inlineStr">
        <is>
          <t>泳池機房保養 + 設備修繕 + 周邊用品 (含分項抽出，避免高估)</t>
        </is>
      </c>
    </row>
    <row r="4" ht="15" customHeight="1" s="84">
      <c r="A4" s="1" t="inlineStr">
        <is>
          <t>─── 統計 ───</t>
        </is>
      </c>
    </row>
    <row r="5" ht="16.5" customHeight="1" s="84">
      <c r="A5" t="inlineStr">
        <is>
          <t>合計金額 (NT$)</t>
        </is>
      </c>
      <c r="B5" s="75" t="n">
        <v>698790</v>
      </c>
    </row>
    <row r="6" ht="15" customHeight="1" s="84">
      <c r="A6" t="inlineStr">
        <is>
          <t>筆數</t>
        </is>
      </c>
      <c r="B6" t="n">
        <v>44</v>
      </c>
    </row>
    <row r="7" ht="15" customHeight="1" s="84">
      <c r="A7" t="inlineStr">
        <is>
          <t>期間</t>
        </is>
      </c>
      <c r="B7" s="36" t="inlineStr">
        <is>
          <t>2021-01 ~ 2025-12</t>
        </is>
      </c>
    </row>
    <row r="9" ht="15" customHeight="1" s="84">
      <c r="A9" s="1" t="inlineStr">
        <is>
          <t>─── 各年度 ───</t>
        </is>
      </c>
    </row>
    <row r="10" ht="16.5" customHeight="1" s="84">
      <c r="A10" s="76" t="inlineStr">
        <is>
          <t>年度</t>
        </is>
      </c>
      <c r="B10" s="76" t="inlineStr">
        <is>
          <t>泳池支出 (NT$)</t>
        </is>
      </c>
    </row>
    <row r="11" ht="16.5" customHeight="1" s="84">
      <c r="A11" s="36" t="inlineStr">
        <is>
          <t>2021 年</t>
        </is>
      </c>
      <c r="B11" s="77" t="n">
        <v>74700</v>
      </c>
    </row>
    <row r="12" ht="16.5" customHeight="1" s="84">
      <c r="A12" s="36" t="inlineStr">
        <is>
          <t>2022 年</t>
        </is>
      </c>
      <c r="B12" s="77" t="n">
        <v>21000</v>
      </c>
    </row>
    <row r="13" ht="16.5" customHeight="1" s="84">
      <c r="A13" s="36" t="inlineStr">
        <is>
          <t>2023 年</t>
        </is>
      </c>
      <c r="B13" s="77" t="n">
        <v>161730</v>
      </c>
    </row>
    <row r="14" ht="16.5" customHeight="1" s="84">
      <c r="A14" s="36" t="inlineStr">
        <is>
          <t>2024 年</t>
        </is>
      </c>
      <c r="B14" s="77" t="n">
        <v>193460</v>
      </c>
    </row>
    <row r="15" ht="16.5" customHeight="1" s="84">
      <c r="A15" s="36" t="inlineStr">
        <is>
          <t>2025 年</t>
        </is>
      </c>
      <c r="B15" s="77" t="n">
        <v>247900</v>
      </c>
    </row>
    <row r="17" ht="16.5" customHeight="1" s="84">
      <c r="A17" s="1" t="inlineStr">
        <is>
          <t>─── 明細 (每筆顯示原始全額 + 抽出後 pool-only 金額) ───</t>
        </is>
      </c>
    </row>
    <row r="18" ht="16.5" customHeight="1" s="84">
      <c r="A18" s="76" t="inlineStr">
        <is>
          <t>月份</t>
        </is>
      </c>
      <c r="B18" s="76" t="inlineStr">
        <is>
          <t>原始全額 (NT$)</t>
        </is>
      </c>
      <c r="C18" s="78" t="inlineStr">
        <is>
          <t>Pool-only (NT$)</t>
        </is>
      </c>
      <c r="D18" s="76" t="inlineStr">
        <is>
          <t>工程項目</t>
        </is>
      </c>
      <c r="E18" s="76" t="inlineStr">
        <is>
          <t>備註</t>
        </is>
      </c>
    </row>
    <row r="19" ht="16.5" customHeight="1" s="84">
      <c r="A19" s="36" t="inlineStr">
        <is>
          <t>2021-01</t>
        </is>
      </c>
      <c r="B19" s="77" t="n">
        <v>3000</v>
      </c>
      <c r="C19" s="77" t="n">
        <v>3000</v>
      </c>
      <c r="D19" t="inlineStr">
        <is>
          <t>侑昇-泳池機房保養(109/12)</t>
        </is>
      </c>
      <c r="E19" t="inlineStr">
        <is>
          <t>機房保養 100%</t>
        </is>
      </c>
    </row>
    <row r="20" ht="16.5" customHeight="1" s="84">
      <c r="A20" s="36" t="inlineStr">
        <is>
          <t>2021-02</t>
        </is>
      </c>
      <c r="B20" s="77" t="n">
        <v>3000</v>
      </c>
      <c r="C20" s="77" t="n">
        <v>3000</v>
      </c>
      <c r="D20" t="inlineStr">
        <is>
          <t>侑昇-泳池機房保養(110/02)</t>
        </is>
      </c>
      <c r="E20" t="inlineStr">
        <is>
          <t>機房保養</t>
        </is>
      </c>
    </row>
    <row r="21" ht="16.5" customHeight="1" s="84">
      <c r="A21" s="36" t="inlineStr">
        <is>
          <t>2021-02</t>
        </is>
      </c>
      <c r="B21" s="77" t="n">
        <v>3000</v>
      </c>
      <c r="C21" s="77" t="n">
        <v>3000</v>
      </c>
      <c r="D21" t="inlineStr">
        <is>
          <t>侑昇-泳池機房保養(110/01)</t>
        </is>
      </c>
      <c r="E21" t="inlineStr">
        <is>
          <t>機房保養 (1+2月補繳)</t>
        </is>
      </c>
    </row>
    <row r="22" ht="16.5" customHeight="1" s="84">
      <c r="A22" s="36" t="inlineStr">
        <is>
          <t>2021-03</t>
        </is>
      </c>
      <c r="B22" s="77" t="n">
        <v>3000</v>
      </c>
      <c r="C22" s="77" t="n">
        <v>3000</v>
      </c>
      <c r="D22" t="inlineStr">
        <is>
          <t>侑昇-泳池機房保養(110/03)</t>
        </is>
      </c>
      <c r="E22" t="inlineStr">
        <is>
          <t>機房保養</t>
        </is>
      </c>
    </row>
    <row r="23" ht="16.5" customHeight="1" s="84">
      <c r="A23" s="36" t="inlineStr">
        <is>
          <t>2021-04</t>
        </is>
      </c>
      <c r="B23" s="77" t="n">
        <v>3000</v>
      </c>
      <c r="C23" s="77" t="n">
        <v>3000</v>
      </c>
      <c r="D23" t="inlineStr">
        <is>
          <t>侑昇-泳池機房保養(110/04)</t>
        </is>
      </c>
      <c r="E23" t="inlineStr">
        <is>
          <t>機房保養</t>
        </is>
      </c>
    </row>
    <row r="24" ht="16.5" customHeight="1" s="84">
      <c r="A24" s="36" t="inlineStr">
        <is>
          <t>2021-05</t>
        </is>
      </c>
      <c r="B24" s="77" t="n">
        <v>0</v>
      </c>
      <c r="C24" s="77" t="n">
        <v>0</v>
      </c>
      <c r="D24" t="inlineStr">
        <is>
          <t>侑昇-泳池機房保養(110/05)</t>
        </is>
      </c>
      <c r="E24" t="inlineStr">
        <is>
          <t>排水閥故障未保養</t>
        </is>
      </c>
    </row>
    <row r="25" ht="16.5" customHeight="1" s="84">
      <c r="A25" s="36" t="inlineStr">
        <is>
          <t>2021-06</t>
        </is>
      </c>
      <c r="B25" s="77" t="n">
        <v>0</v>
      </c>
      <c r="C25" s="77" t="n">
        <v>0</v>
      </c>
      <c r="D25" t="inlineStr">
        <is>
          <t>侑昇-泳池機房保養(110/06)</t>
        </is>
      </c>
      <c r="E25" t="inlineStr">
        <is>
          <t>合約7月開始</t>
        </is>
      </c>
    </row>
    <row r="26" ht="16.5" customHeight="1" s="84">
      <c r="A26" s="36" t="inlineStr">
        <is>
          <t>2021-07</t>
        </is>
      </c>
      <c r="B26" s="77" t="n">
        <v>3500</v>
      </c>
      <c r="C26" s="77" t="n">
        <v>3500</v>
      </c>
      <c r="D26" t="inlineStr">
        <is>
          <t>侑昇-泳池機房保養(110/07)</t>
        </is>
      </c>
      <c r="E26" t="inlineStr">
        <is>
          <t>機房保養 (新合約3,500/月)</t>
        </is>
      </c>
    </row>
    <row r="27" ht="16.5" customHeight="1" s="84">
      <c r="A27" s="79" t="inlineStr">
        <is>
          <t>2021-07</t>
        </is>
      </c>
      <c r="B27" s="80" t="n">
        <v>70900</v>
      </c>
      <c r="C27" s="80" t="n">
        <v>36050</v>
      </c>
      <c r="D27" s="81" t="inlineStr">
        <is>
          <t>鑫禾機電 …泳池設備修繕$36,050…</t>
        </is>
      </c>
      <c r="E27" s="81" t="inlineStr">
        <is>
          <t>只計 泳池設備修繕 $36,050</t>
        </is>
      </c>
    </row>
    <row r="28" ht="16.5" customHeight="1" s="84">
      <c r="A28" s="36" t="inlineStr">
        <is>
          <t>2021-08</t>
        </is>
      </c>
      <c r="B28" s="77" t="n">
        <v>3500</v>
      </c>
      <c r="C28" s="77" t="n">
        <v>3500</v>
      </c>
      <c r="D28" t="inlineStr">
        <is>
          <t>侑昇-泳池機房保養(110/08)</t>
        </is>
      </c>
      <c r="E28" t="inlineStr">
        <is>
          <t>機房保養</t>
        </is>
      </c>
    </row>
    <row r="29" ht="16.5" customHeight="1" s="84">
      <c r="A29" s="36" t="inlineStr">
        <is>
          <t>2021-09</t>
        </is>
      </c>
      <c r="B29" s="77" t="n">
        <v>3500</v>
      </c>
      <c r="C29" s="77" t="n">
        <v>3500</v>
      </c>
      <c r="D29" t="inlineStr">
        <is>
          <t>侑昇-泳池機房保養(110/09)</t>
        </is>
      </c>
      <c r="E29" t="inlineStr">
        <is>
          <t>機房保養</t>
        </is>
      </c>
    </row>
    <row r="30" ht="16.5" customHeight="1" s="84">
      <c r="A30" s="36" t="inlineStr">
        <is>
          <t>2021-10</t>
        </is>
      </c>
      <c r="B30" s="77" t="n">
        <v>3500</v>
      </c>
      <c r="C30" s="77" t="n">
        <v>3500</v>
      </c>
      <c r="D30" t="inlineStr">
        <is>
          <t>侑昇-泳池機房保養(110/10)</t>
        </is>
      </c>
      <c r="E30" t="inlineStr">
        <is>
          <t>機房保養</t>
        </is>
      </c>
    </row>
    <row r="31" ht="16.5" customHeight="1" s="84">
      <c r="A31" s="36" t="inlineStr">
        <is>
          <t>2021-11</t>
        </is>
      </c>
      <c r="B31" s="77" t="n">
        <v>3500</v>
      </c>
      <c r="C31" s="77" t="n">
        <v>3500</v>
      </c>
      <c r="D31" t="inlineStr">
        <is>
          <t>侑昇-泳池機房保養(110/11)</t>
        </is>
      </c>
      <c r="E31" t="inlineStr">
        <is>
          <t>機房保養</t>
        </is>
      </c>
    </row>
    <row r="32" ht="16.5" customHeight="1" s="84">
      <c r="A32" s="36" t="inlineStr">
        <is>
          <t>2021-12</t>
        </is>
      </c>
      <c r="B32" s="77" t="n">
        <v>3500</v>
      </c>
      <c r="C32" s="77" t="n">
        <v>3500</v>
      </c>
      <c r="D32" t="inlineStr">
        <is>
          <t>侑昇-泳池機房保養(110/12)</t>
        </is>
      </c>
      <c r="E32" t="inlineStr">
        <is>
          <t>機房保養</t>
        </is>
      </c>
    </row>
    <row r="33" ht="16.5" customHeight="1" s="84">
      <c r="A33" s="79" t="inlineStr">
        <is>
          <t>2021-12</t>
        </is>
      </c>
      <c r="B33" s="80" t="n">
        <v>41050</v>
      </c>
      <c r="C33" s="80" t="n">
        <v>2650</v>
      </c>
      <c r="D33" s="81" t="inlineStr">
        <is>
          <t>鑫禾機電 …補水電磁閥(泳池)$2,650…</t>
        </is>
      </c>
      <c r="E33" s="81" t="inlineStr">
        <is>
          <t>只計 補水電磁閥 $2,650</t>
        </is>
      </c>
    </row>
    <row r="34" ht="16.5" customHeight="1" s="84">
      <c r="A34" s="36" t="inlineStr">
        <is>
          <t>2022-01</t>
        </is>
      </c>
      <c r="B34" s="77" t="n">
        <v>3500</v>
      </c>
      <c r="C34" s="77" t="n">
        <v>3500</v>
      </c>
      <c r="D34" t="inlineStr">
        <is>
          <t>侑昇-泳池機房保養(111/01)</t>
        </is>
      </c>
      <c r="E34" t="inlineStr">
        <is>
          <t>機房保養</t>
        </is>
      </c>
    </row>
    <row r="35" ht="16.5" customHeight="1" s="84">
      <c r="A35" s="36" t="inlineStr">
        <is>
          <t>2022-02</t>
        </is>
      </c>
      <c r="B35" s="77" t="n">
        <v>3500</v>
      </c>
      <c r="C35" s="77" t="n">
        <v>3500</v>
      </c>
      <c r="D35" t="inlineStr">
        <is>
          <t>侑昇-泳池機房保養(111/02)</t>
        </is>
      </c>
      <c r="E35" t="inlineStr">
        <is>
          <t>機房保養</t>
        </is>
      </c>
    </row>
    <row r="36" ht="16.5" customHeight="1" s="84">
      <c r="A36" s="36" t="inlineStr">
        <is>
          <t>2022-03</t>
        </is>
      </c>
      <c r="B36" s="77" t="n">
        <v>3500</v>
      </c>
      <c r="C36" s="77" t="n">
        <v>3500</v>
      </c>
      <c r="D36" t="inlineStr">
        <is>
          <t>侑昇-泳池機房保養(111/03)</t>
        </is>
      </c>
      <c r="E36" t="inlineStr">
        <is>
          <t>機房保養</t>
        </is>
      </c>
    </row>
    <row r="37" ht="16.5" customHeight="1" s="84">
      <c r="A37" s="36" t="inlineStr">
        <is>
          <t>2022-04</t>
        </is>
      </c>
      <c r="B37" s="77" t="n">
        <v>3500</v>
      </c>
      <c r="C37" s="77" t="n">
        <v>3500</v>
      </c>
      <c r="D37" t="inlineStr">
        <is>
          <t>侑昇-泳池機房保養(111/04)</t>
        </is>
      </c>
      <c r="E37" t="inlineStr">
        <is>
          <t>機房保養</t>
        </is>
      </c>
    </row>
    <row r="38" ht="16.5" customHeight="1" s="84">
      <c r="A38" s="36" t="inlineStr">
        <is>
          <t>2022-05</t>
        </is>
      </c>
      <c r="B38" s="77" t="n">
        <v>3500</v>
      </c>
      <c r="C38" s="77" t="n">
        <v>3500</v>
      </c>
      <c r="D38" t="inlineStr">
        <is>
          <t>侑昇-泳池機房保養(111/05)</t>
        </is>
      </c>
      <c r="E38" t="inlineStr">
        <is>
          <t>機房保養</t>
        </is>
      </c>
    </row>
    <row r="39" ht="16.5" customHeight="1" s="84">
      <c r="A39" s="36" t="inlineStr">
        <is>
          <t>2022-06</t>
        </is>
      </c>
      <c r="B39" s="77" t="n">
        <v>3500</v>
      </c>
      <c r="C39" s="77" t="n">
        <v>3500</v>
      </c>
      <c r="D39" t="inlineStr">
        <is>
          <t>侑昇-泳池機房保養(111/06)</t>
        </is>
      </c>
      <c r="E39" t="inlineStr">
        <is>
          <t>機房保養 (僅 2022 上半年資料)</t>
        </is>
      </c>
    </row>
    <row r="40" ht="16.5" customHeight="1" s="84">
      <c r="A40" s="36" t="inlineStr">
        <is>
          <t>2023-05</t>
        </is>
      </c>
      <c r="B40" s="77" t="n">
        <v>2270</v>
      </c>
      <c r="C40" s="77" t="n">
        <v>2270</v>
      </c>
      <c r="D40" t="inlineStr">
        <is>
          <t>采縈-泳池遮陽傘</t>
        </is>
      </c>
      <c r="E40" t="inlineStr">
        <is>
          <t>遮陽傘 100%</t>
        </is>
      </c>
    </row>
    <row r="41" ht="16.5" customHeight="1" s="84">
      <c r="A41" s="36" t="inlineStr">
        <is>
          <t>2023-08</t>
        </is>
      </c>
      <c r="B41" s="77" t="n">
        <v>22500</v>
      </c>
      <c r="C41" s="77" t="n">
        <v>22500</v>
      </c>
      <c r="D41" t="inlineStr">
        <is>
          <t>宜力亞 (6+7+8月泳池保養)</t>
        </is>
      </c>
      <c r="E41" t="inlineStr">
        <is>
          <t>保養費 6/7/8月一次入帳</t>
        </is>
      </c>
    </row>
    <row r="42" ht="16.5" customHeight="1" s="84">
      <c r="A42" s="36" t="inlineStr">
        <is>
          <t>2023-08</t>
        </is>
      </c>
      <c r="B42" s="77" t="n">
        <v>120960</v>
      </c>
      <c r="C42" s="77" t="n">
        <v>120960</v>
      </c>
      <c r="D42" t="inlineStr">
        <is>
          <t>宜力亞 6/7/8月救生員</t>
        </is>
      </c>
      <c r="E42" t="inlineStr">
        <is>
          <t>救生員人事費 100%</t>
        </is>
      </c>
    </row>
    <row r="43" ht="16.5" customHeight="1" s="84">
      <c r="A43" s="36" t="inlineStr">
        <is>
          <t>2023-10</t>
        </is>
      </c>
      <c r="B43" s="77" t="n">
        <v>4000</v>
      </c>
      <c r="C43" s="77" t="n">
        <v>4000</v>
      </c>
      <c r="D43" t="inlineStr">
        <is>
          <t>宜力亞 9月泳池保養</t>
        </is>
      </c>
      <c r="E43" t="inlineStr">
        <is>
          <t>保養費</t>
        </is>
      </c>
    </row>
    <row r="44" ht="16.5" customHeight="1" s="84">
      <c r="A44" s="36" t="inlineStr">
        <is>
          <t>2023-11</t>
        </is>
      </c>
      <c r="B44" s="77" t="n">
        <v>8000</v>
      </c>
      <c r="C44" s="77" t="n">
        <v>8000</v>
      </c>
      <c r="D44" t="inlineStr">
        <is>
          <t>宜力亞 (10+11月泳池保養)</t>
        </is>
      </c>
      <c r="E44" t="inlineStr">
        <is>
          <t>保養費</t>
        </is>
      </c>
    </row>
    <row r="45" ht="16.5" customHeight="1" s="84">
      <c r="A45" s="36" t="inlineStr">
        <is>
          <t>2023-12</t>
        </is>
      </c>
      <c r="B45" s="77" t="n">
        <v>4000</v>
      </c>
      <c r="C45" s="77" t="n">
        <v>4000</v>
      </c>
      <c r="D45" t="inlineStr">
        <is>
          <t>宜力亞 12月泳池保養</t>
        </is>
      </c>
      <c r="E45" t="inlineStr">
        <is>
          <t>保養費</t>
        </is>
      </c>
    </row>
    <row r="46" ht="16.5" customHeight="1" s="84">
      <c r="A46" s="79" t="inlineStr">
        <is>
          <t>2024-01</t>
        </is>
      </c>
      <c r="B46" s="80" t="n">
        <v>4000</v>
      </c>
      <c r="C46" s="80" t="n">
        <v>4000</v>
      </c>
      <c r="D46" s="81" t="inlineStr">
        <is>
          <t>宜力亞 113/01 泳池保養</t>
        </is>
      </c>
      <c r="E46" s="81" t="inlineStr">
        <is>
          <t>保養費</t>
        </is>
      </c>
    </row>
    <row r="47" ht="16.5" customHeight="1" s="84">
      <c r="A47" s="36" t="inlineStr">
        <is>
          <t>2024-01</t>
        </is>
      </c>
      <c r="B47" s="77" t="n">
        <v>4200</v>
      </c>
      <c r="C47" s="77" t="n">
        <v>1200</v>
      </c>
      <c r="D47" t="inlineStr">
        <is>
          <t>興邦行水電 …泳池男更衣室鉸鍊$1,200…</t>
        </is>
      </c>
      <c r="E47" t="inlineStr">
        <is>
          <t>只計 男更衣室鉸鍊 $1,200</t>
        </is>
      </c>
    </row>
    <row r="48" ht="16.5" customHeight="1" s="84">
      <c r="A48" s="36" t="inlineStr">
        <is>
          <t>2024-02</t>
        </is>
      </c>
      <c r="B48" s="77" t="n">
        <v>4000</v>
      </c>
      <c r="C48" s="77" t="n">
        <v>4000</v>
      </c>
      <c r="D48" t="inlineStr">
        <is>
          <t>宜力亞 113/02 泳池保養</t>
        </is>
      </c>
      <c r="E48" t="inlineStr">
        <is>
          <t>保養費</t>
        </is>
      </c>
    </row>
    <row r="49" ht="16.5" customHeight="1" s="84">
      <c r="A49" s="36" t="inlineStr">
        <is>
          <t>2024-03</t>
        </is>
      </c>
      <c r="B49" s="77" t="n">
        <v>4000</v>
      </c>
      <c r="C49" s="77" t="n">
        <v>4000</v>
      </c>
      <c r="D49" t="inlineStr">
        <is>
          <t>宜力亞 113/03 泳池保養</t>
        </is>
      </c>
      <c r="E49" t="inlineStr">
        <is>
          <t>保養費</t>
        </is>
      </c>
    </row>
    <row r="50" ht="16.5" customHeight="1" s="84">
      <c r="A50" s="36" t="inlineStr">
        <is>
          <t>2024-04</t>
        </is>
      </c>
      <c r="B50" s="77" t="n">
        <v>4000</v>
      </c>
      <c r="C50" s="77" t="n">
        <v>4000</v>
      </c>
      <c r="D50" t="inlineStr">
        <is>
          <t>宜力亞 113/04 泳池保養</t>
        </is>
      </c>
      <c r="E50" t="inlineStr">
        <is>
          <t>保養費</t>
        </is>
      </c>
    </row>
    <row r="51" ht="16.5" customHeight="1" s="84">
      <c r="A51" s="36" t="inlineStr">
        <is>
          <t>2024-05</t>
        </is>
      </c>
      <c r="B51" s="77" t="n">
        <v>4000</v>
      </c>
      <c r="C51" s="77" t="n">
        <v>4000</v>
      </c>
      <c r="D51" t="inlineStr">
        <is>
          <t>宜力亞 113/05 泳池保養</t>
        </is>
      </c>
      <c r="E51" t="inlineStr">
        <is>
          <t>保養費</t>
        </is>
      </c>
    </row>
    <row r="52" ht="16.5" customHeight="1" s="84">
      <c r="A52" s="36" t="inlineStr">
        <is>
          <t>2024-06</t>
        </is>
      </c>
      <c r="B52" s="77" t="n">
        <v>0</v>
      </c>
      <c r="C52" s="77" t="n">
        <v>0</v>
      </c>
      <c r="D52" t="inlineStr">
        <is>
          <t>宜力亞 113/06 (尚未保養)</t>
        </is>
      </c>
      <c r="E52" t="inlineStr">
        <is>
          <t>當月未保養</t>
        </is>
      </c>
    </row>
    <row r="53" ht="16.5" customHeight="1" s="84">
      <c r="A53" s="36" t="inlineStr">
        <is>
          <t>2024-07</t>
        </is>
      </c>
      <c r="B53" s="77" t="n">
        <v>19000</v>
      </c>
      <c r="C53" s="77" t="n">
        <v>19000</v>
      </c>
      <c r="D53" t="inlineStr">
        <is>
          <t>宜力亞 113/06+07 泳池保養</t>
        </is>
      </c>
      <c r="E53" t="inlineStr">
        <is>
          <t>保養費 (6+7月)</t>
        </is>
      </c>
    </row>
    <row r="54" ht="16.5" customHeight="1" s="84">
      <c r="A54" s="36" t="inlineStr">
        <is>
          <t>2024-07</t>
        </is>
      </c>
      <c r="B54" s="77" t="n">
        <v>69120</v>
      </c>
      <c r="C54" s="77" t="n">
        <v>69120</v>
      </c>
      <c r="D54" t="inlineStr">
        <is>
          <t>宜力亞 6/7月救生員</t>
        </is>
      </c>
      <c r="E54" t="inlineStr">
        <is>
          <t>救生員人事費 100%</t>
        </is>
      </c>
    </row>
    <row r="55" ht="16.5" customHeight="1" s="84">
      <c r="A55" s="79" t="inlineStr">
        <is>
          <t>2024-08</t>
        </is>
      </c>
      <c r="B55" s="80" t="n">
        <v>15000</v>
      </c>
      <c r="C55" s="80" t="n">
        <v>15000</v>
      </c>
      <c r="D55" s="81" t="inlineStr">
        <is>
          <t>宜力亞 113/08 泳池保養</t>
        </is>
      </c>
      <c r="E55" s="79" t="inlineStr">
        <is>
          <t>保養費</t>
        </is>
      </c>
    </row>
    <row r="56" ht="16.5" customHeight="1" s="84">
      <c r="A56" s="36" t="inlineStr">
        <is>
          <t>2024-08</t>
        </is>
      </c>
      <c r="B56" s="77" t="n">
        <v>4500</v>
      </c>
      <c r="C56" s="77" t="n">
        <v>4500</v>
      </c>
      <c r="D56" t="inlineStr">
        <is>
          <t>泉能工程行 泳池機房設備調整檢查</t>
        </is>
      </c>
      <c r="E56" t="inlineStr">
        <is>
          <t>機房調整 100%</t>
        </is>
      </c>
    </row>
    <row r="57" ht="16.5" customHeight="1" s="84">
      <c r="A57" s="79" t="inlineStr">
        <is>
          <t>2024-08</t>
        </is>
      </c>
      <c r="B57" s="80" t="n">
        <v>64640</v>
      </c>
      <c r="C57" s="80" t="n">
        <v>64640</v>
      </c>
      <c r="D57" s="79" t="inlineStr">
        <is>
          <t>宜力亞 8月救生員</t>
        </is>
      </c>
      <c r="E57" s="81" t="inlineStr">
        <is>
          <t>救生員人事費 100%</t>
        </is>
      </c>
    </row>
    <row r="58" ht="16.5" customHeight="1" s="84">
      <c r="A58" s="36" t="inlineStr">
        <is>
          <t>2025-07</t>
        </is>
      </c>
      <c r="B58" s="77" t="n">
        <v>26500</v>
      </c>
      <c r="C58" s="77" t="n">
        <v>26500</v>
      </c>
      <c r="D58" t="inlineStr">
        <is>
          <t>游泳池設備、零件修繕</t>
        </is>
      </c>
      <c r="E58" t="inlineStr">
        <is>
          <t>100%</t>
        </is>
      </c>
    </row>
    <row r="59" ht="15" customHeight="1" s="84">
      <c r="A59" t="inlineStr">
        <is>
          <t>2025-08</t>
        </is>
      </c>
      <c r="B59" t="n">
        <v>104276</v>
      </c>
      <c r="C59" t="n">
        <v>104276</v>
      </c>
      <c r="D59" t="inlineStr">
        <is>
          <t>7月海豚灣服務費</t>
        </is>
      </c>
      <c r="E59" t="inlineStr">
        <is>
          <t>100%</t>
        </is>
      </c>
    </row>
    <row r="60">
      <c r="A60" t="inlineStr">
        <is>
          <t>2025-08</t>
        </is>
      </c>
      <c r="B60" t="n">
        <v>39900</v>
      </c>
      <c r="C60" t="n">
        <v>6000</v>
      </c>
      <c r="D60" t="inlineStr">
        <is>
          <t>7月長樂修繕費： (1)庭園水底燈及地板燈查修線路 $33600元 (2)泳池景觀燈查線 $6000元</t>
        </is>
      </c>
      <c r="E60" t="inlineStr">
        <is>
          <t>只計 7月長樂修繕 $6000元</t>
        </is>
      </c>
    </row>
    <row r="61">
      <c r="A61" t="inlineStr">
        <is>
          <t>2025-09</t>
        </is>
      </c>
      <c r="B61" t="n">
        <v>106607</v>
      </c>
      <c r="C61" t="n">
        <v>106607</v>
      </c>
      <c r="D61" t="inlineStr">
        <is>
          <t>8月海豚灣服務費</t>
        </is>
      </c>
      <c r="E61" t="inlineStr">
        <is>
          <t>100%</t>
        </is>
      </c>
    </row>
    <row r="62">
      <c r="A62" s="1" t="inlineStr">
        <is>
          <t>2025-12</t>
        </is>
      </c>
      <c r="B62" s="82" t="n">
        <v>4517</v>
      </c>
      <c r="C62" s="75" t="n">
        <v>4517</v>
      </c>
      <c r="D62" t="inlineStr">
        <is>
          <t>購買游泳池陽傘、救生員座椅(七月)</t>
        </is>
      </c>
      <c r="E62" t="inlineStr">
        <is>
          <t>100%</t>
        </is>
      </c>
    </row>
    <row r="63">
      <c r="A63" t="inlineStr">
        <is>
          <t>合計</t>
        </is>
      </c>
      <c r="B63" t="n">
        <v>808940</v>
      </c>
      <c r="C63" t="n">
        <v>698790</v>
      </c>
    </row>
    <row r="65">
      <c r="A65" t="inlineStr">
        <is>
          <t>─── 門票收入 vs 游泳池支出 對比 ───</t>
        </is>
      </c>
    </row>
    <row r="67">
      <c r="A67" t="inlineStr">
        <is>
          <t>年度</t>
        </is>
      </c>
      <c r="B67" t="inlineStr">
        <is>
          <t>門票收入 (NT$)</t>
        </is>
      </c>
      <c r="C67" t="inlineStr">
        <is>
          <t>游泳池支出 (NT$)</t>
        </is>
      </c>
      <c r="D67" t="inlineStr">
        <is>
          <t>赤字 (NT$)</t>
        </is>
      </c>
      <c r="E67" t="inlineStr">
        <is>
          <t>收入抵支出 %</t>
        </is>
      </c>
    </row>
    <row r="68">
      <c r="A68" t="inlineStr">
        <is>
          <t>2021 年</t>
        </is>
      </c>
      <c r="B68" t="n">
        <v>0</v>
      </c>
      <c r="C68" t="n">
        <v>74700</v>
      </c>
      <c r="D68" t="n">
        <v>-74700</v>
      </c>
      <c r="E68" t="inlineStr">
        <is>
          <t>0.0%</t>
        </is>
      </c>
    </row>
    <row r="69">
      <c r="A69" t="inlineStr">
        <is>
          <t>2022 年</t>
        </is>
      </c>
      <c r="B69" t="n">
        <v>0</v>
      </c>
      <c r="C69" t="n">
        <v>21000</v>
      </c>
      <c r="D69" t="n">
        <v>-21000</v>
      </c>
      <c r="E69" t="inlineStr">
        <is>
          <t>0.0%</t>
        </is>
      </c>
    </row>
    <row r="70">
      <c r="A70" t="inlineStr">
        <is>
          <t>2023 年</t>
        </is>
      </c>
      <c r="B70" t="n">
        <v>49650</v>
      </c>
      <c r="C70" t="n">
        <v>161730</v>
      </c>
      <c r="D70" t="n">
        <v>-112080</v>
      </c>
      <c r="E70" t="inlineStr">
        <is>
          <t>30.7%</t>
        </is>
      </c>
    </row>
    <row r="71">
      <c r="A71" t="inlineStr">
        <is>
          <t>2024 年</t>
        </is>
      </c>
      <c r="B71" t="n">
        <v>52230</v>
      </c>
      <c r="C71" t="n">
        <v>193460</v>
      </c>
      <c r="D71" t="n">
        <v>-141230</v>
      </c>
      <c r="E71" t="inlineStr">
        <is>
          <t>27.0%</t>
        </is>
      </c>
    </row>
    <row r="72">
      <c r="A72" t="inlineStr">
        <is>
          <t>2025 年</t>
        </is>
      </c>
      <c r="B72" t="n">
        <v>74060</v>
      </c>
      <c r="C72" t="n">
        <v>247900</v>
      </c>
      <c r="D72" t="n">
        <v>-173840</v>
      </c>
      <c r="E72" t="inlineStr">
        <is>
          <t>29.9%</t>
        </is>
      </c>
    </row>
    <row r="73">
      <c r="A73" t="inlineStr">
        <is>
          <t>合計</t>
        </is>
      </c>
      <c r="B73" t="n">
        <v>175940</v>
      </c>
      <c r="C73" t="n">
        <v>698790</v>
      </c>
      <c r="D73" t="n">
        <v>-522850</v>
      </c>
      <c r="E73" t="inlineStr">
        <is>
          <t>25.2%</t>
        </is>
      </c>
    </row>
    <row r="75">
      <c r="A75" t="inlineStr">
        <is>
          <t>註：泳卷收入 / 泳池收入 已於 收入明細 sheet 統一改稱「門票收入」</t>
        </is>
      </c>
    </row>
    <row r="76">
      <c r="A76" t="inlineStr">
        <is>
          <t>註：游泳池支出 = 議案-游泳池 sheet 上方各年度 (機房保養 + 設備修繕 + 救生員 + 周邊用品 — pool-only)</t>
        </is>
      </c>
    </row>
  </sheetData>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C104"/>
  <sheetViews>
    <sheetView workbookViewId="0">
      <selection activeCell="A1" sqref="A1"/>
    </sheetView>
  </sheetViews>
  <sheetFormatPr baseColWidth="8" defaultRowHeight="15"/>
  <cols>
    <col width="14" customWidth="1" style="84" min="1" max="1"/>
    <col width="14" customWidth="1" style="84" min="2" max="2"/>
    <col width="60" customWidth="1" style="84" min="3" max="3"/>
  </cols>
  <sheetData>
    <row r="1">
      <c r="A1" s="120" t="inlineStr">
        <is>
          <t>月份</t>
        </is>
      </c>
      <c r="B1" s="120" t="inlineStr">
        <is>
          <t>公共電費</t>
        </is>
      </c>
      <c r="C1" s="120" t="inlineStr">
        <is>
          <t>說明</t>
        </is>
      </c>
    </row>
    <row r="2">
      <c r="A2" t="inlineStr">
        <is>
          <t>2021-01</t>
        </is>
      </c>
      <c r="B2" t="n">
        <v>87413</v>
      </c>
      <c r="C2" t="inlineStr">
        <is>
          <t>109年12月公共電費: 87,413</t>
        </is>
      </c>
    </row>
    <row r="3">
      <c r="A3" t="inlineStr">
        <is>
          <t>2021-02</t>
        </is>
      </c>
      <c r="B3" t="n">
        <v>88215</v>
      </c>
      <c r="C3" t="inlineStr">
        <is>
          <t>公共電費(109.12.11至110.01.12): 88,215</t>
        </is>
      </c>
    </row>
    <row r="4">
      <c r="A4" t="inlineStr">
        <is>
          <t>2021-03</t>
        </is>
      </c>
      <c r="B4" t="n">
        <v>101777</v>
      </c>
      <c r="C4" t="inlineStr">
        <is>
          <t>公共電費(110.01.13至110.2.16): 101,777</t>
        </is>
      </c>
    </row>
    <row r="5">
      <c r="A5" t="inlineStr">
        <is>
          <t>2021-04</t>
        </is>
      </c>
      <c r="B5" t="n">
        <v>85178</v>
      </c>
      <c r="C5" t="inlineStr">
        <is>
          <t>公共電費(110.02.17至110.03.15): 85,178</t>
        </is>
      </c>
    </row>
    <row r="6">
      <c r="A6" t="inlineStr">
        <is>
          <t>2021-05</t>
        </is>
      </c>
      <c r="B6" t="n">
        <v>84824</v>
      </c>
      <c r="C6" t="inlineStr">
        <is>
          <t>公共電費(110.03.17至110.04.14): 84,824</t>
        </is>
      </c>
    </row>
    <row r="7">
      <c r="A7" t="inlineStr">
        <is>
          <t>2021-06</t>
        </is>
      </c>
      <c r="B7" t="n">
        <v>88643</v>
      </c>
      <c r="C7" t="inlineStr">
        <is>
          <t>公共電費(110.04.16至110.05.15): 88,643</t>
        </is>
      </c>
    </row>
    <row r="8">
      <c r="A8" t="inlineStr">
        <is>
          <t>2021-07</t>
        </is>
      </c>
      <c r="B8" t="n">
        <v>89266</v>
      </c>
      <c r="C8" t="inlineStr">
        <is>
          <t>公共電費(110.05.17至110.06.15): 89,266</t>
        </is>
      </c>
    </row>
    <row r="9">
      <c r="A9" t="inlineStr">
        <is>
          <t>2021-08</t>
        </is>
      </c>
      <c r="B9" t="n">
        <v>88231</v>
      </c>
      <c r="C9" t="inlineStr">
        <is>
          <t>公共電費(110.05.17至110.06.15): 88,231</t>
        </is>
      </c>
    </row>
    <row r="10">
      <c r="A10" t="inlineStr">
        <is>
          <t>2021-09</t>
        </is>
      </c>
      <c r="B10" t="n">
        <v>80066</v>
      </c>
      <c r="C10" t="inlineStr">
        <is>
          <t>公共電費(110.07.13至110.08.10): 80,066</t>
        </is>
      </c>
    </row>
    <row r="11">
      <c r="A11" t="inlineStr">
        <is>
          <t>2021-10</t>
        </is>
      </c>
      <c r="B11" t="n">
        <v>95341</v>
      </c>
      <c r="C11" t="inlineStr">
        <is>
          <t>公共電費: 95,341</t>
        </is>
      </c>
    </row>
    <row r="12">
      <c r="A12" t="inlineStr">
        <is>
          <t>2021-11</t>
        </is>
      </c>
      <c r="B12" t="n">
        <v>104138</v>
      </c>
      <c r="C12" t="inlineStr">
        <is>
          <t>公共電費(110.09.10~110.12.05): 104,138</t>
        </is>
      </c>
    </row>
    <row r="13">
      <c r="A13" t="inlineStr">
        <is>
          <t>2021-12</t>
        </is>
      </c>
      <c r="B13" t="n">
        <v>71935</v>
      </c>
      <c r="C13" t="inlineStr">
        <is>
          <t>公共電費: 71,935</t>
        </is>
      </c>
    </row>
    <row r="14">
      <c r="A14" t="inlineStr">
        <is>
          <t>2022-01</t>
        </is>
      </c>
      <c r="B14" t="n">
        <v>82554</v>
      </c>
      <c r="C14" t="inlineStr">
        <is>
          <t>公共電費: 82,554</t>
        </is>
      </c>
    </row>
    <row r="15">
      <c r="A15" t="inlineStr">
        <is>
          <t>2022-02</t>
        </is>
      </c>
      <c r="B15" t="n">
        <v>94267</v>
      </c>
      <c r="C15" t="inlineStr">
        <is>
          <t>公共電費: 94,267</t>
        </is>
      </c>
    </row>
    <row r="16">
      <c r="A16" t="inlineStr">
        <is>
          <t>2022-03</t>
        </is>
      </c>
      <c r="B16" t="n">
        <v>97724</v>
      </c>
      <c r="C16" t="inlineStr">
        <is>
          <t>公共電費: 97,724</t>
        </is>
      </c>
    </row>
    <row r="17">
      <c r="A17" t="inlineStr">
        <is>
          <t>2022-04</t>
        </is>
      </c>
      <c r="B17" t="n">
        <v>86187</v>
      </c>
      <c r="C17" t="inlineStr">
        <is>
          <t>公共電費: 86,187</t>
        </is>
      </c>
    </row>
    <row r="18">
      <c r="A18" t="inlineStr">
        <is>
          <t>2022-05</t>
        </is>
      </c>
      <c r="B18" t="n">
        <v>89633</v>
      </c>
      <c r="C18" t="inlineStr">
        <is>
          <t>公共電費: 89,633</t>
        </is>
      </c>
    </row>
    <row r="19">
      <c r="A19" t="inlineStr">
        <is>
          <t>2022-06</t>
        </is>
      </c>
      <c r="B19" t="n">
        <v>89247</v>
      </c>
      <c r="C19" t="inlineStr">
        <is>
          <t>公共電費: 89,247</t>
        </is>
      </c>
    </row>
    <row r="20">
      <c r="A20" t="inlineStr">
        <is>
          <t>2022-07</t>
        </is>
      </c>
      <c r="B20" t="n">
        <v>101869</v>
      </c>
      <c r="C20" t="inlineStr">
        <is>
          <t>公共電費: 101,869</t>
        </is>
      </c>
    </row>
    <row r="21">
      <c r="A21" t="inlineStr">
        <is>
          <t>2022-08</t>
        </is>
      </c>
      <c r="B21" t="n">
        <v>109759</v>
      </c>
      <c r="C21" t="inlineStr">
        <is>
          <t>公共電費: 109,759</t>
        </is>
      </c>
    </row>
    <row r="22">
      <c r="A22" t="inlineStr">
        <is>
          <t>2022-09</t>
        </is>
      </c>
      <c r="B22" t="n">
        <v>114022</v>
      </c>
      <c r="C22" t="inlineStr">
        <is>
          <t>公共電費: 114,022</t>
        </is>
      </c>
    </row>
    <row r="23">
      <c r="A23" t="inlineStr">
        <is>
          <t>2022-10</t>
        </is>
      </c>
      <c r="B23" t="n">
        <v>125114</v>
      </c>
      <c r="C23" t="inlineStr">
        <is>
          <t>公共電費: 125,114</t>
        </is>
      </c>
    </row>
    <row r="24">
      <c r="A24" t="inlineStr">
        <is>
          <t>2022-11</t>
        </is>
      </c>
      <c r="B24" t="n">
        <v>107881</v>
      </c>
      <c r="C24" t="inlineStr">
        <is>
          <t>公共電費: 107,881</t>
        </is>
      </c>
    </row>
    <row r="25">
      <c r="A25" t="inlineStr">
        <is>
          <t>2022-12</t>
        </is>
      </c>
      <c r="B25" t="n">
        <v>85193</v>
      </c>
      <c r="C25" t="inlineStr">
        <is>
          <t>公共電費: 85,193</t>
        </is>
      </c>
    </row>
    <row r="26">
      <c r="A26" t="inlineStr">
        <is>
          <t>2023-01</t>
        </is>
      </c>
      <c r="B26" t="n">
        <v>90116</v>
      </c>
      <c r="C26" t="inlineStr">
        <is>
          <t>公共電費: 90,116</t>
        </is>
      </c>
    </row>
    <row r="27">
      <c r="A27" t="inlineStr">
        <is>
          <t>2023-02</t>
        </is>
      </c>
      <c r="B27" t="n">
        <v>84405</v>
      </c>
      <c r="C27" t="inlineStr">
        <is>
          <t>公共電費: 84,405</t>
        </is>
      </c>
    </row>
    <row r="28">
      <c r="A28" t="inlineStr">
        <is>
          <t>2023-03</t>
        </is>
      </c>
      <c r="B28" t="n">
        <v>90833</v>
      </c>
      <c r="C28" t="inlineStr">
        <is>
          <t>公共電費: 90,833</t>
        </is>
      </c>
    </row>
    <row r="29">
      <c r="A29" t="inlineStr">
        <is>
          <t>2023-04</t>
        </is>
      </c>
      <c r="B29" t="n">
        <v>83049</v>
      </c>
      <c r="C29" t="inlineStr">
        <is>
          <t>公共電費: 83,049</t>
        </is>
      </c>
    </row>
    <row r="30">
      <c r="A30" t="inlineStr">
        <is>
          <t>2023-05</t>
        </is>
      </c>
      <c r="B30" t="n">
        <v>93029</v>
      </c>
      <c r="C30" t="inlineStr">
        <is>
          <t>公共電費: 93,029</t>
        </is>
      </c>
    </row>
    <row r="31">
      <c r="A31" t="inlineStr">
        <is>
          <t>2023-06</t>
        </is>
      </c>
      <c r="B31" t="n">
        <v>86333</v>
      </c>
      <c r="C31" t="inlineStr">
        <is>
          <t>公共電費: 86,333</t>
        </is>
      </c>
    </row>
    <row r="32">
      <c r="A32" t="inlineStr">
        <is>
          <t>2023-07</t>
        </is>
      </c>
      <c r="B32" t="n">
        <v>93568</v>
      </c>
      <c r="C32" t="inlineStr">
        <is>
          <t>公共電費: 93,568</t>
        </is>
      </c>
    </row>
    <row r="33">
      <c r="A33" t="inlineStr">
        <is>
          <t>2023-08</t>
        </is>
      </c>
      <c r="B33" t="n">
        <v>112943</v>
      </c>
      <c r="C33" t="inlineStr">
        <is>
          <t>公共電費: 112,943</t>
        </is>
      </c>
    </row>
    <row r="34">
      <c r="A34" t="inlineStr">
        <is>
          <t>2023-09</t>
        </is>
      </c>
      <c r="B34" t="n">
        <v>105889</v>
      </c>
      <c r="C34" t="inlineStr">
        <is>
          <t>公共電費: 105,889</t>
        </is>
      </c>
    </row>
    <row r="35">
      <c r="A35" t="inlineStr">
        <is>
          <t>2023-10</t>
        </is>
      </c>
      <c r="B35" t="n">
        <v>113031</v>
      </c>
      <c r="C35" t="inlineStr">
        <is>
          <t>公共電費: 113,031</t>
        </is>
      </c>
    </row>
    <row r="36">
      <c r="A36" t="inlineStr">
        <is>
          <t>2023-11</t>
        </is>
      </c>
      <c r="B36" t="n">
        <v>97513</v>
      </c>
      <c r="C36" t="inlineStr">
        <is>
          <t>公共電費: 97,513</t>
        </is>
      </c>
    </row>
    <row r="37">
      <c r="A37" t="inlineStr">
        <is>
          <t>2023-12</t>
        </is>
      </c>
      <c r="B37" t="n">
        <v>87207</v>
      </c>
      <c r="C37" t="inlineStr">
        <is>
          <t>公共電費: 87,207</t>
        </is>
      </c>
    </row>
    <row r="38">
      <c r="A38" t="inlineStr">
        <is>
          <t>2024-01</t>
        </is>
      </c>
      <c r="B38" t="n">
        <v>100087</v>
      </c>
      <c r="C38" t="inlineStr">
        <is>
          <t>公共電費: 100,087</t>
        </is>
      </c>
    </row>
    <row r="39">
      <c r="A39" t="inlineStr">
        <is>
          <t>2024-02</t>
        </is>
      </c>
      <c r="B39" t="n">
        <v>106016</v>
      </c>
      <c r="C39" t="inlineStr">
        <is>
          <t>公共電費: 106,016</t>
        </is>
      </c>
    </row>
    <row r="40">
      <c r="A40" t="inlineStr">
        <is>
          <t>2024-03</t>
        </is>
      </c>
      <c r="B40" t="n">
        <v>107119</v>
      </c>
      <c r="C40" t="inlineStr">
        <is>
          <t>公共電費: 107,119</t>
        </is>
      </c>
    </row>
    <row r="41">
      <c r="A41" t="inlineStr">
        <is>
          <t>2024-04</t>
        </is>
      </c>
      <c r="B41" t="n">
        <v>92115</v>
      </c>
      <c r="C41" t="inlineStr">
        <is>
          <t>公共電費: 92,115</t>
        </is>
      </c>
    </row>
    <row r="42">
      <c r="A42" t="inlineStr">
        <is>
          <t>2024-05</t>
        </is>
      </c>
      <c r="B42" t="n">
        <v>111412</v>
      </c>
      <c r="C42" t="inlineStr">
        <is>
          <t>公共電費: 111,412</t>
        </is>
      </c>
    </row>
    <row r="43">
      <c r="A43" t="inlineStr">
        <is>
          <t>2024-06</t>
        </is>
      </c>
      <c r="B43" t="n">
        <v>117092</v>
      </c>
      <c r="C43" t="inlineStr">
        <is>
          <t>公共電費: 117,092</t>
        </is>
      </c>
    </row>
    <row r="44">
      <c r="A44" t="inlineStr">
        <is>
          <t>2024-07</t>
        </is>
      </c>
      <c r="B44" t="n">
        <v>126129</v>
      </c>
      <c r="C44" t="inlineStr">
        <is>
          <t>公共電費: 126,129</t>
        </is>
      </c>
    </row>
    <row r="45">
      <c r="A45" t="inlineStr">
        <is>
          <t>2024-08</t>
        </is>
      </c>
      <c r="B45" t="n">
        <v>130540</v>
      </c>
      <c r="C45" t="inlineStr">
        <is>
          <t>公共電費: 130,540</t>
        </is>
      </c>
    </row>
    <row r="46">
      <c r="A46" t="inlineStr">
        <is>
          <t>2024-09</t>
        </is>
      </c>
      <c r="B46" t="n">
        <v>145608</v>
      </c>
      <c r="C46" t="inlineStr">
        <is>
          <t>公共電費: 145,608</t>
        </is>
      </c>
    </row>
    <row r="47">
      <c r="A47" t="inlineStr">
        <is>
          <t>2024-10</t>
        </is>
      </c>
      <c r="B47" t="n">
        <v>149403</v>
      </c>
      <c r="C47" t="inlineStr">
        <is>
          <t>公共電費: 149,403</t>
        </is>
      </c>
    </row>
    <row r="48">
      <c r="A48" t="inlineStr">
        <is>
          <t>2024-11</t>
        </is>
      </c>
      <c r="B48" t="n">
        <v>227933</v>
      </c>
      <c r="C48" t="inlineStr">
        <is>
          <t>10月公共電費: 120,004 + 11月公共電費: 107,929</t>
        </is>
      </c>
    </row>
    <row r="49">
      <c r="A49" t="inlineStr">
        <is>
          <t>2024-12</t>
        </is>
      </c>
      <c r="B49" t="n">
        <v>97375</v>
      </c>
      <c r="C49" t="inlineStr">
        <is>
          <t>12月公共電費: 97,375</t>
        </is>
      </c>
    </row>
    <row r="50">
      <c r="A50" t="inlineStr">
        <is>
          <t>2025-01</t>
        </is>
      </c>
      <c r="B50" t="n">
        <v>0</v>
      </c>
      <c r="C50" t="inlineStr">
        <is>
          <t>1月公共電費: 0</t>
        </is>
      </c>
    </row>
    <row r="51">
      <c r="A51" t="inlineStr">
        <is>
          <t>2025-02</t>
        </is>
      </c>
      <c r="B51" t="n">
        <v>97854</v>
      </c>
      <c r="C51" t="inlineStr">
        <is>
          <t>1月公共電費: 97,854</t>
        </is>
      </c>
    </row>
    <row r="52">
      <c r="A52" t="inlineStr">
        <is>
          <t>2025-03</t>
        </is>
      </c>
      <c r="B52" t="n">
        <v>108145</v>
      </c>
      <c r="C52" t="inlineStr">
        <is>
          <t>1月公共電費: 108,145</t>
        </is>
      </c>
    </row>
    <row r="53">
      <c r="A53" t="inlineStr">
        <is>
          <t>2025-04</t>
        </is>
      </c>
      <c r="B53" t="n">
        <v>112914</v>
      </c>
      <c r="C53" t="inlineStr">
        <is>
          <t>3月公共電費: 112,914</t>
        </is>
      </c>
    </row>
    <row r="54">
      <c r="A54" t="inlineStr">
        <is>
          <t>2025-05</t>
        </is>
      </c>
      <c r="B54" t="n">
        <v>89242</v>
      </c>
      <c r="C54" t="inlineStr">
        <is>
          <t>4月公共電費: 89,242</t>
        </is>
      </c>
    </row>
    <row r="55">
      <c r="A55" t="inlineStr">
        <is>
          <t>2025-06</t>
        </is>
      </c>
      <c r="B55" t="n">
        <v>90039</v>
      </c>
      <c r="C55" t="inlineStr">
        <is>
          <t>5月公共電費: 90,039</t>
        </is>
      </c>
    </row>
    <row r="56">
      <c r="A56" t="inlineStr">
        <is>
          <t>2025-07</t>
        </is>
      </c>
      <c r="B56" t="n">
        <v>100318</v>
      </c>
      <c r="C56" t="inlineStr">
        <is>
          <t>7月公共電費: 100,318</t>
        </is>
      </c>
    </row>
    <row r="57">
      <c r="A57" t="inlineStr">
        <is>
          <t>2025-08</t>
        </is>
      </c>
      <c r="B57" t="n">
        <v>125694</v>
      </c>
      <c r="C57" t="inlineStr">
        <is>
          <t>7月公共電費: 125,694</t>
        </is>
      </c>
    </row>
    <row r="58">
      <c r="A58" t="inlineStr">
        <is>
          <t>2025-09</t>
        </is>
      </c>
      <c r="B58" t="n">
        <v>126605</v>
      </c>
      <c r="C58" t="inlineStr">
        <is>
          <t>8月公共電費: 126,605</t>
        </is>
      </c>
    </row>
    <row r="59">
      <c r="A59" t="inlineStr">
        <is>
          <t>2025-10</t>
        </is>
      </c>
      <c r="B59" t="n">
        <v>121744</v>
      </c>
      <c r="C59" t="inlineStr">
        <is>
          <t>◆公共電費: 121,744</t>
        </is>
      </c>
    </row>
    <row r="60">
      <c r="A60" t="inlineStr">
        <is>
          <t>2025-11</t>
        </is>
      </c>
      <c r="B60" t="n">
        <v>111303</v>
      </c>
      <c r="C60" t="inlineStr">
        <is>
          <t>◆公共電費: 111,303</t>
        </is>
      </c>
    </row>
    <row r="61">
      <c r="A61" t="inlineStr">
        <is>
          <t>2025-12</t>
        </is>
      </c>
      <c r="B61" t="n">
        <v>98191</v>
      </c>
      <c r="C61" t="inlineStr">
        <is>
          <t>◆公共電費: 98,191</t>
        </is>
      </c>
    </row>
    <row r="62">
      <c r="A62" t="inlineStr">
        <is>
          <t>2026-01</t>
        </is>
      </c>
      <c r="B62" t="n">
        <v>85774</v>
      </c>
      <c r="C62" t="inlineStr">
        <is>
          <t>◆公共電費: 85,774</t>
        </is>
      </c>
    </row>
    <row r="63">
      <c r="A63" t="inlineStr">
        <is>
          <t>2026-02</t>
        </is>
      </c>
      <c r="B63" t="n">
        <v>89458</v>
      </c>
      <c r="C63" t="inlineStr">
        <is>
          <t>◆公共電費: 89,458</t>
        </is>
      </c>
    </row>
    <row r="64">
      <c r="A64" t="inlineStr">
        <is>
          <t>2026-03</t>
        </is>
      </c>
      <c r="B64" t="n">
        <v>84786</v>
      </c>
      <c r="C64" t="inlineStr">
        <is>
          <t>◆公共電費: 84,786</t>
        </is>
      </c>
    </row>
    <row r="65">
      <c r="A65" t="inlineStr">
        <is>
          <t>2026-04</t>
        </is>
      </c>
      <c r="B65" t="n">
        <v>92257</v>
      </c>
      <c r="C65" t="inlineStr">
        <is>
          <t>◆公共電費: 92,257</t>
        </is>
      </c>
    </row>
    <row r="67">
      <c r="A67" t="inlineStr">
        <is>
          <t>─ 統計 ─</t>
        </is>
      </c>
    </row>
    <row r="68">
      <c r="A68" t="inlineStr">
        <is>
          <t>期間合計</t>
        </is>
      </c>
      <c r="B68" t="n">
        <v>6431546</v>
      </c>
    </row>
    <row r="69">
      <c r="A69" t="inlineStr">
        <is>
          <t>月均</t>
        </is>
      </c>
      <c r="B69" t="n">
        <v>100492.90625</v>
      </c>
    </row>
    <row r="70">
      <c r="A70" t="inlineStr">
        <is>
          <t>中位</t>
        </is>
      </c>
      <c r="B70" t="n">
        <v>97375</v>
      </c>
    </row>
    <row r="71">
      <c r="A71" t="inlineStr">
        <is>
          <t>最高</t>
        </is>
      </c>
      <c r="B71" t="n">
        <v>227933</v>
      </c>
    </row>
    <row r="72">
      <c r="A72" t="inlineStr">
        <is>
          <t>最低</t>
        </is>
      </c>
      <c r="B72" t="n">
        <v>0</v>
      </c>
    </row>
    <row r="74">
      <c r="A74" s="120" t="inlineStr">
        <is>
          <t>─ 年度小計 ─</t>
        </is>
      </c>
    </row>
    <row r="75">
      <c r="A75" t="inlineStr">
        <is>
          <t>2021 年</t>
        </is>
      </c>
      <c r="B75" t="n">
        <v>1065027</v>
      </c>
    </row>
    <row r="76">
      <c r="A76" t="inlineStr">
        <is>
          <t>2022 年</t>
        </is>
      </c>
      <c r="B76" t="n">
        <v>1183450</v>
      </c>
    </row>
    <row r="77">
      <c r="A77" t="inlineStr">
        <is>
          <t>2023 年</t>
        </is>
      </c>
      <c r="B77" t="n">
        <v>1137916</v>
      </c>
    </row>
    <row r="78">
      <c r="A78" t="inlineStr">
        <is>
          <t>2024 年</t>
        </is>
      </c>
      <c r="B78" t="n">
        <v>1510829</v>
      </c>
    </row>
    <row r="79">
      <c r="A79" t="inlineStr">
        <is>
          <t>2025 年</t>
        </is>
      </c>
      <c r="B79" t="n">
        <v>1182049</v>
      </c>
    </row>
    <row r="80">
      <c r="A80" t="inlineStr">
        <is>
          <t>2026 年</t>
        </is>
      </c>
      <c r="B80" t="n">
        <v>352275</v>
      </c>
    </row>
    <row r="82">
      <c r="A82" s="120" t="inlineStr">
        <is>
          <t>─ 季度小計 ─</t>
        </is>
      </c>
    </row>
    <row r="83">
      <c r="A83" t="inlineStr">
        <is>
          <t>2021-Q1</t>
        </is>
      </c>
      <c r="B83" t="n">
        <v>277405</v>
      </c>
    </row>
    <row r="84">
      <c r="A84" t="inlineStr">
        <is>
          <t>2021-Q2</t>
        </is>
      </c>
      <c r="B84" t="n">
        <v>258645</v>
      </c>
    </row>
    <row r="85">
      <c r="A85" t="inlineStr">
        <is>
          <t>2021-Q3</t>
        </is>
      </c>
      <c r="B85" t="n">
        <v>257563</v>
      </c>
    </row>
    <row r="86">
      <c r="A86" t="inlineStr">
        <is>
          <t>2021-Q4</t>
        </is>
      </c>
      <c r="B86" t="n">
        <v>271414</v>
      </c>
    </row>
    <row r="87">
      <c r="A87" t="inlineStr">
        <is>
          <t>2022-Q1</t>
        </is>
      </c>
      <c r="B87" t="n">
        <v>274545</v>
      </c>
    </row>
    <row r="88">
      <c r="A88" t="inlineStr">
        <is>
          <t>2022-Q2</t>
        </is>
      </c>
      <c r="B88" t="n">
        <v>265067</v>
      </c>
    </row>
    <row r="89">
      <c r="A89" t="inlineStr">
        <is>
          <t>2022-Q3</t>
        </is>
      </c>
      <c r="B89" t="n">
        <v>325650</v>
      </c>
    </row>
    <row r="90">
      <c r="A90" t="inlineStr">
        <is>
          <t>2022-Q4</t>
        </is>
      </c>
      <c r="B90" t="n">
        <v>318188</v>
      </c>
    </row>
    <row r="91">
      <c r="A91" t="inlineStr">
        <is>
          <t>2023-Q1</t>
        </is>
      </c>
      <c r="B91" t="n">
        <v>265354</v>
      </c>
    </row>
    <row r="92">
      <c r="A92" t="inlineStr">
        <is>
          <t>2023-Q2</t>
        </is>
      </c>
      <c r="B92" t="n">
        <v>262411</v>
      </c>
    </row>
    <row r="93">
      <c r="A93" t="inlineStr">
        <is>
          <t>2023-Q3</t>
        </is>
      </c>
      <c r="B93" t="n">
        <v>312400</v>
      </c>
    </row>
    <row r="94">
      <c r="A94" t="inlineStr">
        <is>
          <t>2023-Q4</t>
        </is>
      </c>
      <c r="B94" t="n">
        <v>297751</v>
      </c>
    </row>
    <row r="95">
      <c r="A95" t="inlineStr">
        <is>
          <t>2024-Q1</t>
        </is>
      </c>
      <c r="B95" t="n">
        <v>313222</v>
      </c>
    </row>
    <row r="96">
      <c r="A96" t="inlineStr">
        <is>
          <t>2024-Q2</t>
        </is>
      </c>
      <c r="B96" t="n">
        <v>320619</v>
      </c>
    </row>
    <row r="97">
      <c r="A97" t="inlineStr">
        <is>
          <t>2024-Q3</t>
        </is>
      </c>
      <c r="B97" t="n">
        <v>402277</v>
      </c>
    </row>
    <row r="98">
      <c r="A98" t="inlineStr">
        <is>
          <t>2024-Q4</t>
        </is>
      </c>
      <c r="B98" t="n">
        <v>474711</v>
      </c>
    </row>
    <row r="99">
      <c r="A99" t="inlineStr">
        <is>
          <t>2025-Q1</t>
        </is>
      </c>
      <c r="B99" t="n">
        <v>205999</v>
      </c>
    </row>
    <row r="100">
      <c r="A100" t="inlineStr">
        <is>
          <t>2025-Q2</t>
        </is>
      </c>
      <c r="B100" t="n">
        <v>292195</v>
      </c>
    </row>
    <row r="101">
      <c r="A101" t="inlineStr">
        <is>
          <t>2025-Q3</t>
        </is>
      </c>
      <c r="B101" t="n">
        <v>352617</v>
      </c>
    </row>
    <row r="102">
      <c r="A102" t="inlineStr">
        <is>
          <t>2025-Q4</t>
        </is>
      </c>
      <c r="B102" t="n">
        <v>331238</v>
      </c>
    </row>
    <row r="103">
      <c r="A103" t="inlineStr">
        <is>
          <t>2026-Q1</t>
        </is>
      </c>
      <c r="B103" t="n">
        <v>260018</v>
      </c>
    </row>
    <row r="104">
      <c r="A104" t="inlineStr">
        <is>
          <t>2026-Q2</t>
        </is>
      </c>
      <c r="B104" t="n">
        <v>92257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zh-Hant</dc:language>
  <dcterms:created xmlns:dcterms="http://purl.org/dc/terms/" xmlns:xsi="http://www.w3.org/2001/XMLSchema-instance" xsi:type="dcterms:W3CDTF">2026-05-26T23:43:30Z</dcterms:created>
  <dcterms:modified xmlns:dcterms="http://purl.org/dc/terms/" xmlns:xsi="http://www.w3.org/2001/XMLSchema-instance" xsi:type="dcterms:W3CDTF">2026-05-29T00:28:15Z</dcterms:modified>
  <cp:lastModifiedBy>Austin Weng</cp:lastModifiedBy>
  <cp:revision>0</cp:revision>
</cp:coreProperties>
</file>